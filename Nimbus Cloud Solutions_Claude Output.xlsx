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ulie\CFO\"/>
    </mc:Choice>
  </mc:AlternateContent>
  <xr:revisionPtr revIDLastSave="0" documentId="8_{76024929-5BC3-4F6D-894A-2CB811ADF878}" xr6:coauthVersionLast="47" xr6:coauthVersionMax="47" xr10:uidLastSave="{00000000-0000-0000-0000-000000000000}"/>
  <bookViews>
    <workbookView xWindow="-28920" yWindow="-7365" windowWidth="29040" windowHeight="15720" xr2:uid="{9FA9B1A4-E8DA-4B12-81DB-823B5E7E216C}"/>
  </bookViews>
  <sheets>
    <sheet name="Financial Statements" sheetId="9" r:id="rId1"/>
    <sheet name="AR Command Center" sheetId="11" r:id="rId2"/>
    <sheet name="KPI Dashboard" sheetId="7" r:id="rId3"/>
    <sheet name="AR Data" sheetId="12" r:id="rId4"/>
    <sheet name="Financial Summary" sheetId="10" r:id="rId5"/>
    <sheet name="Drivers" sheetId="3" r:id="rId6"/>
    <sheet name="Data Summary" sheetId="4" r:id="rId7"/>
    <sheet name="Error Check" sheetId="5" r:id="rId8"/>
    <sheet name="Lists" sheetId="6" r:id="rId9"/>
    <sheet name="PBC Tables" sheetId="2" r:id="rId10"/>
    <sheet name="AI Log" sheetId="8" r:id="rId11"/>
  </sheets>
  <definedNames>
    <definedName name="_xlnm._FilterDatabase" localSheetId="5" hidden="1">Drivers!$E$8:$L$103</definedName>
    <definedName name="_Order1" hidden="1">255</definedName>
    <definedName name="BSAcctIDs">Drivers!$L$68:$L$103</definedName>
    <definedName name="BSAccts">Drivers!$D$68:$D$97</definedName>
    <definedName name="BSAcctType">Drivers!$K$68:$K$97</definedName>
    <definedName name="BSDriverAssumptions">Drivers!$F$68:$F$97</definedName>
    <definedName name="BSDrivers">Drivers!$E$68:$E$97</definedName>
    <definedName name="BSSections">Drivers!$G$68:$G$103</definedName>
    <definedName name="BSSectionsCF">Drivers!$J$68:$J$103</definedName>
    <definedName name="BSSummarys">Drivers!$H$68:$H$103</definedName>
    <definedName name="BSSummarysCF">Drivers!$I$68:$I$103</definedName>
    <definedName name="Company_Name">"Model Wiz Demo *"</definedName>
    <definedName name="dataGLBS">'Data Summary'!$N$77:$AW$104</definedName>
    <definedName name="dataGLBSAcctIDs">'Data Summary'!$J$77:$J$104</definedName>
    <definedName name="dataGLBSAccts">'Data Summary'!$D$77:$D$104</definedName>
    <definedName name="dataGLBSCF">'Data Summary'!$M$77:$AW$104</definedName>
    <definedName name="dataGLBSSections">'Data Summary'!$E$77:$E$104</definedName>
    <definedName name="dataGLBSSummarys">'Data Summary'!$F$77:$F$104</definedName>
    <definedName name="dataGLBSSummarysCF">'Data Summary'!$I$77:$I$104</definedName>
    <definedName name="dataGLPL">'Data Summary'!$N$42:$AW$74</definedName>
    <definedName name="dataGLPLAcctIDs">'Data Summary'!$J$42:$J$74</definedName>
    <definedName name="dataGLPLAccts">'Data Summary'!$D$42:$D$74</definedName>
    <definedName name="dataGLPLSections">'Data Summary'!$E$42:$E$74</definedName>
    <definedName name="dataGLPLSummarys">'Data Summary'!$F$42:$F$74</definedName>
    <definedName name="dataSummaryBS">'Data Summary'!$N$28:$AW$38</definedName>
    <definedName name="dataSummaryBSAcctIDs">'Data Summary'!$J$28:$J$38</definedName>
    <definedName name="dataSummaryBSAccts">'Data Summary'!$D$28:$D$38</definedName>
    <definedName name="dataSummaryBSCF">'Data Summary'!$M$28:$AW$38</definedName>
    <definedName name="dataSummaryBSSections">'Data Summary'!$E$28:$E$38</definedName>
    <definedName name="dataSummaryBSSummarys">'Data Summary'!$F$28:$F$38</definedName>
    <definedName name="dataSummaryPL">'Data Summary'!$N$12:$AW$25</definedName>
    <definedName name="dataSummaryPLAcctIDs">'Data Summary'!$J$12:$J$26</definedName>
    <definedName name="dataSummaryPLAccts">'Data Summary'!$D$12:$D$26</definedName>
    <definedName name="dataSummaryPLSections">'Data Summary'!$E$12:$E$25</definedName>
    <definedName name="dataSummaryPLSummarys">'Data Summary'!$F$12:$F$25</definedName>
    <definedName name="Drivers_accountId">Drivers!$L:$L</definedName>
    <definedName name="Drivers_accountName">Drivers!$D:$D</definedName>
    <definedName name="Drivers_cashFlowSection">Drivers!$J:$J</definedName>
    <definedName name="Drivers_Driver">Drivers!$E:$E</definedName>
    <definedName name="Drivers_driverAccountType">Drivers!$K:$K</definedName>
    <definedName name="Drivers_DriverAssumption">Drivers!$F:$F</definedName>
    <definedName name="Drivers_driversSection">Drivers!$G:$G</definedName>
    <definedName name="Drivers_summaryGrouping">Drivers!$H:$H</definedName>
    <definedName name="DriversOwnersEquity" comment="Owners Equity Section on the Drivers tab, excluding the summation header row.">Drivers!$AI$97:$BS$103</definedName>
    <definedName name="End_Date" hidden="1">46387</definedName>
    <definedName name="endDates">'Data Summary'!$N$5:$AW$5</definedName>
    <definedName name="endDatesCF">'Data Summary'!$M$5:$AW$5</definedName>
    <definedName name="EOM_Start_Date" hidden="1">45322</definedName>
    <definedName name="Error_Check">'Error Check'!$D$12</definedName>
    <definedName name="Error_Range" localSheetId="6">'Data Summary'!$M$107:$AW$124</definedName>
    <definedName name="Error_Range" localSheetId="5">Drivers!$P$106:$BS$116</definedName>
    <definedName name="fafa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Fiscal_Offset" hidden="1">0</definedName>
    <definedName name="Formats">_xlfn.ANCHORARRAY(Lists!$C$6)</definedName>
    <definedName name="LatestMonthOfActuals">45930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eriods">_xlfn.ANCHORARRAY(Lists!$B$6)</definedName>
    <definedName name="PLAcctIDs">Drivers!$L$10:$L$66</definedName>
    <definedName name="PLAccts">Drivers!$D$10:$D$66</definedName>
    <definedName name="PLAcctType">Drivers!$K$10:$K$66</definedName>
    <definedName name="PLDriverAssumptions">Drivers!$F$10:$F$66</definedName>
    <definedName name="PLDrivers">Drivers!$E$10:$E$66</definedName>
    <definedName name="PLSections">Drivers!$G$10:$G$66</definedName>
    <definedName name="PLSummarys">Drivers!$H$10:$H$66</definedName>
    <definedName name="PLSummarysCF">Drivers!$J$10:$J$66</definedName>
    <definedName name="ss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Start_Date" hidden="1">45292</definedName>
    <definedName name="startDates">'Data Summary'!$N$4:$AW$4</definedName>
    <definedName name="startDatesCF">'Data Summary'!$M$4:$AW$4</definedName>
    <definedName name="wrn.reporte.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1" l="1"/>
  <c r="J47" i="11"/>
  <c r="J46" i="11"/>
  <c r="J45" i="11"/>
  <c r="J44" i="11"/>
  <c r="J43" i="11"/>
  <c r="J42" i="11"/>
  <c r="J41" i="11"/>
  <c r="J40" i="11"/>
  <c r="J39" i="11"/>
  <c r="J38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P13" i="12"/>
  <c r="P12" i="12"/>
  <c r="P11" i="12"/>
  <c r="P10" i="12"/>
  <c r="P9" i="12"/>
  <c r="P8" i="12"/>
  <c r="P7" i="12"/>
  <c r="P6" i="12"/>
  <c r="P5" i="12"/>
  <c r="P4" i="12"/>
  <c r="R4" i="12"/>
  <c r="P3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H16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H2" i="12"/>
  <c r="G2" i="12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AA84" i="10"/>
  <c r="AB84" i="10"/>
  <c r="AC84" i="10"/>
  <c r="AD84" i="10"/>
  <c r="AE84" i="10"/>
  <c r="AF84" i="10"/>
  <c r="AG84" i="10"/>
  <c r="AI84" i="10"/>
  <c r="AK84" i="10"/>
  <c r="AL84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AA83" i="10"/>
  <c r="AB83" i="10"/>
  <c r="AC83" i="10"/>
  <c r="AD83" i="10"/>
  <c r="AE83" i="10"/>
  <c r="AF83" i="10"/>
  <c r="AG83" i="10"/>
  <c r="AI83" i="10"/>
  <c r="AK83" i="10"/>
  <c r="AL83" i="10"/>
  <c r="E82" i="10" a="1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AA82" i="10" a="1"/>
  <c r="AA82" i="10"/>
  <c r="AB82" i="10" a="1"/>
  <c r="AB82" i="10"/>
  <c r="AC82" i="10" a="1"/>
  <c r="AC82" i="10" s="1"/>
  <c r="AD82" i="10" a="1"/>
  <c r="AD82" i="10" s="1"/>
  <c r="AE82" i="10" a="1"/>
  <c r="AE82" i="10"/>
  <c r="AF82" i="10" a="1"/>
  <c r="AF82" i="10"/>
  <c r="AG82" i="10" a="1"/>
  <c r="AG82" i="10" s="1"/>
  <c r="AI82" i="10" a="1"/>
  <c r="AI82" i="10" s="1"/>
  <c r="AK82" i="10" a="1"/>
  <c r="AK82" i="10"/>
  <c r="AL82" i="10" a="1"/>
  <c r="AL82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AA81" i="10"/>
  <c r="AB81" i="10"/>
  <c r="AC81" i="10"/>
  <c r="AD81" i="10"/>
  <c r="AE81" i="10"/>
  <c r="AF81" i="10"/>
  <c r="AG81" i="10"/>
  <c r="AI81" i="10"/>
  <c r="AK81" i="10"/>
  <c r="AL81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AA79" i="10"/>
  <c r="AB79" i="10"/>
  <c r="AC79" i="10"/>
  <c r="AD79" i="10"/>
  <c r="AE79" i="10"/>
  <c r="AF79" i="10"/>
  <c r="AG79" i="10"/>
  <c r="AI79" i="10"/>
  <c r="AK79" i="10"/>
  <c r="AL79" i="10"/>
  <c r="E78" i="10" a="1"/>
  <c r="E78" i="10"/>
  <c r="AI78" i="10" s="1"/>
  <c r="F78" i="10"/>
  <c r="G78" i="10"/>
  <c r="H78" i="10"/>
  <c r="I78" i="10"/>
  <c r="J78" i="10"/>
  <c r="K78" i="10"/>
  <c r="AC78" i="10" s="1"/>
  <c r="L78" i="10"/>
  <c r="M78" i="10"/>
  <c r="N78" i="10"/>
  <c r="O78" i="10"/>
  <c r="P78" i="10"/>
  <c r="Q78" i="10"/>
  <c r="AE78" i="10" s="1"/>
  <c r="R78" i="10"/>
  <c r="S78" i="10"/>
  <c r="T78" i="10"/>
  <c r="U78" i="10"/>
  <c r="V78" i="10"/>
  <c r="W78" i="10"/>
  <c r="AG78" i="10" s="1"/>
  <c r="X78" i="10"/>
  <c r="Y78" i="10"/>
  <c r="AB78" i="10"/>
  <c r="AD78" i="10"/>
  <c r="AF78" i="10"/>
  <c r="AL78" i="10"/>
  <c r="E77" i="10" a="1"/>
  <c r="E77" i="10" s="1"/>
  <c r="F77" i="10"/>
  <c r="G77" i="10"/>
  <c r="H77" i="10"/>
  <c r="I77" i="10"/>
  <c r="J77" i="10"/>
  <c r="K77" i="10"/>
  <c r="AC77" i="10" s="1"/>
  <c r="L77" i="10"/>
  <c r="M77" i="10"/>
  <c r="N77" i="10"/>
  <c r="O77" i="10"/>
  <c r="AD77" i="10" s="1"/>
  <c r="P77" i="10"/>
  <c r="Q77" i="10"/>
  <c r="R77" i="10"/>
  <c r="AE77" i="10" s="1"/>
  <c r="S77" i="10"/>
  <c r="AL77" i="10" s="1"/>
  <c r="T77" i="10"/>
  <c r="AF77" i="10" s="1"/>
  <c r="U77" i="10"/>
  <c r="V77" i="10"/>
  <c r="W77" i="10"/>
  <c r="AG77" i="10" s="1"/>
  <c r="X77" i="10"/>
  <c r="Y77" i="10"/>
  <c r="AB77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AA74" i="10"/>
  <c r="AB74" i="10"/>
  <c r="AC74" i="10"/>
  <c r="AD74" i="10"/>
  <c r="AE74" i="10"/>
  <c r="AF74" i="10"/>
  <c r="AG74" i="10"/>
  <c r="AI74" i="10"/>
  <c r="AK74" i="10"/>
  <c r="AL74" i="10"/>
  <c r="E73" i="10" a="1"/>
  <c r="E73" i="10" s="1"/>
  <c r="F73" i="10"/>
  <c r="G73" i="10"/>
  <c r="H73" i="10"/>
  <c r="I73" i="10"/>
  <c r="J73" i="10"/>
  <c r="K73" i="10"/>
  <c r="AC73" i="10" s="1"/>
  <c r="L73" i="10"/>
  <c r="M73" i="10"/>
  <c r="N73" i="10"/>
  <c r="O73" i="10"/>
  <c r="P73" i="10"/>
  <c r="Q73" i="10"/>
  <c r="AE73" i="10" s="1"/>
  <c r="R73" i="10"/>
  <c r="S73" i="10"/>
  <c r="AL73" i="10" s="1"/>
  <c r="T73" i="10"/>
  <c r="U73" i="10"/>
  <c r="V73" i="10"/>
  <c r="W73" i="10"/>
  <c r="AG73" i="10" s="1"/>
  <c r="X73" i="10"/>
  <c r="Y73" i="10"/>
  <c r="AB73" i="10"/>
  <c r="AD73" i="10"/>
  <c r="AF73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AA70" i="10"/>
  <c r="AB70" i="10"/>
  <c r="AC70" i="10"/>
  <c r="AD70" i="10"/>
  <c r="AE70" i="10"/>
  <c r="AF70" i="10"/>
  <c r="AG70" i="10"/>
  <c r="AI70" i="10"/>
  <c r="AK70" i="10"/>
  <c r="AL70" i="10"/>
  <c r="E69" i="10" a="1"/>
  <c r="E69" i="10" s="1"/>
  <c r="F69" i="10"/>
  <c r="G69" i="10"/>
  <c r="H69" i="10"/>
  <c r="AB69" i="10" s="1"/>
  <c r="I69" i="10"/>
  <c r="J69" i="10"/>
  <c r="K69" i="10"/>
  <c r="L69" i="10"/>
  <c r="M69" i="10"/>
  <c r="N69" i="10"/>
  <c r="O69" i="10"/>
  <c r="AD69" i="10" s="1"/>
  <c r="P69" i="10"/>
  <c r="Q69" i="10"/>
  <c r="AE69" i="10" s="1"/>
  <c r="R69" i="10"/>
  <c r="AK69" i="10" s="1"/>
  <c r="S69" i="10"/>
  <c r="T69" i="10"/>
  <c r="AF69" i="10" s="1"/>
  <c r="U69" i="10"/>
  <c r="V69" i="10"/>
  <c r="W69" i="10"/>
  <c r="AG69" i="10" s="1"/>
  <c r="X69" i="10"/>
  <c r="Y69" i="10"/>
  <c r="AC69" i="10"/>
  <c r="E68" i="10" a="1"/>
  <c r="E68" i="10"/>
  <c r="F68" i="10"/>
  <c r="G68" i="10"/>
  <c r="H68" i="10"/>
  <c r="I68" i="10"/>
  <c r="J68" i="10"/>
  <c r="AI68" i="10" s="1"/>
  <c r="K68" i="10"/>
  <c r="AC68" i="10" s="1"/>
  <c r="L68" i="10"/>
  <c r="M68" i="10"/>
  <c r="N68" i="10"/>
  <c r="AD68" i="10" s="1"/>
  <c r="O68" i="10"/>
  <c r="P68" i="10"/>
  <c r="Q68" i="10"/>
  <c r="AE68" i="10" s="1"/>
  <c r="R68" i="10"/>
  <c r="S68" i="10"/>
  <c r="T68" i="10"/>
  <c r="AF68" i="10" s="1"/>
  <c r="U68" i="10"/>
  <c r="V68" i="10"/>
  <c r="W68" i="10"/>
  <c r="X68" i="10"/>
  <c r="Y68" i="10"/>
  <c r="AG68" i="10" s="1"/>
  <c r="AA68" i="10"/>
  <c r="AB68" i="10"/>
  <c r="E67" i="10" a="1"/>
  <c r="E67" i="10" s="1"/>
  <c r="F67" i="10"/>
  <c r="G67" i="10"/>
  <c r="H67" i="10"/>
  <c r="I67" i="10"/>
  <c r="J67" i="10"/>
  <c r="K67" i="10"/>
  <c r="AC67" i="10" s="1"/>
  <c r="L67" i="10"/>
  <c r="M67" i="10"/>
  <c r="N67" i="10"/>
  <c r="O67" i="10"/>
  <c r="P67" i="10"/>
  <c r="AD67" i="10" s="1"/>
  <c r="Q67" i="10"/>
  <c r="AE67" i="10" s="1"/>
  <c r="R67" i="10"/>
  <c r="AK67" i="10" s="1"/>
  <c r="S67" i="10"/>
  <c r="AL67" i="10" s="1"/>
  <c r="T67" i="10"/>
  <c r="AF67" i="10" s="1"/>
  <c r="U67" i="10"/>
  <c r="V67" i="10"/>
  <c r="W67" i="10"/>
  <c r="X67" i="10"/>
  <c r="Y67" i="10"/>
  <c r="AB67" i="10"/>
  <c r="AG67" i="10"/>
  <c r="E66" i="10" a="1"/>
  <c r="E66" i="10" s="1"/>
  <c r="F66" i="10"/>
  <c r="G66" i="10"/>
  <c r="H66" i="10"/>
  <c r="AB66" i="10" s="1"/>
  <c r="I66" i="10"/>
  <c r="J66" i="10"/>
  <c r="K66" i="10"/>
  <c r="L66" i="10"/>
  <c r="M66" i="10"/>
  <c r="N66" i="10"/>
  <c r="AD66" i="10" s="1"/>
  <c r="O66" i="10"/>
  <c r="P66" i="10"/>
  <c r="Q66" i="10"/>
  <c r="AE66" i="10" s="1"/>
  <c r="R66" i="10"/>
  <c r="S66" i="10"/>
  <c r="T66" i="10"/>
  <c r="AF66" i="10" s="1"/>
  <c r="U66" i="10"/>
  <c r="V66" i="10"/>
  <c r="W66" i="10"/>
  <c r="X66" i="10"/>
  <c r="Y66" i="10"/>
  <c r="AG66" i="10" s="1"/>
  <c r="AC66" i="10"/>
  <c r="AK66" i="10"/>
  <c r="E65" i="10" a="1"/>
  <c r="E65" i="10" s="1"/>
  <c r="F65" i="10"/>
  <c r="G65" i="10"/>
  <c r="H65" i="10"/>
  <c r="I65" i="10"/>
  <c r="J65" i="10"/>
  <c r="K65" i="10"/>
  <c r="AC65" i="10" s="1"/>
  <c r="L65" i="10"/>
  <c r="M65" i="10"/>
  <c r="N65" i="10"/>
  <c r="AD65" i="10" s="1"/>
  <c r="O65" i="10"/>
  <c r="P65" i="10"/>
  <c r="Q65" i="10"/>
  <c r="AE65" i="10" s="1"/>
  <c r="R65" i="10"/>
  <c r="S65" i="10"/>
  <c r="AK65" i="10" s="1"/>
  <c r="T65" i="10"/>
  <c r="U65" i="10"/>
  <c r="V65" i="10"/>
  <c r="W65" i="10"/>
  <c r="X65" i="10"/>
  <c r="Y65" i="10"/>
  <c r="AG65" i="10" s="1"/>
  <c r="AB65" i="10"/>
  <c r="AF65" i="10"/>
  <c r="AL65" i="10"/>
  <c r="E64" i="10" a="1"/>
  <c r="E64" i="10" s="1"/>
  <c r="F64" i="10"/>
  <c r="G64" i="10"/>
  <c r="H64" i="10"/>
  <c r="I64" i="10"/>
  <c r="J64" i="10"/>
  <c r="K64" i="10"/>
  <c r="AC64" i="10" s="1"/>
  <c r="L64" i="10"/>
  <c r="M64" i="10"/>
  <c r="N64" i="10"/>
  <c r="AD64" i="10" s="1"/>
  <c r="O64" i="10"/>
  <c r="P64" i="10"/>
  <c r="Q64" i="10"/>
  <c r="AE64" i="10" s="1"/>
  <c r="R64" i="10"/>
  <c r="S64" i="10"/>
  <c r="AK64" i="10" s="1"/>
  <c r="T64" i="10"/>
  <c r="AF64" i="10" s="1"/>
  <c r="U64" i="10"/>
  <c r="V64" i="10"/>
  <c r="W64" i="10"/>
  <c r="X64" i="10"/>
  <c r="Y64" i="10"/>
  <c r="AG64" i="10" s="1"/>
  <c r="AB64" i="10"/>
  <c r="AL64" i="10"/>
  <c r="E61" i="10"/>
  <c r="F61" i="10"/>
  <c r="G61" i="10"/>
  <c r="H61" i="10"/>
  <c r="I61" i="10"/>
  <c r="J61" i="10"/>
  <c r="AI61" i="10" s="1"/>
  <c r="K61" i="10"/>
  <c r="L61" i="10"/>
  <c r="M61" i="10"/>
  <c r="N61" i="10"/>
  <c r="AD61" i="10" s="1"/>
  <c r="O61" i="10"/>
  <c r="P61" i="10"/>
  <c r="Q61" i="10"/>
  <c r="AE61" i="10" s="1"/>
  <c r="R61" i="10"/>
  <c r="S61" i="10"/>
  <c r="AK61" i="10" s="1"/>
  <c r="T61" i="10"/>
  <c r="AF61" i="10" s="1"/>
  <c r="U61" i="10"/>
  <c r="V61" i="10"/>
  <c r="W61" i="10"/>
  <c r="X61" i="10"/>
  <c r="Y61" i="10"/>
  <c r="AG61" i="10" s="1"/>
  <c r="AA61" i="10"/>
  <c r="AB61" i="10"/>
  <c r="AC61" i="10"/>
  <c r="E60" i="10"/>
  <c r="F60" i="10"/>
  <c r="G60" i="10"/>
  <c r="H60" i="10"/>
  <c r="I60" i="10"/>
  <c r="J60" i="10"/>
  <c r="AI60" i="10" s="1"/>
  <c r="K60" i="10"/>
  <c r="L60" i="10"/>
  <c r="M60" i="10"/>
  <c r="N60" i="10"/>
  <c r="AD60" i="10" s="1"/>
  <c r="O60" i="10"/>
  <c r="P60" i="10"/>
  <c r="Q60" i="10"/>
  <c r="AE60" i="10" s="1"/>
  <c r="R60" i="10"/>
  <c r="S60" i="10"/>
  <c r="AK60" i="10" s="1"/>
  <c r="T60" i="10"/>
  <c r="AF60" i="10" s="1"/>
  <c r="U60" i="10"/>
  <c r="V60" i="10"/>
  <c r="W60" i="10"/>
  <c r="AG60" i="10" s="1"/>
  <c r="X60" i="10"/>
  <c r="Y60" i="10"/>
  <c r="AA60" i="10"/>
  <c r="AB60" i="10"/>
  <c r="AC60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AA54" i="10"/>
  <c r="AB54" i="10"/>
  <c r="AC54" i="10"/>
  <c r="AD54" i="10"/>
  <c r="AE54" i="10"/>
  <c r="AF54" i="10"/>
  <c r="AG54" i="10"/>
  <c r="AI54" i="10"/>
  <c r="AK54" i="10"/>
  <c r="AL54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AA52" i="10"/>
  <c r="AB52" i="10"/>
  <c r="AC52" i="10"/>
  <c r="AD52" i="10"/>
  <c r="AE52" i="10"/>
  <c r="AF52" i="10"/>
  <c r="AG52" i="10"/>
  <c r="AI52" i="10"/>
  <c r="AK52" i="10"/>
  <c r="AL52" i="10"/>
  <c r="E51" i="10" a="1"/>
  <c r="E51" i="10" s="1"/>
  <c r="F51" i="10" a="1"/>
  <c r="F51" i="10"/>
  <c r="G51" i="10" a="1"/>
  <c r="G51" i="10"/>
  <c r="AA51" i="10" s="1"/>
  <c r="H51" i="10" a="1"/>
  <c r="H51" i="10" s="1"/>
  <c r="I51" i="10" a="1"/>
  <c r="I51" i="10" s="1"/>
  <c r="J51" i="10" a="1"/>
  <c r="J51" i="10" s="1"/>
  <c r="AB51" i="10" s="1"/>
  <c r="K51" i="10" a="1"/>
  <c r="K51" i="10"/>
  <c r="L51" i="10" a="1"/>
  <c r="L51" i="10" s="1"/>
  <c r="M51" i="10" a="1"/>
  <c r="M51" i="10" s="1"/>
  <c r="AC51" i="10" s="1"/>
  <c r="N51" i="10" a="1"/>
  <c r="N51" i="10" s="1"/>
  <c r="O51" i="10" a="1"/>
  <c r="O51" i="10"/>
  <c r="P51" i="10" a="1"/>
  <c r="P51" i="10" s="1"/>
  <c r="Q51" i="10" a="1"/>
  <c r="Q51" i="10" s="1"/>
  <c r="R51" i="10" a="1"/>
  <c r="R51" i="10" s="1"/>
  <c r="S51" i="10" a="1"/>
  <c r="S51" i="10"/>
  <c r="T51" i="10" a="1"/>
  <c r="T51" i="10" s="1"/>
  <c r="U51" i="10" a="1"/>
  <c r="U51" i="10" s="1"/>
  <c r="V51" i="10" a="1"/>
  <c r="V51" i="10" s="1"/>
  <c r="AF51" i="10" s="1"/>
  <c r="W51" i="10" a="1"/>
  <c r="W51" i="10"/>
  <c r="X51" i="10" a="1"/>
  <c r="X51" i="10" s="1"/>
  <c r="Y51" i="10" a="1"/>
  <c r="Y51" i="10" s="1"/>
  <c r="AE51" i="10"/>
  <c r="E50" i="10" a="1"/>
  <c r="E50" i="10"/>
  <c r="F50" i="10" a="1"/>
  <c r="F50" i="10"/>
  <c r="G50" i="10" a="1"/>
  <c r="G50" i="10" s="1"/>
  <c r="AA50" i="10" s="1"/>
  <c r="H50" i="10" a="1"/>
  <c r="H50" i="10" s="1"/>
  <c r="I50" i="10" a="1"/>
  <c r="I50" i="10"/>
  <c r="J50" i="10" a="1"/>
  <c r="J50" i="10"/>
  <c r="K50" i="10" a="1"/>
  <c r="K50" i="10" s="1"/>
  <c r="L50" i="10" a="1"/>
  <c r="L50" i="10" s="1"/>
  <c r="M50" i="10" a="1"/>
  <c r="M50" i="10"/>
  <c r="AC50" i="10" s="1"/>
  <c r="N50" i="10" a="1"/>
  <c r="N50" i="10"/>
  <c r="O50" i="10" a="1"/>
  <c r="O50" i="10" s="1"/>
  <c r="P50" i="10" a="1"/>
  <c r="P50" i="10" s="1"/>
  <c r="Q50" i="10" a="1"/>
  <c r="Q50" i="10" s="1"/>
  <c r="R50" i="10" a="1"/>
  <c r="R50" i="10"/>
  <c r="S50" i="10" a="1"/>
  <c r="S50" i="10" s="1"/>
  <c r="AE50" i="10" s="1"/>
  <c r="T50" i="10" a="1"/>
  <c r="T50" i="10" s="1"/>
  <c r="U50" i="10" a="1"/>
  <c r="U50" i="10" s="1"/>
  <c r="V50" i="10" a="1"/>
  <c r="V50" i="10"/>
  <c r="AF50" i="10" s="1"/>
  <c r="W50" i="10" a="1"/>
  <c r="W50" i="10" s="1"/>
  <c r="X50" i="10" a="1"/>
  <c r="X50" i="10" s="1"/>
  <c r="Y50" i="10" a="1"/>
  <c r="Y50" i="10" s="1"/>
  <c r="AB50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AA47" i="10"/>
  <c r="AB47" i="10"/>
  <c r="AC47" i="10"/>
  <c r="AD47" i="10"/>
  <c r="AE47" i="10"/>
  <c r="AF47" i="10"/>
  <c r="AG47" i="10"/>
  <c r="AI47" i="10"/>
  <c r="AK47" i="10"/>
  <c r="AL47" i="10"/>
  <c r="E46" i="10" a="1"/>
  <c r="E46" i="10" s="1"/>
  <c r="F46" i="10" a="1"/>
  <c r="F46" i="10"/>
  <c r="G46" i="10" a="1"/>
  <c r="G46" i="10"/>
  <c r="AA46" i="10" s="1"/>
  <c r="H46" i="10" a="1"/>
  <c r="H46" i="10"/>
  <c r="I46" i="10" a="1"/>
  <c r="I46" i="10" s="1"/>
  <c r="J46" i="10" a="1"/>
  <c r="J46" i="10"/>
  <c r="K46" i="10" a="1"/>
  <c r="K46" i="10"/>
  <c r="L46" i="10" a="1"/>
  <c r="L46" i="10"/>
  <c r="M46" i="10" a="1"/>
  <c r="M46" i="10" s="1"/>
  <c r="AC46" i="10" s="1"/>
  <c r="N46" i="10" a="1"/>
  <c r="N46" i="10"/>
  <c r="O46" i="10" a="1"/>
  <c r="O46" i="10"/>
  <c r="P46" i="10" a="1"/>
  <c r="P46" i="10"/>
  <c r="AI46" i="10" s="1"/>
  <c r="Q46" i="10" a="1"/>
  <c r="Q46" i="10" s="1"/>
  <c r="R46" i="10" a="1"/>
  <c r="R46" i="10"/>
  <c r="S46" i="10" a="1"/>
  <c r="S46" i="10"/>
  <c r="T46" i="10" a="1"/>
  <c r="T46" i="10"/>
  <c r="U46" i="10" a="1"/>
  <c r="U46" i="10" s="1"/>
  <c r="V46" i="10" a="1"/>
  <c r="V46" i="10"/>
  <c r="W46" i="10" a="1"/>
  <c r="W46" i="10"/>
  <c r="X46" i="10" a="1"/>
  <c r="X46" i="10"/>
  <c r="Y46" i="10" a="1"/>
  <c r="Y46" i="10" s="1"/>
  <c r="AB46" i="10"/>
  <c r="AE46" i="10"/>
  <c r="AF46" i="10"/>
  <c r="E45" i="10" a="1"/>
  <c r="E45" i="10" s="1"/>
  <c r="F45" i="10" a="1"/>
  <c r="F45" i="10"/>
  <c r="G45" i="10" a="1"/>
  <c r="G45" i="10"/>
  <c r="AA45" i="10" s="1"/>
  <c r="H45" i="10" a="1"/>
  <c r="H45" i="10" s="1"/>
  <c r="I45" i="10" a="1"/>
  <c r="I45" i="10" s="1"/>
  <c r="J45" i="10" a="1"/>
  <c r="J45" i="10"/>
  <c r="K45" i="10" a="1"/>
  <c r="K45" i="10"/>
  <c r="L45" i="10" a="1"/>
  <c r="L45" i="10" s="1"/>
  <c r="M45" i="10" a="1"/>
  <c r="M45" i="10" s="1"/>
  <c r="AC45" i="10" s="1"/>
  <c r="N45" i="10" a="1"/>
  <c r="N45" i="10"/>
  <c r="O45" i="10" a="1"/>
  <c r="O45" i="10"/>
  <c r="P45" i="10" a="1"/>
  <c r="P45" i="10" s="1"/>
  <c r="Q45" i="10" a="1"/>
  <c r="Q45" i="10" s="1"/>
  <c r="R45" i="10" a="1"/>
  <c r="R45" i="10"/>
  <c r="S45" i="10" a="1"/>
  <c r="S45" i="10"/>
  <c r="T45" i="10" a="1"/>
  <c r="T45" i="10" s="1"/>
  <c r="U45" i="10" a="1"/>
  <c r="U45" i="10" s="1"/>
  <c r="V45" i="10" a="1"/>
  <c r="V45" i="10" s="1"/>
  <c r="AF45" i="10" s="1"/>
  <c r="W45" i="10" a="1"/>
  <c r="W45" i="10"/>
  <c r="X45" i="10" a="1"/>
  <c r="X45" i="10" s="1"/>
  <c r="Y45" i="10" a="1"/>
  <c r="Y45" i="10" s="1"/>
  <c r="AB45" i="10"/>
  <c r="AE45" i="10"/>
  <c r="E44" i="10" a="1"/>
  <c r="E44" i="10"/>
  <c r="F44" i="10" a="1"/>
  <c r="F44" i="10"/>
  <c r="G44" i="10" a="1"/>
  <c r="G44" i="10" s="1"/>
  <c r="AA44" i="10" s="1"/>
  <c r="H44" i="10" a="1"/>
  <c r="H44" i="10"/>
  <c r="I44" i="10" a="1"/>
  <c r="I44" i="10"/>
  <c r="J44" i="10" a="1"/>
  <c r="J44" i="10"/>
  <c r="K44" i="10" a="1"/>
  <c r="K44" i="10" s="1"/>
  <c r="L44" i="10" a="1"/>
  <c r="L44" i="10"/>
  <c r="M44" i="10" a="1"/>
  <c r="M44" i="10"/>
  <c r="AC44" i="10" s="1"/>
  <c r="N44" i="10" a="1"/>
  <c r="N44" i="10"/>
  <c r="O44" i="10" a="1"/>
  <c r="O44" i="10" s="1"/>
  <c r="P44" i="10" a="1"/>
  <c r="P44" i="10"/>
  <c r="AD44" i="10" s="1"/>
  <c r="Q44" i="10" a="1"/>
  <c r="Q44" i="10"/>
  <c r="R44" i="10" a="1"/>
  <c r="R44" i="10"/>
  <c r="S44" i="10" a="1"/>
  <c r="S44" i="10" s="1"/>
  <c r="AE44" i="10" s="1"/>
  <c r="T44" i="10" a="1"/>
  <c r="T44" i="10"/>
  <c r="U44" i="10" a="1"/>
  <c r="U44" i="10"/>
  <c r="V44" i="10" a="1"/>
  <c r="V44" i="10"/>
  <c r="AF44" i="10" s="1"/>
  <c r="W44" i="10" a="1"/>
  <c r="W44" i="10" s="1"/>
  <c r="X44" i="10" a="1"/>
  <c r="X44" i="10"/>
  <c r="Y44" i="10" a="1"/>
  <c r="Y44" i="10"/>
  <c r="AG44" i="10" s="1"/>
  <c r="AB44" i="10"/>
  <c r="AI44" i="10"/>
  <c r="AK44" i="10"/>
  <c r="AL44" i="10"/>
  <c r="E43" i="10" a="1"/>
  <c r="E43" i="10" s="1"/>
  <c r="F43" i="10" a="1"/>
  <c r="F43" i="10" s="1"/>
  <c r="G43" i="10" a="1"/>
  <c r="G43" i="10"/>
  <c r="AA43" i="10" s="1"/>
  <c r="H43" i="10" a="1"/>
  <c r="H43" i="10"/>
  <c r="I43" i="10" a="1"/>
  <c r="I43" i="10" s="1"/>
  <c r="J43" i="10" a="1"/>
  <c r="J43" i="10" s="1"/>
  <c r="AB43" i="10" s="1"/>
  <c r="K43" i="10" a="1"/>
  <c r="K43" i="10"/>
  <c r="L43" i="10" a="1"/>
  <c r="L43" i="10"/>
  <c r="M43" i="10" a="1"/>
  <c r="M43" i="10" s="1"/>
  <c r="AC43" i="10" s="1"/>
  <c r="N43" i="10" a="1"/>
  <c r="N43" i="10" s="1"/>
  <c r="O43" i="10" a="1"/>
  <c r="O43" i="10"/>
  <c r="P43" i="10" a="1"/>
  <c r="P43" i="10"/>
  <c r="AI43" i="10" s="1"/>
  <c r="Q43" i="10" a="1"/>
  <c r="Q43" i="10" s="1"/>
  <c r="R43" i="10" a="1"/>
  <c r="R43" i="10" s="1"/>
  <c r="S43" i="10" a="1"/>
  <c r="S43" i="10"/>
  <c r="T43" i="10" a="1"/>
  <c r="T43" i="10"/>
  <c r="U43" i="10" a="1"/>
  <c r="U43" i="10" s="1"/>
  <c r="V43" i="10" a="1"/>
  <c r="V43" i="10" s="1"/>
  <c r="AF43" i="10" s="1"/>
  <c r="W43" i="10" a="1"/>
  <c r="W43" i="10"/>
  <c r="X43" i="10" a="1"/>
  <c r="X43" i="10"/>
  <c r="Y43" i="10" a="1"/>
  <c r="Y43" i="10" s="1"/>
  <c r="AE43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AA40" i="10"/>
  <c r="AB40" i="10"/>
  <c r="AC40" i="10"/>
  <c r="AD40" i="10"/>
  <c r="AE40" i="10"/>
  <c r="AF40" i="10"/>
  <c r="AG40" i="10"/>
  <c r="AI40" i="10"/>
  <c r="AK40" i="10"/>
  <c r="AL40" i="10"/>
  <c r="E39" i="10" a="1"/>
  <c r="E39" i="10"/>
  <c r="F39" i="10" a="1"/>
  <c r="F39" i="10"/>
  <c r="G39" i="10" a="1"/>
  <c r="G39" i="10" s="1"/>
  <c r="AA39" i="10" s="1"/>
  <c r="H39" i="10" a="1"/>
  <c r="H39" i="10"/>
  <c r="I39" i="10" a="1"/>
  <c r="I39" i="10"/>
  <c r="J39" i="10" a="1"/>
  <c r="J39" i="10"/>
  <c r="K39" i="10" a="1"/>
  <c r="K39" i="10" s="1"/>
  <c r="L39" i="10" a="1"/>
  <c r="L39" i="10"/>
  <c r="M39" i="10" a="1"/>
  <c r="M39" i="10"/>
  <c r="AC39" i="10" s="1"/>
  <c r="N39" i="10" a="1"/>
  <c r="N39" i="10"/>
  <c r="O39" i="10" a="1"/>
  <c r="O39" i="10" s="1"/>
  <c r="P39" i="10" a="1"/>
  <c r="P39" i="10"/>
  <c r="AD39" i="10" s="1"/>
  <c r="Q39" i="10" a="1"/>
  <c r="Q39" i="10"/>
  <c r="R39" i="10" a="1"/>
  <c r="R39" i="10"/>
  <c r="S39" i="10" a="1"/>
  <c r="S39" i="10" s="1"/>
  <c r="AE39" i="10" s="1"/>
  <c r="T39" i="10" a="1"/>
  <c r="T39" i="10"/>
  <c r="U39" i="10" a="1"/>
  <c r="U39" i="10"/>
  <c r="V39" i="10" a="1"/>
  <c r="V39" i="10"/>
  <c r="AF39" i="10" s="1"/>
  <c r="W39" i="10" a="1"/>
  <c r="W39" i="10" s="1"/>
  <c r="X39" i="10" a="1"/>
  <c r="X39" i="10"/>
  <c r="Y39" i="10" a="1"/>
  <c r="Y39" i="10"/>
  <c r="AG39" i="10" s="1"/>
  <c r="AB39" i="10"/>
  <c r="AI39" i="10"/>
  <c r="AL39" i="10"/>
  <c r="E38" i="10" a="1"/>
  <c r="E38" i="10" s="1"/>
  <c r="F38" i="10" a="1"/>
  <c r="F38" i="10"/>
  <c r="G38" i="10" a="1"/>
  <c r="G38" i="10" s="1"/>
  <c r="AA38" i="10" s="1"/>
  <c r="H38" i="10" a="1"/>
  <c r="H38" i="10"/>
  <c r="I38" i="10" a="1"/>
  <c r="I38" i="10" s="1"/>
  <c r="J38" i="10" a="1"/>
  <c r="J38" i="10"/>
  <c r="K38" i="10" a="1"/>
  <c r="K38" i="10" s="1"/>
  <c r="L38" i="10" a="1"/>
  <c r="L38" i="10"/>
  <c r="M38" i="10" a="1"/>
  <c r="M38" i="10" s="1"/>
  <c r="AC38" i="10" s="1"/>
  <c r="N38" i="10" a="1"/>
  <c r="N38" i="10"/>
  <c r="O38" i="10" a="1"/>
  <c r="O38" i="10" s="1"/>
  <c r="P38" i="10" a="1"/>
  <c r="P38" i="10"/>
  <c r="AI38" i="10" s="1"/>
  <c r="Q38" i="10" a="1"/>
  <c r="Q38" i="10" s="1"/>
  <c r="R38" i="10" a="1"/>
  <c r="R38" i="10"/>
  <c r="S38" i="10" a="1"/>
  <c r="S38" i="10" s="1"/>
  <c r="AE38" i="10" s="1"/>
  <c r="T38" i="10" a="1"/>
  <c r="T38" i="10"/>
  <c r="U38" i="10" a="1"/>
  <c r="U38" i="10" s="1"/>
  <c r="V38" i="10" a="1"/>
  <c r="V38" i="10"/>
  <c r="W38" i="10" a="1"/>
  <c r="W38" i="10" s="1"/>
  <c r="X38" i="10" a="1"/>
  <c r="X38" i="10"/>
  <c r="Y38" i="10" a="1"/>
  <c r="Y38" i="10" s="1"/>
  <c r="AB38" i="10"/>
  <c r="AF38" i="10"/>
  <c r="E37" i="10" a="1"/>
  <c r="E37" i="10"/>
  <c r="F37" i="10" a="1"/>
  <c r="F37" i="10" s="1"/>
  <c r="G37" i="10" a="1"/>
  <c r="G37" i="10" s="1"/>
  <c r="AA37" i="10" s="1"/>
  <c r="H37" i="10" a="1"/>
  <c r="H37" i="10" s="1"/>
  <c r="I37" i="10" a="1"/>
  <c r="I37" i="10"/>
  <c r="J37" i="10" a="1"/>
  <c r="J37" i="10" s="1"/>
  <c r="AB37" i="10" s="1"/>
  <c r="K37" i="10" a="1"/>
  <c r="K37" i="10" s="1"/>
  <c r="L37" i="10" a="1"/>
  <c r="L37" i="10" s="1"/>
  <c r="M37" i="10" a="1"/>
  <c r="M37" i="10"/>
  <c r="AC37" i="10" s="1"/>
  <c r="N37" i="10" a="1"/>
  <c r="N37" i="10" s="1"/>
  <c r="O37" i="10" a="1"/>
  <c r="O37" i="10" s="1"/>
  <c r="P37" i="10" a="1"/>
  <c r="P37" i="10" s="1"/>
  <c r="Q37" i="10" a="1"/>
  <c r="Q37" i="10"/>
  <c r="R37" i="10" a="1"/>
  <c r="R37" i="10" s="1"/>
  <c r="S37" i="10" a="1"/>
  <c r="S37" i="10" s="1"/>
  <c r="AE37" i="10" s="1"/>
  <c r="T37" i="10" a="1"/>
  <c r="T37" i="10" s="1"/>
  <c r="U37" i="10" a="1"/>
  <c r="U37" i="10"/>
  <c r="V37" i="10" a="1"/>
  <c r="V37" i="10" s="1"/>
  <c r="AF37" i="10" s="1"/>
  <c r="W37" i="10" a="1"/>
  <c r="W37" i="10" s="1"/>
  <c r="X37" i="10" a="1"/>
  <c r="X37" i="10" s="1"/>
  <c r="Y37" i="10" a="1"/>
  <c r="Y37" i="10"/>
  <c r="AG37" i="10" s="1"/>
  <c r="AK37" i="10"/>
  <c r="E36" i="10" a="1"/>
  <c r="E36" i="10" s="1"/>
  <c r="F36" i="10" a="1"/>
  <c r="F36" i="10" s="1"/>
  <c r="G36" i="10" a="1"/>
  <c r="G36" i="10" s="1"/>
  <c r="AA36" i="10" s="1"/>
  <c r="H36" i="10" a="1"/>
  <c r="H36" i="10" s="1"/>
  <c r="I36" i="10" a="1"/>
  <c r="I36" i="10" s="1"/>
  <c r="J36" i="10" a="1"/>
  <c r="J36" i="10" s="1"/>
  <c r="AB36" i="10" s="1"/>
  <c r="K36" i="10" a="1"/>
  <c r="K36" i="10" s="1"/>
  <c r="L36" i="10" a="1"/>
  <c r="L36" i="10" s="1"/>
  <c r="M36" i="10" a="1"/>
  <c r="M36" i="10" s="1"/>
  <c r="AC36" i="10" s="1"/>
  <c r="N36" i="10" a="1"/>
  <c r="N36" i="10" s="1"/>
  <c r="O36" i="10" a="1"/>
  <c r="O36" i="10" s="1"/>
  <c r="P36" i="10" a="1"/>
  <c r="P36" i="10" s="1"/>
  <c r="Q36" i="10" a="1"/>
  <c r="Q36" i="10" s="1"/>
  <c r="R36" i="10" a="1"/>
  <c r="R36" i="10" s="1"/>
  <c r="S36" i="10" a="1"/>
  <c r="S36" i="10" s="1"/>
  <c r="AE36" i="10" s="1"/>
  <c r="T36" i="10" a="1"/>
  <c r="T36" i="10" s="1"/>
  <c r="U36" i="10" a="1"/>
  <c r="U36" i="10" s="1"/>
  <c r="V36" i="10" a="1"/>
  <c r="V36" i="10" s="1"/>
  <c r="AF36" i="10" s="1"/>
  <c r="W36" i="10" a="1"/>
  <c r="W36" i="10" s="1"/>
  <c r="X36" i="10" a="1"/>
  <c r="X36" i="10" s="1"/>
  <c r="Y36" i="10" a="1"/>
  <c r="Y36" i="10" s="1"/>
  <c r="E35" i="10" a="1"/>
  <c r="E35" i="10" s="1"/>
  <c r="F35" i="10" a="1"/>
  <c r="F35" i="10" s="1"/>
  <c r="G35" i="10" a="1"/>
  <c r="G35" i="10" s="1"/>
  <c r="AA35" i="10" s="1"/>
  <c r="H35" i="10" a="1"/>
  <c r="H35" i="10"/>
  <c r="I35" i="10" a="1"/>
  <c r="I35" i="10" s="1"/>
  <c r="J35" i="10" a="1"/>
  <c r="J35" i="10" s="1"/>
  <c r="AB35" i="10" s="1"/>
  <c r="K35" i="10" a="1"/>
  <c r="K35" i="10" s="1"/>
  <c r="L35" i="10" a="1"/>
  <c r="L35" i="10"/>
  <c r="M35" i="10" a="1"/>
  <c r="M35" i="10" s="1"/>
  <c r="AC35" i="10" s="1"/>
  <c r="N35" i="10" a="1"/>
  <c r="N35" i="10" s="1"/>
  <c r="O35" i="10" a="1"/>
  <c r="O35" i="10" s="1"/>
  <c r="P35" i="10" a="1"/>
  <c r="P35" i="10"/>
  <c r="AI35" i="10" s="1"/>
  <c r="Q35" i="10" a="1"/>
  <c r="Q35" i="10" s="1"/>
  <c r="R35" i="10" a="1"/>
  <c r="R35" i="10" s="1"/>
  <c r="S35" i="10" a="1"/>
  <c r="S35" i="10" s="1"/>
  <c r="AE35" i="10" s="1"/>
  <c r="T35" i="10" a="1"/>
  <c r="T35" i="10"/>
  <c r="U35" i="10" a="1"/>
  <c r="U35" i="10" s="1"/>
  <c r="V35" i="10" a="1"/>
  <c r="V35" i="10" s="1"/>
  <c r="AF35" i="10" s="1"/>
  <c r="W35" i="10" a="1"/>
  <c r="W35" i="10" s="1"/>
  <c r="X35" i="10" a="1"/>
  <c r="X35" i="10"/>
  <c r="Y35" i="10" a="1"/>
  <c r="Y35" i="10" s="1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A29" i="10"/>
  <c r="AB29" i="10"/>
  <c r="AC29" i="10"/>
  <c r="AD29" i="10"/>
  <c r="AE29" i="10"/>
  <c r="AF29" i="10"/>
  <c r="AG29" i="10"/>
  <c r="AI29" i="10"/>
  <c r="AK29" i="10"/>
  <c r="AL29" i="10"/>
  <c r="E27" i="10"/>
  <c r="F27" i="10"/>
  <c r="G27" i="10"/>
  <c r="H27" i="10"/>
  <c r="I27" i="10"/>
  <c r="J27" i="10"/>
  <c r="AI27" i="10" s="1"/>
  <c r="K27" i="10"/>
  <c r="L27" i="10"/>
  <c r="AC27" i="10" s="1"/>
  <c r="M27" i="10"/>
  <c r="N27" i="10"/>
  <c r="O27" i="10"/>
  <c r="P27" i="10"/>
  <c r="Q27" i="10"/>
  <c r="R27" i="10"/>
  <c r="AE27" i="10" s="1"/>
  <c r="S27" i="10"/>
  <c r="AL27" i="10" s="1"/>
  <c r="T27" i="10"/>
  <c r="AF27" i="10" s="1"/>
  <c r="U27" i="10"/>
  <c r="V27" i="10"/>
  <c r="W27" i="10"/>
  <c r="X27" i="10"/>
  <c r="Y27" i="10"/>
  <c r="AA27" i="10"/>
  <c r="AB27" i="10"/>
  <c r="AD27" i="10"/>
  <c r="AG27" i="10"/>
  <c r="E26" i="10"/>
  <c r="F26" i="10"/>
  <c r="G26" i="10"/>
  <c r="H26" i="10"/>
  <c r="I26" i="10"/>
  <c r="J26" i="10"/>
  <c r="AI26" i="10" s="1"/>
  <c r="K26" i="10"/>
  <c r="AC26" i="10" s="1"/>
  <c r="L26" i="10"/>
  <c r="M26" i="10"/>
  <c r="N26" i="10"/>
  <c r="O26" i="10"/>
  <c r="P26" i="10"/>
  <c r="Q26" i="10"/>
  <c r="AE26" i="10" s="1"/>
  <c r="R26" i="10"/>
  <c r="S26" i="10"/>
  <c r="AK26" i="10" s="1"/>
  <c r="T26" i="10"/>
  <c r="U26" i="10"/>
  <c r="V26" i="10"/>
  <c r="W26" i="10"/>
  <c r="AG26" i="10" s="1"/>
  <c r="X26" i="10"/>
  <c r="Y26" i="10"/>
  <c r="AA26" i="10"/>
  <c r="AB26" i="10"/>
  <c r="AD26" i="10"/>
  <c r="AF26" i="10"/>
  <c r="AL26" i="10"/>
  <c r="E25" i="10"/>
  <c r="AA25" i="10" s="1"/>
  <c r="F25" i="10"/>
  <c r="G25" i="10"/>
  <c r="H25" i="10"/>
  <c r="I25" i="10"/>
  <c r="J25" i="10"/>
  <c r="K25" i="10"/>
  <c r="AI25" i="10" s="1"/>
  <c r="L25" i="10"/>
  <c r="M25" i="10"/>
  <c r="N25" i="10"/>
  <c r="O25" i="10"/>
  <c r="P25" i="10"/>
  <c r="Q25" i="10"/>
  <c r="AE25" i="10" s="1"/>
  <c r="R25" i="10"/>
  <c r="S25" i="10"/>
  <c r="AL25" i="10" s="1"/>
  <c r="T25" i="10"/>
  <c r="AF25" i="10" s="1"/>
  <c r="U25" i="10"/>
  <c r="V25" i="10"/>
  <c r="W25" i="10"/>
  <c r="X25" i="10"/>
  <c r="Y25" i="10"/>
  <c r="AB25" i="10"/>
  <c r="AC25" i="10"/>
  <c r="AD25" i="10"/>
  <c r="AG25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A23" i="10"/>
  <c r="AB23" i="10"/>
  <c r="AC23" i="10"/>
  <c r="AD23" i="10"/>
  <c r="AE23" i="10"/>
  <c r="AF23" i="10"/>
  <c r="AG23" i="10"/>
  <c r="AI23" i="10"/>
  <c r="AK23" i="10"/>
  <c r="AL23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A21" i="10"/>
  <c r="AB21" i="10"/>
  <c r="AC21" i="10"/>
  <c r="AD21" i="10"/>
  <c r="AE21" i="10"/>
  <c r="AF21" i="10"/>
  <c r="AG21" i="10"/>
  <c r="AI21" i="10"/>
  <c r="AK21" i="10"/>
  <c r="AL21" i="10"/>
  <c r="E20" i="10"/>
  <c r="AI20" i="10" s="1"/>
  <c r="F20" i="10"/>
  <c r="G20" i="10"/>
  <c r="H20" i="10"/>
  <c r="AB20" i="10" s="1"/>
  <c r="I20" i="10"/>
  <c r="J20" i="10"/>
  <c r="K20" i="10"/>
  <c r="AC20" i="10" s="1"/>
  <c r="L20" i="10"/>
  <c r="M20" i="10"/>
  <c r="N20" i="10"/>
  <c r="AD20" i="10" s="1"/>
  <c r="O20" i="10"/>
  <c r="P20" i="10"/>
  <c r="Q20" i="10"/>
  <c r="R20" i="10"/>
  <c r="S20" i="10"/>
  <c r="AK20" i="10" s="1"/>
  <c r="T20" i="10"/>
  <c r="U20" i="10"/>
  <c r="V20" i="10"/>
  <c r="AF20" i="10" s="1"/>
  <c r="W20" i="10"/>
  <c r="X20" i="10"/>
  <c r="Y20" i="10"/>
  <c r="AE20" i="10"/>
  <c r="AG20" i="10"/>
  <c r="E19" i="10"/>
  <c r="AI19" i="10" s="1"/>
  <c r="F19" i="10"/>
  <c r="G19" i="10"/>
  <c r="H19" i="10"/>
  <c r="I19" i="10"/>
  <c r="J19" i="10"/>
  <c r="K19" i="10"/>
  <c r="AC19" i="10" s="1"/>
  <c r="L19" i="10"/>
  <c r="M19" i="10"/>
  <c r="N19" i="10"/>
  <c r="O19" i="10"/>
  <c r="P19" i="10"/>
  <c r="Q19" i="10"/>
  <c r="AE19" i="10" s="1"/>
  <c r="R19" i="10"/>
  <c r="S19" i="10"/>
  <c r="AK19" i="10" s="1"/>
  <c r="T19" i="10"/>
  <c r="AF19" i="10" s="1"/>
  <c r="U19" i="10"/>
  <c r="V19" i="10"/>
  <c r="W19" i="10"/>
  <c r="X19" i="10"/>
  <c r="Y19" i="10"/>
  <c r="AB19" i="10"/>
  <c r="AD19" i="10"/>
  <c r="AG19" i="10"/>
  <c r="AL19" i="10"/>
  <c r="E18" i="10"/>
  <c r="AI18" i="10" s="1"/>
  <c r="F18" i="10"/>
  <c r="G18" i="10"/>
  <c r="H18" i="10"/>
  <c r="AB18" i="10" s="1"/>
  <c r="I18" i="10"/>
  <c r="J18" i="10"/>
  <c r="K18" i="10"/>
  <c r="AC18" i="10" s="1"/>
  <c r="L18" i="10"/>
  <c r="M18" i="10"/>
  <c r="N18" i="10"/>
  <c r="AL18" i="10" s="1"/>
  <c r="O18" i="10"/>
  <c r="P18" i="10"/>
  <c r="Q18" i="10"/>
  <c r="R18" i="10"/>
  <c r="S18" i="10"/>
  <c r="AK18" i="10" s="1"/>
  <c r="T18" i="10"/>
  <c r="U18" i="10"/>
  <c r="V18" i="10"/>
  <c r="W18" i="10"/>
  <c r="X18" i="10"/>
  <c r="Y18" i="10"/>
  <c r="AE18" i="10"/>
  <c r="AF18" i="10"/>
  <c r="AG18" i="10"/>
  <c r="E17" i="10"/>
  <c r="AA17" i="10" s="1"/>
  <c r="F17" i="10"/>
  <c r="G17" i="10"/>
  <c r="H17" i="10"/>
  <c r="I17" i="10"/>
  <c r="J17" i="10"/>
  <c r="K17" i="10"/>
  <c r="AC17" i="10" s="1"/>
  <c r="L17" i="10"/>
  <c r="M17" i="10"/>
  <c r="N17" i="10"/>
  <c r="O17" i="10"/>
  <c r="P17" i="10"/>
  <c r="Q17" i="10"/>
  <c r="AE17" i="10" s="1"/>
  <c r="R17" i="10"/>
  <c r="AK17" i="10" s="1"/>
  <c r="S17" i="10"/>
  <c r="AL17" i="10" s="1"/>
  <c r="T17" i="10"/>
  <c r="U17" i="10"/>
  <c r="AF17" i="10" s="1"/>
  <c r="V17" i="10"/>
  <c r="W17" i="10"/>
  <c r="X17" i="10"/>
  <c r="Y17" i="10"/>
  <c r="AG17" i="10" s="1"/>
  <c r="AB17" i="10"/>
  <c r="AD17" i="10"/>
  <c r="E16" i="10"/>
  <c r="F16" i="10"/>
  <c r="G16" i="10"/>
  <c r="H16" i="10"/>
  <c r="I16" i="10"/>
  <c r="J16" i="10"/>
  <c r="AI16" i="10" s="1"/>
  <c r="K16" i="10"/>
  <c r="L16" i="10"/>
  <c r="AC16" i="10" s="1"/>
  <c r="M16" i="10"/>
  <c r="N16" i="10"/>
  <c r="O16" i="10"/>
  <c r="AD16" i="10" s="1"/>
  <c r="P16" i="10"/>
  <c r="Q16" i="10"/>
  <c r="AE16" i="10" s="1"/>
  <c r="R16" i="10"/>
  <c r="S16" i="10"/>
  <c r="AK16" i="10" s="1"/>
  <c r="T16" i="10"/>
  <c r="AF16" i="10" s="1"/>
  <c r="U16" i="10"/>
  <c r="V16" i="10"/>
  <c r="W16" i="10"/>
  <c r="AG16" i="10" s="1"/>
  <c r="X16" i="10"/>
  <c r="Y16" i="10"/>
  <c r="AA16" i="10"/>
  <c r="AB16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A14" i="10"/>
  <c r="AB14" i="10"/>
  <c r="AC14" i="10"/>
  <c r="AD14" i="10"/>
  <c r="AE14" i="10"/>
  <c r="AF14" i="10"/>
  <c r="AG14" i="10"/>
  <c r="AI14" i="10"/>
  <c r="AK14" i="10"/>
  <c r="AL14" i="10"/>
  <c r="E13" i="10"/>
  <c r="F13" i="10"/>
  <c r="G13" i="10"/>
  <c r="H13" i="10"/>
  <c r="I13" i="10"/>
  <c r="J13" i="10"/>
  <c r="AI13" i="10" s="1"/>
  <c r="K13" i="10"/>
  <c r="AC13" i="10" s="1"/>
  <c r="L13" i="10"/>
  <c r="M13" i="10"/>
  <c r="N13" i="10"/>
  <c r="O13" i="10"/>
  <c r="P13" i="10"/>
  <c r="Q13" i="10"/>
  <c r="R13" i="10"/>
  <c r="AE13" i="10" s="1"/>
  <c r="S13" i="10"/>
  <c r="T13" i="10"/>
  <c r="AF13" i="10" s="1"/>
  <c r="U13" i="10"/>
  <c r="V13" i="10"/>
  <c r="W13" i="10"/>
  <c r="X13" i="10"/>
  <c r="Y13" i="10"/>
  <c r="AA13" i="10"/>
  <c r="AB13" i="10"/>
  <c r="AD13" i="10"/>
  <c r="AG13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AA11" i="10"/>
  <c r="AB11" i="10"/>
  <c r="AC11" i="10"/>
  <c r="AD11" i="10"/>
  <c r="AE11" i="10"/>
  <c r="AF11" i="10"/>
  <c r="AG11" i="10"/>
  <c r="AI11" i="10"/>
  <c r="AK11" i="10"/>
  <c r="AL11" i="10"/>
  <c r="E10" i="10"/>
  <c r="F10" i="10"/>
  <c r="G10" i="10"/>
  <c r="H10" i="10"/>
  <c r="I10" i="10"/>
  <c r="J10" i="10"/>
  <c r="AI10" i="10" s="1"/>
  <c r="K10" i="10"/>
  <c r="L10" i="10"/>
  <c r="M10" i="10"/>
  <c r="N10" i="10"/>
  <c r="O10" i="10"/>
  <c r="AD10" i="10" s="1"/>
  <c r="P10" i="10"/>
  <c r="Q10" i="10"/>
  <c r="AE10" i="10" s="1"/>
  <c r="R10" i="10"/>
  <c r="S10" i="10"/>
  <c r="AK10" i="10" s="1"/>
  <c r="T10" i="10"/>
  <c r="AL10" i="10" s="1"/>
  <c r="U10" i="10"/>
  <c r="V10" i="10"/>
  <c r="W10" i="10"/>
  <c r="X10" i="10"/>
  <c r="Y10" i="10"/>
  <c r="AG10" i="10" s="1"/>
  <c r="AA10" i="10"/>
  <c r="AB10" i="10"/>
  <c r="AC10" i="10"/>
  <c r="H35" i="12" l="1"/>
  <c r="H34" i="12"/>
  <c r="H33" i="12"/>
  <c r="H32" i="12"/>
  <c r="H31" i="12"/>
  <c r="H30" i="12"/>
  <c r="H29" i="12"/>
  <c r="H28" i="12"/>
  <c r="H27" i="12"/>
  <c r="H26" i="12"/>
  <c r="H25" i="12"/>
  <c r="H24" i="12"/>
  <c r="H23" i="12"/>
  <c r="J22" i="12"/>
  <c r="I22" i="12"/>
  <c r="H22" i="12"/>
  <c r="H21" i="12"/>
  <c r="J20" i="12"/>
  <c r="I20" i="12"/>
  <c r="H20" i="12"/>
  <c r="H19" i="12"/>
  <c r="H18" i="12"/>
  <c r="J17" i="12"/>
  <c r="H17" i="12"/>
  <c r="I17" i="12"/>
  <c r="J16" i="12"/>
  <c r="C58" i="11" s="1"/>
  <c r="I16" i="12"/>
  <c r="H15" i="12"/>
  <c r="H14" i="12"/>
  <c r="H13" i="12"/>
  <c r="H12" i="12"/>
  <c r="H11" i="12"/>
  <c r="H10" i="12"/>
  <c r="H9" i="12"/>
  <c r="H8" i="12"/>
  <c r="H7" i="12"/>
  <c r="J6" i="12"/>
  <c r="I6" i="12"/>
  <c r="H6" i="12"/>
  <c r="H5" i="12"/>
  <c r="H4" i="12"/>
  <c r="H3" i="12"/>
  <c r="I2" i="12"/>
  <c r="J2" i="12"/>
  <c r="AK78" i="10"/>
  <c r="AA78" i="10"/>
  <c r="AI77" i="10"/>
  <c r="AA77" i="10"/>
  <c r="AK77" i="10"/>
  <c r="AI73" i="10"/>
  <c r="AA73" i="10"/>
  <c r="AK73" i="10"/>
  <c r="AA69" i="10"/>
  <c r="AI69" i="10"/>
  <c r="AL69" i="10"/>
  <c r="AL68" i="10"/>
  <c r="AK68" i="10"/>
  <c r="AA67" i="10"/>
  <c r="AI67" i="10"/>
  <c r="AA66" i="10"/>
  <c r="AI66" i="10"/>
  <c r="AL66" i="10"/>
  <c r="AI65" i="10"/>
  <c r="AA65" i="10"/>
  <c r="AI64" i="10"/>
  <c r="AA64" i="10"/>
  <c r="AL61" i="10"/>
  <c r="AL60" i="10"/>
  <c r="AI51" i="10"/>
  <c r="AD51" i="10"/>
  <c r="AG51" i="10"/>
  <c r="AK51" i="10"/>
  <c r="AL51" i="10"/>
  <c r="AG50" i="10"/>
  <c r="AK50" i="10"/>
  <c r="AL50" i="10"/>
  <c r="AI50" i="10"/>
  <c r="AD50" i="10"/>
  <c r="AG46" i="10"/>
  <c r="AL46" i="10"/>
  <c r="AK46" i="10"/>
  <c r="AD46" i="10"/>
  <c r="AK45" i="10"/>
  <c r="AL45" i="10"/>
  <c r="AG45" i="10"/>
  <c r="AI45" i="10"/>
  <c r="AD45" i="10"/>
  <c r="AG43" i="10"/>
  <c r="AK43" i="10"/>
  <c r="AL43" i="10"/>
  <c r="AD43" i="10"/>
  <c r="AK39" i="10"/>
  <c r="AK38" i="10"/>
  <c r="AL38" i="10"/>
  <c r="AG38" i="10"/>
  <c r="AD38" i="10"/>
  <c r="AI37" i="10"/>
  <c r="AD37" i="10"/>
  <c r="AL37" i="10"/>
  <c r="AI36" i="10"/>
  <c r="AD36" i="10"/>
  <c r="AG36" i="10"/>
  <c r="AK36" i="10"/>
  <c r="AL36" i="10"/>
  <c r="AG35" i="10"/>
  <c r="AK35" i="10"/>
  <c r="AL35" i="10"/>
  <c r="AD35" i="10"/>
  <c r="AK27" i="10"/>
  <c r="AK25" i="10"/>
  <c r="AA20" i="10"/>
  <c r="AL20" i="10"/>
  <c r="AA19" i="10"/>
  <c r="AD18" i="10"/>
  <c r="AA18" i="10"/>
  <c r="AI17" i="10"/>
  <c r="AL16" i="10"/>
  <c r="AK13" i="10"/>
  <c r="AL13" i="10"/>
  <c r="AF10" i="10"/>
  <c r="I19" i="12" l="1"/>
  <c r="J19" i="12"/>
  <c r="I35" i="12"/>
  <c r="J35" i="12"/>
  <c r="J34" i="12"/>
  <c r="I34" i="12"/>
  <c r="I33" i="12"/>
  <c r="J33" i="12"/>
  <c r="J32" i="12"/>
  <c r="I32" i="12"/>
  <c r="I31" i="12"/>
  <c r="J31" i="12"/>
  <c r="I30" i="12"/>
  <c r="J30" i="12"/>
  <c r="J29" i="12"/>
  <c r="I29" i="12"/>
  <c r="J28" i="12"/>
  <c r="I28" i="12"/>
  <c r="J27" i="12"/>
  <c r="I27" i="12"/>
  <c r="J26" i="12"/>
  <c r="I26" i="12"/>
  <c r="I25" i="12"/>
  <c r="J25" i="12"/>
  <c r="J24" i="12"/>
  <c r="I24" i="12"/>
  <c r="J23" i="12"/>
  <c r="I23" i="12"/>
  <c r="I21" i="12"/>
  <c r="J21" i="12"/>
  <c r="C56" i="11" s="1"/>
  <c r="J18" i="12"/>
  <c r="I18" i="12"/>
  <c r="J15" i="12"/>
  <c r="I15" i="12"/>
  <c r="J14" i="12"/>
  <c r="I14" i="12"/>
  <c r="I13" i="12"/>
  <c r="J13" i="12"/>
  <c r="I12" i="12"/>
  <c r="J12" i="12"/>
  <c r="J11" i="12"/>
  <c r="I11" i="12"/>
  <c r="I10" i="12"/>
  <c r="J10" i="12"/>
  <c r="J9" i="12"/>
  <c r="I9" i="12"/>
  <c r="J8" i="12"/>
  <c r="I8" i="12"/>
  <c r="J7" i="12"/>
  <c r="I7" i="12"/>
  <c r="J5" i="12"/>
  <c r="I5" i="12"/>
  <c r="J4" i="12"/>
  <c r="I4" i="12"/>
  <c r="J3" i="12"/>
  <c r="B6" i="11" s="1"/>
  <c r="I3" i="12"/>
  <c r="M53" i="9"/>
  <c r="L53" i="9"/>
  <c r="M49" i="9"/>
  <c r="L49" i="9"/>
  <c r="M48" i="9"/>
  <c r="L48" i="9"/>
  <c r="M42" i="9"/>
  <c r="L42" i="9"/>
  <c r="M41" i="9"/>
  <c r="L41" i="9"/>
  <c r="I53" i="9"/>
  <c r="H53" i="9"/>
  <c r="I49" i="9"/>
  <c r="H49" i="9"/>
  <c r="I48" i="9"/>
  <c r="H48" i="9"/>
  <c r="I42" i="9"/>
  <c r="H42" i="9"/>
  <c r="I41" i="9"/>
  <c r="H41" i="9"/>
  <c r="B90" i="9"/>
  <c r="C54" i="11" l="1"/>
  <c r="C55" i="11"/>
  <c r="C47" i="11"/>
  <c r="C57" i="11"/>
  <c r="J57" i="11" a="1"/>
  <c r="J57" i="11" s="1"/>
  <c r="K57" i="11" a="1"/>
  <c r="K57" i="11" s="1"/>
  <c r="K56" i="11" a="1"/>
  <c r="K56" i="11" s="1"/>
  <c r="I57" i="11" a="1"/>
  <c r="I57" i="11" s="1"/>
  <c r="J56" i="11" a="1"/>
  <c r="J56" i="11" s="1"/>
  <c r="K55" i="11" a="1"/>
  <c r="K55" i="11" s="1"/>
  <c r="I56" i="11" a="1"/>
  <c r="I56" i="11" s="1"/>
  <c r="J55" i="11" a="1"/>
  <c r="J55" i="11" s="1"/>
  <c r="I55" i="11" a="1"/>
  <c r="I55" i="11" s="1"/>
  <c r="K54" i="11" a="1"/>
  <c r="K54" i="11" s="1"/>
  <c r="J54" i="11" a="1"/>
  <c r="J54" i="11" s="1"/>
  <c r="K53" i="11" a="1"/>
  <c r="K53" i="11" s="1"/>
  <c r="I54" i="11" a="1"/>
  <c r="I54" i="11" s="1"/>
  <c r="J53" i="11" a="1"/>
  <c r="J53" i="11" s="1"/>
  <c r="C49" i="11"/>
  <c r="I53" i="11" a="1"/>
  <c r="I53" i="11" s="1"/>
  <c r="C51" i="11"/>
  <c r="C53" i="11"/>
  <c r="C52" i="11"/>
  <c r="C50" i="11"/>
  <c r="C48" i="11"/>
  <c r="C46" i="11"/>
  <c r="H6" i="11"/>
  <c r="F6" i="11"/>
  <c r="G42" i="11"/>
  <c r="G41" i="11"/>
  <c r="G40" i="11"/>
  <c r="G39" i="11"/>
  <c r="G38" i="11"/>
  <c r="E41" i="11"/>
  <c r="E39" i="11"/>
  <c r="E40" i="11"/>
  <c r="D41" i="11"/>
  <c r="E38" i="11"/>
  <c r="D39" i="11"/>
  <c r="D40" i="11"/>
  <c r="D38" i="11"/>
  <c r="P15" i="12"/>
  <c r="N14" i="12"/>
  <c r="P14" i="12" s="1"/>
  <c r="O2" i="7"/>
  <c r="I78" i="4" a="1"/>
  <c r="I78" i="4" s="1"/>
  <c r="I77" i="4" a="1"/>
  <c r="I77" i="4" s="1"/>
  <c r="I103" i="4" a="1"/>
  <c r="I103" i="4" s="1"/>
  <c r="I102" i="4" a="1"/>
  <c r="I102" i="4" s="1"/>
  <c r="I87" i="4" a="1"/>
  <c r="I87" i="4" s="1"/>
  <c r="C59" i="11" l="1"/>
  <c r="D6" i="11"/>
  <c r="J49" i="11"/>
  <c r="E42" i="11"/>
  <c r="D42" i="11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J60" i="11" l="1" a="1"/>
  <c r="J60" i="11" s="1"/>
  <c r="J61" i="11" a="1"/>
  <c r="J61" i="11" s="1"/>
  <c r="D46" i="11"/>
  <c r="E46" i="11" s="1"/>
  <c r="J59" i="11" a="1"/>
  <c r="J59" i="11" s="1"/>
  <c r="D47" i="11"/>
  <c r="D49" i="11"/>
  <c r="E49" i="11" s="1"/>
  <c r="D48" i="11"/>
  <c r="E48" i="11" s="1"/>
  <c r="D51" i="11"/>
  <c r="E51" i="11" s="1"/>
  <c r="D50" i="11"/>
  <c r="E50" i="11" s="1"/>
  <c r="D52" i="11"/>
  <c r="E52" i="11" s="1"/>
  <c r="D53" i="11"/>
  <c r="E53" i="11" s="1"/>
  <c r="D54" i="11"/>
  <c r="E54" i="11" s="1"/>
  <c r="D55" i="11"/>
  <c r="E55" i="11" s="1"/>
  <c r="D56" i="11"/>
  <c r="E56" i="11" s="1"/>
  <c r="D57" i="11"/>
  <c r="E57" i="11" s="1"/>
  <c r="D58" i="11"/>
  <c r="E58" i="11" s="1"/>
  <c r="F40" i="11"/>
  <c r="F41" i="11"/>
  <c r="F38" i="11"/>
  <c r="F39" i="11"/>
  <c r="H77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G98" i="3"/>
  <c r="G99" i="3"/>
  <c r="G100" i="3"/>
  <c r="G101" i="3"/>
  <c r="G102" i="3"/>
  <c r="G103" i="3"/>
  <c r="J98" i="3"/>
  <c r="J99" i="3"/>
  <c r="J100" i="3"/>
  <c r="J101" i="3"/>
  <c r="J102" i="3"/>
  <c r="J103" i="3"/>
  <c r="H98" i="3"/>
  <c r="I98" i="3" s="1"/>
  <c r="I99" i="4" s="1" a="1"/>
  <c r="I99" i="4" s="1"/>
  <c r="H99" i="3"/>
  <c r="I99" i="3" s="1"/>
  <c r="I100" i="4" s="1" a="1"/>
  <c r="I100" i="4" s="1"/>
  <c r="H100" i="3"/>
  <c r="I100" i="3" s="1"/>
  <c r="I101" i="4" s="1" a="1"/>
  <c r="I101" i="4" s="1"/>
  <c r="H101" i="3"/>
  <c r="H102" i="3"/>
  <c r="H103" i="3"/>
  <c r="I103" i="3" s="1"/>
  <c r="I104" i="4" s="1" a="1"/>
  <c r="I104" i="4" s="1"/>
  <c r="G86" i="3"/>
  <c r="G87" i="3"/>
  <c r="G88" i="3"/>
  <c r="G89" i="3"/>
  <c r="G90" i="3"/>
  <c r="G91" i="3"/>
  <c r="G92" i="3"/>
  <c r="G93" i="3"/>
  <c r="G94" i="3"/>
  <c r="J86" i="3"/>
  <c r="J87" i="3"/>
  <c r="J88" i="3"/>
  <c r="J89" i="3"/>
  <c r="J90" i="3"/>
  <c r="J91" i="3"/>
  <c r="J92" i="3"/>
  <c r="J93" i="3"/>
  <c r="J94" i="3"/>
  <c r="H86" i="3"/>
  <c r="I86" i="3" s="1"/>
  <c r="I90" i="4" s="1" a="1"/>
  <c r="I90" i="4" s="1"/>
  <c r="H87" i="3"/>
  <c r="I87" i="3" s="1"/>
  <c r="I91" i="4" s="1" a="1"/>
  <c r="I91" i="4" s="1"/>
  <c r="H88" i="3"/>
  <c r="I88" i="3" s="1"/>
  <c r="I92" i="4" s="1" a="1"/>
  <c r="I92" i="4" s="1"/>
  <c r="H89" i="3"/>
  <c r="I89" i="3" s="1"/>
  <c r="I93" i="4" s="1" a="1"/>
  <c r="I93" i="4" s="1"/>
  <c r="H90" i="3"/>
  <c r="I90" i="3" s="1"/>
  <c r="I94" i="4" s="1" a="1"/>
  <c r="I94" i="4" s="1"/>
  <c r="H91" i="3"/>
  <c r="I91" i="3" s="1"/>
  <c r="I95" i="4" s="1" a="1"/>
  <c r="I95" i="4" s="1"/>
  <c r="H92" i="3"/>
  <c r="I92" i="3" s="1"/>
  <c r="I96" i="4" s="1" a="1"/>
  <c r="I96" i="4" s="1"/>
  <c r="H93" i="3"/>
  <c r="I93" i="3" s="1"/>
  <c r="I97" i="4" s="1" a="1"/>
  <c r="I97" i="4" s="1"/>
  <c r="H94" i="3"/>
  <c r="I94" i="3" s="1"/>
  <c r="I98" i="4" s="1" a="1"/>
  <c r="I98" i="4" s="1"/>
  <c r="G72" i="3"/>
  <c r="G73" i="3"/>
  <c r="G74" i="3"/>
  <c r="G75" i="3"/>
  <c r="G76" i="3"/>
  <c r="G77" i="3"/>
  <c r="G78" i="3"/>
  <c r="G79" i="3"/>
  <c r="G80" i="3"/>
  <c r="G81" i="3"/>
  <c r="G82" i="3"/>
  <c r="J70" i="3"/>
  <c r="J72" i="3"/>
  <c r="J73" i="3"/>
  <c r="J74" i="3"/>
  <c r="J75" i="3"/>
  <c r="J76" i="3"/>
  <c r="J77" i="3"/>
  <c r="J78" i="3"/>
  <c r="J79" i="3"/>
  <c r="J80" i="3"/>
  <c r="J81" i="3"/>
  <c r="J82" i="3"/>
  <c r="H72" i="3"/>
  <c r="I72" i="3" s="1"/>
  <c r="I79" i="4" s="1" a="1"/>
  <c r="I79" i="4" s="1"/>
  <c r="H73" i="3"/>
  <c r="I73" i="3" s="1"/>
  <c r="I80" i="4" s="1" a="1"/>
  <c r="I80" i="4" s="1"/>
  <c r="H74" i="3"/>
  <c r="I74" i="3" s="1"/>
  <c r="I81" i="4" s="1" a="1"/>
  <c r="I81" i="4" s="1"/>
  <c r="H75" i="3"/>
  <c r="I75" i="3" s="1"/>
  <c r="I82" i="4" s="1" a="1"/>
  <c r="I82" i="4" s="1"/>
  <c r="H76" i="3"/>
  <c r="I76" i="3" s="1"/>
  <c r="I83" i="4" s="1" a="1"/>
  <c r="I83" i="4" s="1"/>
  <c r="H77" i="3"/>
  <c r="I77" i="3" s="1"/>
  <c r="I84" i="4" s="1" a="1"/>
  <c r="I84" i="4" s="1"/>
  <c r="H78" i="3"/>
  <c r="I78" i="3" s="1"/>
  <c r="I85" i="4" s="1" a="1"/>
  <c r="I85" i="4" s="1"/>
  <c r="H79" i="3"/>
  <c r="I79" i="3" s="1"/>
  <c r="I86" i="4" s="1" a="1"/>
  <c r="I86" i="4" s="1"/>
  <c r="H80" i="3"/>
  <c r="H81" i="3"/>
  <c r="I81" i="3" s="1"/>
  <c r="I88" i="4" s="1" a="1"/>
  <c r="I88" i="4" s="1"/>
  <c r="H82" i="3"/>
  <c r="I82" i="3" s="1"/>
  <c r="I89" i="4" s="1" a="1"/>
  <c r="I89" i="4" s="1"/>
  <c r="G60" i="3"/>
  <c r="G61" i="3"/>
  <c r="J60" i="3"/>
  <c r="J61" i="3"/>
  <c r="H60" i="3"/>
  <c r="H61" i="3"/>
  <c r="G55" i="3"/>
  <c r="G56" i="3"/>
  <c r="J55" i="3"/>
  <c r="J56" i="3"/>
  <c r="H55" i="3"/>
  <c r="H5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G17" i="3"/>
  <c r="G18" i="3"/>
  <c r="G19" i="3"/>
  <c r="G20" i="3"/>
  <c r="J17" i="3"/>
  <c r="J18" i="3"/>
  <c r="J19" i="3"/>
  <c r="J20" i="3"/>
  <c r="H17" i="3"/>
  <c r="H18" i="3"/>
  <c r="H19" i="3"/>
  <c r="H20" i="3"/>
  <c r="G12" i="3"/>
  <c r="G13" i="3"/>
  <c r="J12" i="3"/>
  <c r="J13" i="3"/>
  <c r="H12" i="3"/>
  <c r="H13" i="3"/>
  <c r="H76" i="4"/>
  <c r="H41" i="4"/>
  <c r="H75" i="4"/>
  <c r="H27" i="4"/>
  <c r="H28" i="4"/>
  <c r="H38" i="4"/>
  <c r="H39" i="4"/>
  <c r="H11" i="4"/>
  <c r="H12" i="4"/>
  <c r="H25" i="4"/>
  <c r="H26" i="4"/>
  <c r="A2" i="6"/>
  <c r="A3" i="6" a="1"/>
  <c r="A3" i="6" s="1"/>
  <c r="B6" i="6" a="1"/>
  <c r="B6" i="6" s="1"/>
  <c r="C6" i="6" a="1"/>
  <c r="C6" i="6" s="1"/>
  <c r="F6" i="6"/>
  <c r="G6" i="6"/>
  <c r="F7" i="6"/>
  <c r="M7" i="6" s="1"/>
  <c r="G7" i="6"/>
  <c r="F8" i="6"/>
  <c r="M8" i="6" s="1"/>
  <c r="G8" i="6"/>
  <c r="H8" i="6" s="1"/>
  <c r="F9" i="6"/>
  <c r="G9" i="6"/>
  <c r="B92" i="9" s="1"/>
  <c r="H9" i="6"/>
  <c r="B93" i="9" s="1"/>
  <c r="E5" i="9" s="1"/>
  <c r="F12" i="6"/>
  <c r="G12" i="6" s="1"/>
  <c r="I12" i="6" s="1"/>
  <c r="F15" i="6"/>
  <c r="M15" i="6" s="1"/>
  <c r="G15" i="6"/>
  <c r="F16" i="6"/>
  <c r="M16" i="6" s="1"/>
  <c r="G16" i="6"/>
  <c r="F17" i="6"/>
  <c r="G17" i="6"/>
  <c r="F18" i="6"/>
  <c r="M18" i="6" s="1"/>
  <c r="G18" i="6"/>
  <c r="F19" i="6"/>
  <c r="M19" i="6" s="1"/>
  <c r="G19" i="6"/>
  <c r="F20" i="6"/>
  <c r="M20" i="6" s="1"/>
  <c r="G20" i="6"/>
  <c r="A2" i="4" a="1"/>
  <c r="A2" i="4" s="1"/>
  <c r="N4" i="4"/>
  <c r="N5" i="4"/>
  <c r="N8" i="4" s="1"/>
  <c r="A2" i="3" a="1"/>
  <c r="A2" i="3" s="1"/>
  <c r="P4" i="3"/>
  <c r="U4" i="3"/>
  <c r="AJ4" i="3"/>
  <c r="U5" i="3"/>
  <c r="U6" i="3" s="1"/>
  <c r="P5" i="3" s="1"/>
  <c r="AJ5" i="3"/>
  <c r="AI5" i="3" s="1"/>
  <c r="AI35" i="3" s="1"/>
  <c r="M56" i="4" s="1"/>
  <c r="P96" i="3"/>
  <c r="Q96" i="3"/>
  <c r="R96" i="3"/>
  <c r="U96" i="3"/>
  <c r="V96" i="3"/>
  <c r="W96" i="3"/>
  <c r="X96" i="3"/>
  <c r="Y96" i="3"/>
  <c r="Z96" i="3"/>
  <c r="AA96" i="3"/>
  <c r="AB96" i="3"/>
  <c r="AC96" i="3"/>
  <c r="AD96" i="3"/>
  <c r="AE96" i="3"/>
  <c r="AF96" i="3"/>
  <c r="E47" i="11" l="1"/>
  <c r="D59" i="11"/>
  <c r="E59" i="11" s="1"/>
  <c r="F42" i="11"/>
  <c r="F10" i="6"/>
  <c r="B91" i="9"/>
  <c r="E82" i="9" s="1"/>
  <c r="H6" i="6"/>
  <c r="M6" i="6"/>
  <c r="I7" i="6"/>
  <c r="J7" i="6" s="1"/>
  <c r="K7" i="6" s="1"/>
  <c r="L7" i="6" s="1"/>
  <c r="AT32" i="4"/>
  <c r="AD32" i="4"/>
  <c r="N32" i="4"/>
  <c r="AS32" i="4"/>
  <c r="AC32" i="4"/>
  <c r="M32" i="4"/>
  <c r="AR32" i="4"/>
  <c r="AB32" i="4"/>
  <c r="AQ32" i="4"/>
  <c r="AA32" i="4"/>
  <c r="AP32" i="4"/>
  <c r="Z32" i="4"/>
  <c r="AO32" i="4"/>
  <c r="Y32" i="4"/>
  <c r="AN32" i="4"/>
  <c r="X32" i="4"/>
  <c r="AM32" i="4"/>
  <c r="W32" i="4"/>
  <c r="AL32" i="4"/>
  <c r="V32" i="4"/>
  <c r="AJ32" i="4"/>
  <c r="T32" i="4"/>
  <c r="AV32" i="4"/>
  <c r="AF32" i="4"/>
  <c r="P32" i="4"/>
  <c r="AW32" i="4"/>
  <c r="AU32" i="4"/>
  <c r="AK32" i="4"/>
  <c r="AI32" i="4"/>
  <c r="AH32" i="4"/>
  <c r="AG32" i="4"/>
  <c r="AE32" i="4"/>
  <c r="U32" i="4"/>
  <c r="O32" i="4"/>
  <c r="S32" i="4"/>
  <c r="R32" i="4"/>
  <c r="Q32" i="4"/>
  <c r="AQ24" i="4" a="1"/>
  <c r="AQ24" i="4" s="1"/>
  <c r="AA24" i="4" a="1"/>
  <c r="AA24" i="4" s="1"/>
  <c r="AV23" i="4" a="1"/>
  <c r="AV23" i="4" s="1"/>
  <c r="AF23" i="4" a="1"/>
  <c r="AF23" i="4" s="1"/>
  <c r="P23" i="4" a="1"/>
  <c r="P23" i="4" s="1"/>
  <c r="AI16" i="4" a="1"/>
  <c r="AI16" i="4" s="1"/>
  <c r="S16" i="4" a="1"/>
  <c r="S16" i="4" s="1"/>
  <c r="AS14" i="4" a="1"/>
  <c r="AS14" i="4" s="1"/>
  <c r="AC14" i="4" a="1"/>
  <c r="AC14" i="4" s="1"/>
  <c r="M14" i="4" a="1"/>
  <c r="M14" i="4" s="1"/>
  <c r="AM12" i="4" a="1"/>
  <c r="AM12" i="4" s="1"/>
  <c r="W12" i="4" a="1"/>
  <c r="W12" i="4" s="1"/>
  <c r="AP24" i="4" a="1"/>
  <c r="AP24" i="4" s="1"/>
  <c r="Z24" i="4" a="1"/>
  <c r="Z24" i="4" s="1"/>
  <c r="AU23" i="4" a="1"/>
  <c r="AU23" i="4" s="1"/>
  <c r="AE23" i="4" a="1"/>
  <c r="AE23" i="4" s="1"/>
  <c r="O23" i="4" a="1"/>
  <c r="O23" i="4" s="1"/>
  <c r="AH16" i="4" a="1"/>
  <c r="AH16" i="4" s="1"/>
  <c r="R16" i="4" a="1"/>
  <c r="R16" i="4" s="1"/>
  <c r="AR14" i="4" a="1"/>
  <c r="AR14" i="4" s="1"/>
  <c r="AB14" i="4" a="1"/>
  <c r="AB14" i="4" s="1"/>
  <c r="AL12" i="4" a="1"/>
  <c r="AL12" i="4" s="1"/>
  <c r="V12" i="4" a="1"/>
  <c r="V12" i="4" s="1"/>
  <c r="AO24" i="4" a="1"/>
  <c r="AO24" i="4" s="1"/>
  <c r="Y24" i="4" a="1"/>
  <c r="Y24" i="4" s="1"/>
  <c r="AT23" i="4" a="1"/>
  <c r="AT23" i="4" s="1"/>
  <c r="AD23" i="4" a="1"/>
  <c r="AD23" i="4" s="1"/>
  <c r="N23" i="4" a="1"/>
  <c r="N23" i="4" s="1"/>
  <c r="AW16" i="4" a="1"/>
  <c r="AW16" i="4" s="1"/>
  <c r="AG16" i="4" a="1"/>
  <c r="AG16" i="4" s="1"/>
  <c r="Q16" i="4" a="1"/>
  <c r="Q16" i="4" s="1"/>
  <c r="AQ14" i="4" a="1"/>
  <c r="AQ14" i="4" s="1"/>
  <c r="AA14" i="4" a="1"/>
  <c r="AA14" i="4" s="1"/>
  <c r="AK12" i="4" a="1"/>
  <c r="AK12" i="4" s="1"/>
  <c r="U12" i="4" a="1"/>
  <c r="U12" i="4" s="1"/>
  <c r="AN24" i="4" a="1"/>
  <c r="AN24" i="4" s="1"/>
  <c r="X24" i="4" a="1"/>
  <c r="X24" i="4" s="1"/>
  <c r="AS23" i="4" a="1"/>
  <c r="AS23" i="4" s="1"/>
  <c r="AC23" i="4" a="1"/>
  <c r="AC23" i="4" s="1"/>
  <c r="M23" i="4" a="1"/>
  <c r="M23" i="4" s="1"/>
  <c r="AV16" i="4" a="1"/>
  <c r="AV16" i="4" s="1"/>
  <c r="AF16" i="4" a="1"/>
  <c r="AF16" i="4" s="1"/>
  <c r="P16" i="4" a="1"/>
  <c r="P16" i="4" s="1"/>
  <c r="AP14" i="4" a="1"/>
  <c r="AP14" i="4" s="1"/>
  <c r="Z14" i="4" a="1"/>
  <c r="Z14" i="4" s="1"/>
  <c r="AJ12" i="4" a="1"/>
  <c r="AJ12" i="4" s="1"/>
  <c r="T12" i="4" a="1"/>
  <c r="T12" i="4" s="1"/>
  <c r="AM24" i="4" a="1"/>
  <c r="AM24" i="4" s="1"/>
  <c r="W24" i="4" a="1"/>
  <c r="W24" i="4" s="1"/>
  <c r="AR23" i="4" a="1"/>
  <c r="AR23" i="4" s="1"/>
  <c r="AB23" i="4" a="1"/>
  <c r="AB23" i="4" s="1"/>
  <c r="AU16" i="4" a="1"/>
  <c r="AU16" i="4" s="1"/>
  <c r="AE16" i="4" a="1"/>
  <c r="AE16" i="4" s="1"/>
  <c r="O16" i="4" a="1"/>
  <c r="O16" i="4" s="1"/>
  <c r="AO14" i="4" a="1"/>
  <c r="AO14" i="4" s="1"/>
  <c r="Y14" i="4" a="1"/>
  <c r="Y14" i="4" s="1"/>
  <c r="AI12" i="4" a="1"/>
  <c r="AI12" i="4" s="1"/>
  <c r="S12" i="4" a="1"/>
  <c r="S12" i="4" s="1"/>
  <c r="AL24" i="4" a="1"/>
  <c r="AL24" i="4" s="1"/>
  <c r="V24" i="4" a="1"/>
  <c r="V24" i="4" s="1"/>
  <c r="AQ23" i="4" a="1"/>
  <c r="AQ23" i="4" s="1"/>
  <c r="AA23" i="4" a="1"/>
  <c r="AA23" i="4" s="1"/>
  <c r="AT16" i="4" a="1"/>
  <c r="AT16" i="4" s="1"/>
  <c r="AD16" i="4" a="1"/>
  <c r="AD16" i="4" s="1"/>
  <c r="N16" i="4" a="1"/>
  <c r="N16" i="4" s="1"/>
  <c r="AN14" i="4" a="1"/>
  <c r="AN14" i="4" s="1"/>
  <c r="X14" i="4" a="1"/>
  <c r="X14" i="4" s="1"/>
  <c r="AH12" i="4" a="1"/>
  <c r="AH12" i="4" s="1"/>
  <c r="R12" i="4" a="1"/>
  <c r="R12" i="4" s="1"/>
  <c r="AK24" i="4" a="1"/>
  <c r="AK24" i="4" s="1"/>
  <c r="U24" i="4" a="1"/>
  <c r="U24" i="4" s="1"/>
  <c r="AP23" i="4" a="1"/>
  <c r="AP23" i="4" s="1"/>
  <c r="Z23" i="4" a="1"/>
  <c r="Z23" i="4" s="1"/>
  <c r="AS16" i="4" a="1"/>
  <c r="AS16" i="4" s="1"/>
  <c r="AC16" i="4" a="1"/>
  <c r="AC16" i="4" s="1"/>
  <c r="M16" i="4" a="1"/>
  <c r="M16" i="4" s="1"/>
  <c r="AM14" i="4" a="1"/>
  <c r="AM14" i="4" s="1"/>
  <c r="W14" i="4" a="1"/>
  <c r="W14" i="4" s="1"/>
  <c r="AW12" i="4" a="1"/>
  <c r="AW12" i="4" s="1"/>
  <c r="AG12" i="4" a="1"/>
  <c r="AG12" i="4" s="1"/>
  <c r="Q12" i="4" a="1"/>
  <c r="Q12" i="4" s="1"/>
  <c r="AJ24" i="4" a="1"/>
  <c r="AJ24" i="4" s="1"/>
  <c r="T24" i="4" a="1"/>
  <c r="T24" i="4" s="1"/>
  <c r="AO23" i="4" a="1"/>
  <c r="AO23" i="4" s="1"/>
  <c r="Y23" i="4" a="1"/>
  <c r="Y23" i="4" s="1"/>
  <c r="AR16" i="4" a="1"/>
  <c r="AR16" i="4" s="1"/>
  <c r="AB16" i="4" a="1"/>
  <c r="AB16" i="4" s="1"/>
  <c r="AL14" i="4" a="1"/>
  <c r="AL14" i="4" s="1"/>
  <c r="V14" i="4" a="1"/>
  <c r="V14" i="4" s="1"/>
  <c r="AV12" i="4" a="1"/>
  <c r="AV12" i="4" s="1"/>
  <c r="AF12" i="4" a="1"/>
  <c r="AF12" i="4" s="1"/>
  <c r="P12" i="4" a="1"/>
  <c r="P12" i="4" s="1"/>
  <c r="AI24" i="4" a="1"/>
  <c r="AI24" i="4" s="1"/>
  <c r="S24" i="4" a="1"/>
  <c r="S24" i="4" s="1"/>
  <c r="AN23" i="4" a="1"/>
  <c r="AN23" i="4" s="1"/>
  <c r="X23" i="4" a="1"/>
  <c r="X23" i="4" s="1"/>
  <c r="AQ16" i="4" a="1"/>
  <c r="AQ16" i="4" s="1"/>
  <c r="AA16" i="4" a="1"/>
  <c r="AA16" i="4" s="1"/>
  <c r="AK14" i="4" a="1"/>
  <c r="AK14" i="4" s="1"/>
  <c r="U14" i="4" a="1"/>
  <c r="U14" i="4" s="1"/>
  <c r="AU12" i="4" a="1"/>
  <c r="AU12" i="4" s="1"/>
  <c r="AE12" i="4" a="1"/>
  <c r="AE12" i="4" s="1"/>
  <c r="O12" i="4" a="1"/>
  <c r="O12" i="4" s="1"/>
  <c r="AW24" i="4" a="1"/>
  <c r="AW24" i="4" s="1"/>
  <c r="AG24" i="4" a="1"/>
  <c r="AG24" i="4" s="1"/>
  <c r="Q24" i="4" a="1"/>
  <c r="Q24" i="4" s="1"/>
  <c r="AL23" i="4" a="1"/>
  <c r="AL23" i="4" s="1"/>
  <c r="V23" i="4" a="1"/>
  <c r="V23" i="4" s="1"/>
  <c r="AO16" i="4" a="1"/>
  <c r="AO16" i="4" s="1"/>
  <c r="Y16" i="4" a="1"/>
  <c r="Y16" i="4" s="1"/>
  <c r="AI14" i="4" a="1"/>
  <c r="AI14" i="4" s="1"/>
  <c r="S14" i="4" a="1"/>
  <c r="S14" i="4" s="1"/>
  <c r="AS12" i="4" a="1"/>
  <c r="AS12" i="4" s="1"/>
  <c r="AC12" i="4" a="1"/>
  <c r="AC12" i="4" s="1"/>
  <c r="M12" i="4" a="1"/>
  <c r="M12" i="4" s="1"/>
  <c r="AS24" i="4" a="1"/>
  <c r="AS24" i="4" s="1"/>
  <c r="AC24" i="4" a="1"/>
  <c r="AC24" i="4" s="1"/>
  <c r="M24" i="4" a="1"/>
  <c r="M24" i="4" s="1"/>
  <c r="AH23" i="4" a="1"/>
  <c r="AH23" i="4" s="1"/>
  <c r="R23" i="4" a="1"/>
  <c r="R23" i="4" s="1"/>
  <c r="AK16" i="4" a="1"/>
  <c r="AK16" i="4" s="1"/>
  <c r="U16" i="4" a="1"/>
  <c r="U16" i="4" s="1"/>
  <c r="AU14" i="4" a="1"/>
  <c r="AU14" i="4" s="1"/>
  <c r="AE14" i="4" a="1"/>
  <c r="AE14" i="4" s="1"/>
  <c r="O14" i="4" a="1"/>
  <c r="O14" i="4" s="1"/>
  <c r="AO12" i="4" a="1"/>
  <c r="AO12" i="4" s="1"/>
  <c r="Y12" i="4" a="1"/>
  <c r="Y12" i="4" s="1"/>
  <c r="R24" i="4" a="1"/>
  <c r="R24" i="4" s="1"/>
  <c r="AG14" i="4" a="1"/>
  <c r="AG14" i="4" s="1"/>
  <c r="P24" i="4" a="1"/>
  <c r="P24" i="4" s="1"/>
  <c r="AF14" i="4" a="1"/>
  <c r="AF14" i="4" s="1"/>
  <c r="O24" i="4" a="1"/>
  <c r="O24" i="4" s="1"/>
  <c r="AD14" i="4" a="1"/>
  <c r="AD14" i="4" s="1"/>
  <c r="AT12" i="4" a="1"/>
  <c r="AT12" i="4" s="1"/>
  <c r="N24" i="4" a="1"/>
  <c r="N24" i="4" s="1"/>
  <c r="T14" i="4" a="1"/>
  <c r="T14" i="4" s="1"/>
  <c r="AR12" i="4" a="1"/>
  <c r="AR12" i="4" s="1"/>
  <c r="AW23" i="4" a="1"/>
  <c r="AW23" i="4" s="1"/>
  <c r="R14" i="4" a="1"/>
  <c r="R14" i="4" s="1"/>
  <c r="AQ12" i="4" a="1"/>
  <c r="AQ12" i="4" s="1"/>
  <c r="AM23" i="4" a="1"/>
  <c r="AM23" i="4" s="1"/>
  <c r="AP16" i="4" a="1"/>
  <c r="AP16" i="4" s="1"/>
  <c r="Q14" i="4" a="1"/>
  <c r="Q14" i="4" s="1"/>
  <c r="AP12" i="4" a="1"/>
  <c r="AP12" i="4" s="1"/>
  <c r="AK23" i="4" a="1"/>
  <c r="AK23" i="4" s="1"/>
  <c r="AN16" i="4" a="1"/>
  <c r="AN16" i="4" s="1"/>
  <c r="P14" i="4" a="1"/>
  <c r="P14" i="4" s="1"/>
  <c r="AN12" i="4" a="1"/>
  <c r="AN12" i="4" s="1"/>
  <c r="AV24" i="4" a="1"/>
  <c r="AV24" i="4" s="1"/>
  <c r="AJ23" i="4" a="1"/>
  <c r="AJ23" i="4" s="1"/>
  <c r="AM16" i="4" a="1"/>
  <c r="AM16" i="4" s="1"/>
  <c r="N14" i="4" a="1"/>
  <c r="N14" i="4" s="1"/>
  <c r="AD12" i="4" a="1"/>
  <c r="AD12" i="4" s="1"/>
  <c r="AU24" i="4" a="1"/>
  <c r="AU24" i="4" s="1"/>
  <c r="AI23" i="4" a="1"/>
  <c r="AI23" i="4" s="1"/>
  <c r="AL16" i="4" a="1"/>
  <c r="AL16" i="4" s="1"/>
  <c r="AB12" i="4" a="1"/>
  <c r="AB12" i="4" s="1"/>
  <c r="AT24" i="4" a="1"/>
  <c r="AT24" i="4" s="1"/>
  <c r="AG23" i="4" a="1"/>
  <c r="AG23" i="4" s="1"/>
  <c r="AJ16" i="4" a="1"/>
  <c r="AJ16" i="4" s="1"/>
  <c r="AA12" i="4" a="1"/>
  <c r="AA12" i="4" s="1"/>
  <c r="AR24" i="4" a="1"/>
  <c r="AR24" i="4" s="1"/>
  <c r="W23" i="4" a="1"/>
  <c r="W23" i="4" s="1"/>
  <c r="Z16" i="4" a="1"/>
  <c r="Z16" i="4" s="1"/>
  <c r="Z12" i="4" a="1"/>
  <c r="Z12" i="4" s="1"/>
  <c r="AD24" i="4" a="1"/>
  <c r="AD24" i="4" s="1"/>
  <c r="Q23" i="4" a="1"/>
  <c r="Q23" i="4" s="1"/>
  <c r="T16" i="4" a="1"/>
  <c r="T16" i="4" s="1"/>
  <c r="AJ14" i="4" a="1"/>
  <c r="AJ14" i="4" s="1"/>
  <c r="AH24" i="4" a="1"/>
  <c r="AH24" i="4" s="1"/>
  <c r="AF24" i="4" a="1"/>
  <c r="AF24" i="4" s="1"/>
  <c r="AE24" i="4" a="1"/>
  <c r="AE24" i="4" s="1"/>
  <c r="AB24" i="4" a="1"/>
  <c r="AB24" i="4" s="1"/>
  <c r="U23" i="4" a="1"/>
  <c r="U23" i="4" s="1"/>
  <c r="X12" i="4" a="1"/>
  <c r="X12" i="4" s="1"/>
  <c r="T23" i="4" a="1"/>
  <c r="T23" i="4" s="1"/>
  <c r="N12" i="4" a="1"/>
  <c r="N12" i="4" s="1"/>
  <c r="S23" i="4" a="1"/>
  <c r="S23" i="4" s="1"/>
  <c r="X16" i="4" a="1"/>
  <c r="X16" i="4" s="1"/>
  <c r="W16" i="4" a="1"/>
  <c r="W16" i="4" s="1"/>
  <c r="V16" i="4" a="1"/>
  <c r="V16" i="4" s="1"/>
  <c r="AT14" i="4" a="1"/>
  <c r="AT14" i="4" s="1"/>
  <c r="AV14" i="4" a="1"/>
  <c r="AV14" i="4" s="1"/>
  <c r="AW14" i="4" a="1"/>
  <c r="AW14" i="4" s="1"/>
  <c r="AH14" i="4" a="1"/>
  <c r="AH14" i="4" s="1"/>
  <c r="I17" i="6"/>
  <c r="J17" i="6" s="1"/>
  <c r="K17" i="6" s="1"/>
  <c r="H15" i="6"/>
  <c r="H16" i="6"/>
  <c r="I8" i="6"/>
  <c r="J8" i="6" s="1"/>
  <c r="K8" i="6" s="1"/>
  <c r="L8" i="6" s="1"/>
  <c r="AJ92" i="3"/>
  <c r="N96" i="4" s="1"/>
  <c r="H17" i="6"/>
  <c r="F14" i="6"/>
  <c r="G14" i="6" s="1"/>
  <c r="I14" i="6" s="1"/>
  <c r="J14" i="6" s="1"/>
  <c r="L14" i="6" s="1"/>
  <c r="AI107" i="3"/>
  <c r="I20" i="6"/>
  <c r="J20" i="6" s="1"/>
  <c r="H20" i="6"/>
  <c r="H12" i="6"/>
  <c r="AJ107" i="3"/>
  <c r="I19" i="6"/>
  <c r="J19" i="6" s="1"/>
  <c r="I9" i="6"/>
  <c r="AJ98" i="3"/>
  <c r="N99" i="4" s="1"/>
  <c r="AI99" i="3"/>
  <c r="M100" i="4" s="1"/>
  <c r="AI101" i="3"/>
  <c r="M102" i="4" s="1"/>
  <c r="AJ101" i="3"/>
  <c r="N102" i="4" s="1"/>
  <c r="AJ103" i="3"/>
  <c r="N104" i="4" s="1"/>
  <c r="AI88" i="3"/>
  <c r="M92" i="4" s="1"/>
  <c r="AJ88" i="3"/>
  <c r="N92" i="4" s="1"/>
  <c r="AI100" i="3"/>
  <c r="M101" i="4" s="1"/>
  <c r="AI98" i="3"/>
  <c r="M99" i="4" s="1"/>
  <c r="AJ100" i="3"/>
  <c r="N101" i="4" s="1"/>
  <c r="AJ99" i="3"/>
  <c r="N100" i="4" s="1"/>
  <c r="AI103" i="3"/>
  <c r="M104" i="4" s="1"/>
  <c r="AI102" i="3"/>
  <c r="M103" i="4" s="1"/>
  <c r="AJ102" i="3"/>
  <c r="N103" i="4" s="1"/>
  <c r="AJ86" i="3"/>
  <c r="N90" i="4" s="1"/>
  <c r="AJ89" i="3"/>
  <c r="N93" i="4" s="1"/>
  <c r="AI92" i="3"/>
  <c r="M96" i="4" s="1"/>
  <c r="AI91" i="3"/>
  <c r="M95" i="4" s="1"/>
  <c r="AJ91" i="3"/>
  <c r="N95" i="4" s="1"/>
  <c r="AI87" i="3"/>
  <c r="M91" i="4" s="1"/>
  <c r="AJ87" i="3"/>
  <c r="N91" i="4" s="1"/>
  <c r="AI94" i="3"/>
  <c r="M98" i="4" s="1"/>
  <c r="AI90" i="3"/>
  <c r="M94" i="4" s="1"/>
  <c r="AJ94" i="3"/>
  <c r="N98" i="4" s="1"/>
  <c r="AJ90" i="3"/>
  <c r="N94" i="4" s="1"/>
  <c r="AI93" i="3"/>
  <c r="M97" i="4" s="1"/>
  <c r="AJ93" i="3"/>
  <c r="N97" i="4" s="1"/>
  <c r="AI86" i="3"/>
  <c r="M90" i="4" s="1"/>
  <c r="AI89" i="3"/>
  <c r="M93" i="4" s="1"/>
  <c r="AI72" i="3"/>
  <c r="M79" i="4" s="1"/>
  <c r="AJ77" i="3"/>
  <c r="N84" i="4" s="1"/>
  <c r="AJ80" i="3"/>
  <c r="N87" i="4" s="1"/>
  <c r="AJ72" i="3"/>
  <c r="N79" i="4" s="1"/>
  <c r="AI77" i="3"/>
  <c r="M84" i="4" s="1"/>
  <c r="AI76" i="3"/>
  <c r="M83" i="4" s="1"/>
  <c r="AI79" i="3"/>
  <c r="M86" i="4" s="1"/>
  <c r="AJ76" i="3"/>
  <c r="N83" i="4" s="1"/>
  <c r="AJ79" i="3"/>
  <c r="N86" i="4" s="1"/>
  <c r="AI82" i="3"/>
  <c r="M89" i="4" s="1"/>
  <c r="AI80" i="3"/>
  <c r="M87" i="4" s="1"/>
  <c r="AI75" i="3"/>
  <c r="M82" i="4" s="1"/>
  <c r="AJ82" i="3"/>
  <c r="N89" i="4" s="1"/>
  <c r="AI74" i="3"/>
  <c r="M81" i="4" s="1"/>
  <c r="AJ75" i="3"/>
  <c r="N82" i="4" s="1"/>
  <c r="AI78" i="3"/>
  <c r="M85" i="4" s="1"/>
  <c r="AI81" i="3"/>
  <c r="M88" i="4" s="1"/>
  <c r="AJ74" i="3"/>
  <c r="N81" i="4" s="1"/>
  <c r="AJ78" i="3"/>
  <c r="N85" i="4" s="1"/>
  <c r="AJ81" i="3"/>
  <c r="N88" i="4" s="1"/>
  <c r="AI70" i="3"/>
  <c r="M77" i="4" s="1"/>
  <c r="AJ70" i="3"/>
  <c r="N77" i="4" s="1"/>
  <c r="AI73" i="3"/>
  <c r="M80" i="4" s="1"/>
  <c r="AJ73" i="3"/>
  <c r="N80" i="4" s="1"/>
  <c r="AI60" i="3"/>
  <c r="M73" i="4" s="1"/>
  <c r="AJ60" i="3"/>
  <c r="N73" i="4" s="1"/>
  <c r="AI61" i="3"/>
  <c r="M74" i="4" s="1"/>
  <c r="AJ61" i="3"/>
  <c r="N74" i="4" s="1"/>
  <c r="AJ55" i="3"/>
  <c r="N71" i="4" s="1"/>
  <c r="AI55" i="3"/>
  <c r="M71" i="4" s="1"/>
  <c r="AI30" i="3"/>
  <c r="M51" i="4" s="1"/>
  <c r="AI56" i="3"/>
  <c r="M72" i="4" s="1"/>
  <c r="AJ35" i="3"/>
  <c r="N56" i="4" s="1"/>
  <c r="AJ56" i="3"/>
  <c r="N72" i="4" s="1"/>
  <c r="AI46" i="3"/>
  <c r="M67" i="4" s="1"/>
  <c r="AJ30" i="3"/>
  <c r="N51" i="4" s="1"/>
  <c r="AI41" i="3"/>
  <c r="M62" i="4" s="1"/>
  <c r="AJ46" i="3"/>
  <c r="N67" i="4" s="1"/>
  <c r="AJ41" i="3"/>
  <c r="N62" i="4" s="1"/>
  <c r="AI36" i="3"/>
  <c r="M57" i="4" s="1"/>
  <c r="AI42" i="3"/>
  <c r="M63" i="4" s="1"/>
  <c r="AI31" i="3"/>
  <c r="M52" i="4" s="1"/>
  <c r="AJ36" i="3"/>
  <c r="N57" i="4" s="1"/>
  <c r="AJ42" i="3"/>
  <c r="N63" i="4" s="1"/>
  <c r="AI47" i="3"/>
  <c r="M68" i="4" s="1"/>
  <c r="AJ31" i="3"/>
  <c r="N52" i="4" s="1"/>
  <c r="AI32" i="3"/>
  <c r="M53" i="4" s="1"/>
  <c r="AI43" i="3"/>
  <c r="M64" i="4" s="1"/>
  <c r="AJ47" i="3"/>
  <c r="N68" i="4" s="1"/>
  <c r="AJ32" i="3"/>
  <c r="N53" i="4" s="1"/>
  <c r="AI37" i="3"/>
  <c r="M58" i="4" s="1"/>
  <c r="AJ43" i="3"/>
  <c r="N64" i="4" s="1"/>
  <c r="AI48" i="3"/>
  <c r="M69" i="4" s="1"/>
  <c r="AI27" i="3"/>
  <c r="M48" i="4" s="1"/>
  <c r="AJ37" i="3"/>
  <c r="N58" i="4" s="1"/>
  <c r="AI44" i="3"/>
  <c r="M65" i="4" s="1"/>
  <c r="AJ48" i="3"/>
  <c r="N69" i="4" s="1"/>
  <c r="AJ27" i="3"/>
  <c r="N48" i="4" s="1"/>
  <c r="AI33" i="3"/>
  <c r="M54" i="4" s="1"/>
  <c r="AJ44" i="3"/>
  <c r="N65" i="4" s="1"/>
  <c r="AJ33" i="3"/>
  <c r="N54" i="4" s="1"/>
  <c r="AI38" i="3"/>
  <c r="M59" i="4" s="1"/>
  <c r="AI49" i="3"/>
  <c r="M70" i="4" s="1"/>
  <c r="AJ38" i="3"/>
  <c r="N59" i="4" s="1"/>
  <c r="AJ49" i="3"/>
  <c r="N70" i="4" s="1"/>
  <c r="AI28" i="3"/>
  <c r="M49" i="4" s="1"/>
  <c r="AJ28" i="3"/>
  <c r="N49" i="4" s="1"/>
  <c r="AI39" i="3"/>
  <c r="M60" i="4" s="1"/>
  <c r="AI45" i="3"/>
  <c r="M66" i="4" s="1"/>
  <c r="AI34" i="3"/>
  <c r="M55" i="4" s="1"/>
  <c r="AJ39" i="3"/>
  <c r="N60" i="4" s="1"/>
  <c r="AJ45" i="3"/>
  <c r="N66" i="4" s="1"/>
  <c r="AI29" i="3"/>
  <c r="M50" i="4" s="1"/>
  <c r="AJ34" i="3"/>
  <c r="N55" i="4" s="1"/>
  <c r="AI40" i="3"/>
  <c r="M61" i="4" s="1"/>
  <c r="AJ29" i="3"/>
  <c r="N50" i="4" s="1"/>
  <c r="AJ40" i="3"/>
  <c r="N61" i="4" s="1"/>
  <c r="AI18" i="3"/>
  <c r="M45" i="4" s="1"/>
  <c r="AJ18" i="3"/>
  <c r="N45" i="4" s="1"/>
  <c r="AI19" i="3"/>
  <c r="M46" i="4" s="1"/>
  <c r="AJ19" i="3"/>
  <c r="N46" i="4" s="1"/>
  <c r="AI20" i="3"/>
  <c r="M47" i="4" s="1"/>
  <c r="AI17" i="3"/>
  <c r="M44" i="4" s="1"/>
  <c r="AJ20" i="3"/>
  <c r="N47" i="4" s="1"/>
  <c r="AJ3" i="3"/>
  <c r="AJ17" i="3"/>
  <c r="N44" i="4" s="1"/>
  <c r="AJ12" i="3"/>
  <c r="N42" i="4" s="1"/>
  <c r="AI12" i="3"/>
  <c r="M42" i="4" s="1"/>
  <c r="AI13" i="3"/>
  <c r="M43" i="4" s="1"/>
  <c r="AJ13" i="3"/>
  <c r="N43" i="4" s="1"/>
  <c r="G10" i="6"/>
  <c r="I10" i="6" s="1"/>
  <c r="J10" i="6" s="1"/>
  <c r="L10" i="6" s="1"/>
  <c r="H18" i="6"/>
  <c r="I16" i="6"/>
  <c r="V4" i="3"/>
  <c r="AI8" i="3"/>
  <c r="AI3" i="3"/>
  <c r="P6" i="3"/>
  <c r="P8" i="3" s="1"/>
  <c r="P7" i="3"/>
  <c r="AJ7" i="3"/>
  <c r="AI7" i="3"/>
  <c r="H7" i="6"/>
  <c r="I15" i="6"/>
  <c r="N15" i="6" s="1"/>
  <c r="O15" i="6" s="1"/>
  <c r="AK5" i="3"/>
  <c r="AK107" i="3" s="1"/>
  <c r="H19" i="6"/>
  <c r="Q5" i="3"/>
  <c r="P3" i="3"/>
  <c r="Q4" i="3"/>
  <c r="AJ8" i="3"/>
  <c r="AJ6" i="3"/>
  <c r="U3" i="3"/>
  <c r="U7" i="3"/>
  <c r="U8" i="3" s="1"/>
  <c r="AI4" i="3"/>
  <c r="N7" i="4"/>
  <c r="N6" i="4"/>
  <c r="M5" i="4"/>
  <c r="O5" i="4"/>
  <c r="N3" i="4"/>
  <c r="J12" i="6"/>
  <c r="L12" i="6" s="1"/>
  <c r="H10" i="6"/>
  <c r="M10" i="6"/>
  <c r="O10" i="6" s="1"/>
  <c r="F13" i="6"/>
  <c r="M17" i="6"/>
  <c r="M9" i="6"/>
  <c r="B98" i="9" s="1"/>
  <c r="K82" i="9" s="1"/>
  <c r="M12" i="6"/>
  <c r="O12" i="6" s="1"/>
  <c r="G11" i="6"/>
  <c r="I6" i="6"/>
  <c r="F11" i="6"/>
  <c r="I18" i="6"/>
  <c r="L82" i="9" l="1"/>
  <c r="M82" i="9"/>
  <c r="J9" i="6"/>
  <c r="B94" i="9"/>
  <c r="N7" i="6"/>
  <c r="O7" i="6" s="1"/>
  <c r="N17" i="6"/>
  <c r="O17" i="6" s="1"/>
  <c r="N8" i="6"/>
  <c r="O8" i="6" s="1"/>
  <c r="M14" i="6"/>
  <c r="O14" i="6" s="1"/>
  <c r="K20" i="6"/>
  <c r="L20" i="6" s="1"/>
  <c r="N19" i="6"/>
  <c r="O19" i="6" s="1"/>
  <c r="M13" i="4" a="1"/>
  <c r="M13" i="4" s="1"/>
  <c r="M107" i="4" s="1"/>
  <c r="N13" i="4" a="1"/>
  <c r="N13" i="4" s="1"/>
  <c r="M20" i="4" a="1"/>
  <c r="M20" i="4" s="1"/>
  <c r="N20" i="4" a="1"/>
  <c r="N20" i="4" s="1"/>
  <c r="M28" i="4"/>
  <c r="N15" i="4" a="1"/>
  <c r="N15" i="4" s="1"/>
  <c r="N33" i="4"/>
  <c r="M22" i="4" a="1"/>
  <c r="M22" i="4" s="1"/>
  <c r="M110" i="4" s="1"/>
  <c r="N22" i="4" a="1"/>
  <c r="N22" i="4" s="1"/>
  <c r="M18" i="4" a="1"/>
  <c r="M18" i="4" s="1"/>
  <c r="N21" i="4" a="1"/>
  <c r="N21" i="4" s="1"/>
  <c r="N37" i="4"/>
  <c r="N34" i="4"/>
  <c r="N30" i="4"/>
  <c r="N31" i="4"/>
  <c r="N38" i="4"/>
  <c r="M35" i="4"/>
  <c r="N36" i="4"/>
  <c r="M30" i="4"/>
  <c r="N28" i="4"/>
  <c r="M17" i="4" a="1"/>
  <c r="M17" i="4" s="1"/>
  <c r="N17" i="4" a="1"/>
  <c r="N17" i="4" s="1"/>
  <c r="M21" i="4" a="1"/>
  <c r="M21" i="4" s="1"/>
  <c r="M33" i="4"/>
  <c r="M36" i="4"/>
  <c r="M19" i="4" a="1"/>
  <c r="M19" i="4" s="1"/>
  <c r="N25" i="4" a="1"/>
  <c r="N25" i="4" s="1"/>
  <c r="N19" i="4" a="1"/>
  <c r="N19" i="4" s="1"/>
  <c r="M37" i="4"/>
  <c r="M34" i="4"/>
  <c r="M31" i="4"/>
  <c r="M15" i="4" a="1"/>
  <c r="M15" i="4" s="1"/>
  <c r="M108" i="4" s="1"/>
  <c r="N18" i="4" a="1"/>
  <c r="N18" i="4" s="1"/>
  <c r="N35" i="4"/>
  <c r="H14" i="6"/>
  <c r="K19" i="6"/>
  <c r="L19" i="6" s="1"/>
  <c r="N20" i="6"/>
  <c r="O20" i="6" s="1"/>
  <c r="N9" i="6"/>
  <c r="M25" i="4" a="1"/>
  <c r="M25" i="4" s="1"/>
  <c r="M111" i="4" s="1"/>
  <c r="M38" i="4"/>
  <c r="J15" i="6"/>
  <c r="K15" i="6" s="1"/>
  <c r="M119" i="4"/>
  <c r="AI71" i="3"/>
  <c r="AJ71" i="3"/>
  <c r="AI114" i="3" a="1"/>
  <c r="AI114" i="3" s="1"/>
  <c r="M123" i="4"/>
  <c r="AI58" i="3"/>
  <c r="N123" i="4"/>
  <c r="AI96" i="3"/>
  <c r="AI84" i="3"/>
  <c r="AJ113" i="3" a="1"/>
  <c r="AJ113" i="3" s="1"/>
  <c r="AI111" i="3" a="1"/>
  <c r="AI111" i="3" s="1"/>
  <c r="AI113" i="3" a="1"/>
  <c r="AI113" i="3" s="1"/>
  <c r="M120" i="4"/>
  <c r="AJ114" i="3" a="1"/>
  <c r="AJ114" i="3" s="1"/>
  <c r="AJ84" i="3"/>
  <c r="N122" i="4"/>
  <c r="AJ96" i="3"/>
  <c r="AJ10" i="3"/>
  <c r="AK102" i="3"/>
  <c r="O103" i="4" s="1"/>
  <c r="AK98" i="3"/>
  <c r="AK103" i="3"/>
  <c r="O104" i="4" s="1"/>
  <c r="AK99" i="3"/>
  <c r="O100" i="4" s="1"/>
  <c r="AK100" i="3"/>
  <c r="O101" i="4" s="1"/>
  <c r="AK101" i="3"/>
  <c r="N119" i="4"/>
  <c r="AJ111" i="3" a="1"/>
  <c r="AJ111" i="3" s="1"/>
  <c r="AJ108" i="3" a="1"/>
  <c r="AJ108" i="3" s="1"/>
  <c r="M122" i="4"/>
  <c r="AI53" i="3"/>
  <c r="AK93" i="3"/>
  <c r="AK90" i="3"/>
  <c r="O94" i="4" s="1"/>
  <c r="AK94" i="3"/>
  <c r="O98" i="4" s="1"/>
  <c r="AK87" i="3"/>
  <c r="AK91" i="3"/>
  <c r="O95" i="4" s="1"/>
  <c r="AK92" i="3"/>
  <c r="O96" i="4" s="1"/>
  <c r="AK88" i="3"/>
  <c r="O92" i="4" s="1"/>
  <c r="AK89" i="3"/>
  <c r="AK86" i="3"/>
  <c r="AJ110" i="3" a="1"/>
  <c r="AJ110" i="3" s="1"/>
  <c r="AJ58" i="3"/>
  <c r="AI15" i="3"/>
  <c r="N120" i="4"/>
  <c r="AK70" i="3"/>
  <c r="O77" i="4" s="1"/>
  <c r="AK73" i="3"/>
  <c r="AK81" i="3"/>
  <c r="O88" i="4" s="1"/>
  <c r="AK78" i="3"/>
  <c r="O85" i="4" s="1"/>
  <c r="AK74" i="3"/>
  <c r="O81" i="4" s="1"/>
  <c r="AK75" i="3"/>
  <c r="O82" i="4" s="1"/>
  <c r="AK82" i="3"/>
  <c r="O89" i="4" s="1"/>
  <c r="AK79" i="3"/>
  <c r="O86" i="4" s="1"/>
  <c r="AK76" i="3"/>
  <c r="O83" i="4" s="1"/>
  <c r="AK72" i="3"/>
  <c r="AK80" i="3"/>
  <c r="O87" i="4" s="1"/>
  <c r="AK77" i="3"/>
  <c r="AI110" i="3" a="1"/>
  <c r="AI110" i="3" s="1"/>
  <c r="AJ53" i="3"/>
  <c r="AK61" i="3"/>
  <c r="O74" i="4" s="1"/>
  <c r="AK60" i="3"/>
  <c r="AI109" i="3" a="1"/>
  <c r="AI109" i="3" s="1"/>
  <c r="AK56" i="3"/>
  <c r="O72" i="4" s="1"/>
  <c r="AK55" i="3"/>
  <c r="N118" i="4"/>
  <c r="AJ109" i="3" a="1"/>
  <c r="AJ109" i="3" s="1"/>
  <c r="M117" i="4"/>
  <c r="AI25" i="3"/>
  <c r="M118" i="4"/>
  <c r="AI108" i="3" a="1"/>
  <c r="AI108" i="3" s="1"/>
  <c r="AJ25" i="3"/>
  <c r="N116" i="4"/>
  <c r="AJ15" i="3"/>
  <c r="N117" i="4"/>
  <c r="AI6" i="3"/>
  <c r="AK34" i="3"/>
  <c r="O55" i="4" s="1"/>
  <c r="AK45" i="3"/>
  <c r="AK39" i="3"/>
  <c r="AK28" i="3"/>
  <c r="AK49" i="3"/>
  <c r="O70" i="4" s="1"/>
  <c r="AK38" i="3"/>
  <c r="O59" i="4" s="1"/>
  <c r="AK33" i="3"/>
  <c r="O54" i="4" s="1"/>
  <c r="AK44" i="3"/>
  <c r="O65" i="4" s="1"/>
  <c r="AK27" i="3"/>
  <c r="AK48" i="3"/>
  <c r="O69" i="4" s="1"/>
  <c r="AK37" i="3"/>
  <c r="O58" i="4" s="1"/>
  <c r="AK43" i="3"/>
  <c r="O64" i="4" s="1"/>
  <c r="AK32" i="3"/>
  <c r="O53" i="4" s="1"/>
  <c r="AK47" i="3"/>
  <c r="O68" i="4" s="1"/>
  <c r="AK31" i="3"/>
  <c r="O52" i="4" s="1"/>
  <c r="AK42" i="3"/>
  <c r="O63" i="4" s="1"/>
  <c r="AK36" i="3"/>
  <c r="O57" i="4" s="1"/>
  <c r="AK40" i="3"/>
  <c r="O61" i="4" s="1"/>
  <c r="AK41" i="3"/>
  <c r="O62" i="4" s="1"/>
  <c r="AK29" i="3"/>
  <c r="O50" i="4" s="1"/>
  <c r="AK46" i="3"/>
  <c r="O67" i="4" s="1"/>
  <c r="AK30" i="3"/>
  <c r="O51" i="4" s="1"/>
  <c r="AK35" i="3"/>
  <c r="AK17" i="3"/>
  <c r="AK20" i="3"/>
  <c r="O47" i="4" s="1"/>
  <c r="AK19" i="3"/>
  <c r="O46" i="4" s="1"/>
  <c r="AK18" i="3"/>
  <c r="O45" i="4" s="1"/>
  <c r="AI106" i="3" a="1"/>
  <c r="AI106" i="3" s="1"/>
  <c r="M116" i="4"/>
  <c r="V5" i="3"/>
  <c r="AJ106" i="3" a="1"/>
  <c r="AJ106" i="3" s="1"/>
  <c r="AK13" i="3"/>
  <c r="O43" i="4" s="1"/>
  <c r="AK12" i="3"/>
  <c r="AI10" i="3"/>
  <c r="K10" i="6"/>
  <c r="AL5" i="3"/>
  <c r="AL107" i="3" s="1"/>
  <c r="J16" i="6"/>
  <c r="N16" i="6"/>
  <c r="O16" i="6" s="1"/>
  <c r="AK4" i="3"/>
  <c r="AK6" i="3"/>
  <c r="AK3" i="3"/>
  <c r="L17" i="6"/>
  <c r="AK7" i="3"/>
  <c r="AK8" i="3"/>
  <c r="N10" i="6"/>
  <c r="K12" i="6"/>
  <c r="O6" i="4"/>
  <c r="P5" i="4"/>
  <c r="O4" i="4"/>
  <c r="O8" i="4"/>
  <c r="O3" i="4"/>
  <c r="O7" i="4"/>
  <c r="M7" i="4"/>
  <c r="M4" i="4"/>
  <c r="M6" i="4" s="1"/>
  <c r="M3" i="4"/>
  <c r="M8" i="4"/>
  <c r="N12" i="6"/>
  <c r="J18" i="6"/>
  <c r="K18" i="6" s="1"/>
  <c r="N18" i="6"/>
  <c r="O18" i="6" s="1"/>
  <c r="K14" i="6"/>
  <c r="Q7" i="3"/>
  <c r="R4" i="3"/>
  <c r="Q6" i="3"/>
  <c r="Q8" i="3" s="1"/>
  <c r="Q3" i="3"/>
  <c r="R5" i="3"/>
  <c r="M11" i="6"/>
  <c r="O11" i="6" s="1"/>
  <c r="H11" i="6"/>
  <c r="H13" i="6"/>
  <c r="M13" i="6"/>
  <c r="O13" i="6" s="1"/>
  <c r="G13" i="6"/>
  <c r="I13" i="6" s="1"/>
  <c r="N6" i="6"/>
  <c r="J6" i="6"/>
  <c r="I11" i="6"/>
  <c r="O9" i="6" l="1"/>
  <c r="B100" i="9" s="1"/>
  <c r="K5" i="9" s="1"/>
  <c r="B99" i="9"/>
  <c r="K9" i="6"/>
  <c r="B95" i="9"/>
  <c r="G82" i="9" s="1"/>
  <c r="N14" i="6"/>
  <c r="N108" i="4"/>
  <c r="L15" i="6"/>
  <c r="O6" i="6"/>
  <c r="K6" i="6"/>
  <c r="M109" i="4"/>
  <c r="O42" i="4"/>
  <c r="O13" i="4" a="1"/>
  <c r="O13" i="4" s="1"/>
  <c r="O102" i="4"/>
  <c r="O38" i="4"/>
  <c r="O84" i="4"/>
  <c r="O31" i="4"/>
  <c r="O90" i="4"/>
  <c r="O33" i="4"/>
  <c r="O66" i="4"/>
  <c r="O21" i="4" a="1"/>
  <c r="O21" i="4" s="1"/>
  <c r="O93" i="4"/>
  <c r="O36" i="4"/>
  <c r="O99" i="4"/>
  <c r="O37" i="4"/>
  <c r="AJ115" i="3"/>
  <c r="N29" i="4"/>
  <c r="N78" i="4"/>
  <c r="AI112" i="3" a="1"/>
  <c r="AI112" i="3" s="1"/>
  <c r="M29" i="4"/>
  <c r="M112" i="4" s="1"/>
  <c r="M78" i="4"/>
  <c r="O73" i="4"/>
  <c r="O120" i="4" s="1"/>
  <c r="O25" i="4" a="1"/>
  <c r="O25" i="4" s="1"/>
  <c r="O111" i="4" s="1"/>
  <c r="O48" i="4"/>
  <c r="O17" i="4" a="1"/>
  <c r="O17" i="4" s="1"/>
  <c r="O91" i="4"/>
  <c r="O34" i="4"/>
  <c r="O60" i="4"/>
  <c r="O19" i="4" a="1"/>
  <c r="O19" i="4" s="1"/>
  <c r="O79" i="4"/>
  <c r="O28" i="4"/>
  <c r="O44" i="4"/>
  <c r="O117" i="4" s="1"/>
  <c r="O15" i="4" a="1"/>
  <c r="O15" i="4" s="1"/>
  <c r="O108" i="4" s="1"/>
  <c r="O49" i="4"/>
  <c r="O18" i="4" a="1"/>
  <c r="O18" i="4" s="1"/>
  <c r="O56" i="4"/>
  <c r="O20" i="4" a="1"/>
  <c r="O20" i="4" s="1"/>
  <c r="O97" i="4"/>
  <c r="O35" i="4"/>
  <c r="O71" i="4"/>
  <c r="O119" i="4" s="1"/>
  <c r="O22" i="4" a="1"/>
  <c r="O22" i="4" s="1"/>
  <c r="O110" i="4" s="1"/>
  <c r="O80" i="4"/>
  <c r="O30" i="4"/>
  <c r="N110" i="4"/>
  <c r="N109" i="4"/>
  <c r="N111" i="4"/>
  <c r="N114" i="4"/>
  <c r="AI115" i="3"/>
  <c r="N113" i="4"/>
  <c r="N107" i="4"/>
  <c r="AI63" i="3"/>
  <c r="M114" i="4"/>
  <c r="M113" i="4"/>
  <c r="AJ68" i="3"/>
  <c r="AJ112" i="3" a="1"/>
  <c r="AJ112" i="3" s="1"/>
  <c r="AJ63" i="3"/>
  <c r="AJ22" i="3"/>
  <c r="AJ23" i="3" s="1"/>
  <c r="AJ116" i="3" a="1"/>
  <c r="AJ116" i="3" s="1"/>
  <c r="AI116" i="3" a="1"/>
  <c r="AI116" i="3" s="1"/>
  <c r="AI68" i="3"/>
  <c r="AK106" i="3" a="1"/>
  <c r="AK106" i="3" s="1"/>
  <c r="AK71" i="3"/>
  <c r="AK53" i="3"/>
  <c r="AK114" i="3" a="1"/>
  <c r="AK114" i="3" s="1"/>
  <c r="AI22" i="3"/>
  <c r="AI23" i="3" s="1"/>
  <c r="AL4" i="3"/>
  <c r="AK96" i="3"/>
  <c r="AK113" i="3" a="1"/>
  <c r="AK113" i="3" s="1"/>
  <c r="AK58" i="3"/>
  <c r="AK110" i="3" a="1"/>
  <c r="AK110" i="3" s="1"/>
  <c r="AL102" i="3"/>
  <c r="P103" i="4" s="1"/>
  <c r="AL103" i="3"/>
  <c r="P104" i="4" s="1"/>
  <c r="AL99" i="3"/>
  <c r="P100" i="4" s="1"/>
  <c r="AL98" i="3"/>
  <c r="AL100" i="3"/>
  <c r="P101" i="4" s="1"/>
  <c r="AL101" i="3"/>
  <c r="AK84" i="3"/>
  <c r="AL93" i="3"/>
  <c r="AL90" i="3"/>
  <c r="P94" i="4" s="1"/>
  <c r="AL94" i="3"/>
  <c r="P98" i="4" s="1"/>
  <c r="AL87" i="3"/>
  <c r="AL91" i="3"/>
  <c r="P95" i="4" s="1"/>
  <c r="AL86" i="3"/>
  <c r="AL88" i="3"/>
  <c r="P92" i="4" s="1"/>
  <c r="AL92" i="3"/>
  <c r="P96" i="4" s="1"/>
  <c r="AL89" i="3"/>
  <c r="AL81" i="3"/>
  <c r="P88" i="4" s="1"/>
  <c r="AL78" i="3"/>
  <c r="P85" i="4" s="1"/>
  <c r="AL74" i="3"/>
  <c r="P81" i="4" s="1"/>
  <c r="AL73" i="3"/>
  <c r="AL75" i="3"/>
  <c r="P82" i="4" s="1"/>
  <c r="AL82" i="3"/>
  <c r="P89" i="4" s="1"/>
  <c r="AL79" i="3"/>
  <c r="P86" i="4" s="1"/>
  <c r="AL76" i="3"/>
  <c r="P83" i="4" s="1"/>
  <c r="AL70" i="3"/>
  <c r="P77" i="4" s="1"/>
  <c r="AL72" i="3"/>
  <c r="AL80" i="3"/>
  <c r="P87" i="4" s="1"/>
  <c r="AL77" i="3"/>
  <c r="V3" i="3"/>
  <c r="AL61" i="3"/>
  <c r="P74" i="4" s="1"/>
  <c r="AL60" i="3"/>
  <c r="AK111" i="3" a="1"/>
  <c r="AK111" i="3" s="1"/>
  <c r="AK25" i="3"/>
  <c r="AK108" i="3" a="1"/>
  <c r="AK108" i="3" s="1"/>
  <c r="AL56" i="3"/>
  <c r="P72" i="4" s="1"/>
  <c r="AL55" i="3"/>
  <c r="V6" i="3"/>
  <c r="AL45" i="3"/>
  <c r="AL39" i="3"/>
  <c r="AL28" i="3"/>
  <c r="AL49" i="3"/>
  <c r="P70" i="4" s="1"/>
  <c r="AL38" i="3"/>
  <c r="P59" i="4" s="1"/>
  <c r="AL33" i="3"/>
  <c r="P54" i="4" s="1"/>
  <c r="AL44" i="3"/>
  <c r="P65" i="4" s="1"/>
  <c r="AL27" i="3"/>
  <c r="AL48" i="3"/>
  <c r="P69" i="4" s="1"/>
  <c r="AL37" i="3"/>
  <c r="P58" i="4" s="1"/>
  <c r="AL43" i="3"/>
  <c r="P64" i="4" s="1"/>
  <c r="AL32" i="3"/>
  <c r="P53" i="4" s="1"/>
  <c r="AL47" i="3"/>
  <c r="P68" i="4" s="1"/>
  <c r="AL31" i="3"/>
  <c r="P52" i="4" s="1"/>
  <c r="AL42" i="3"/>
  <c r="P63" i="4" s="1"/>
  <c r="AL36" i="3"/>
  <c r="P57" i="4" s="1"/>
  <c r="AL34" i="3"/>
  <c r="P55" i="4" s="1"/>
  <c r="AL41" i="3"/>
  <c r="P62" i="4" s="1"/>
  <c r="AL46" i="3"/>
  <c r="P67" i="4" s="1"/>
  <c r="AL30" i="3"/>
  <c r="P51" i="4" s="1"/>
  <c r="AL35" i="3"/>
  <c r="AL40" i="3"/>
  <c r="P61" i="4" s="1"/>
  <c r="AL29" i="3"/>
  <c r="P50" i="4" s="1"/>
  <c r="AK109" i="3" a="1"/>
  <c r="AK109" i="3" s="1"/>
  <c r="AL17" i="3"/>
  <c r="AL20" i="3"/>
  <c r="P47" i="4" s="1"/>
  <c r="AL19" i="3"/>
  <c r="P46" i="4" s="1"/>
  <c r="AL18" i="3"/>
  <c r="P45" i="4" s="1"/>
  <c r="AL6" i="3"/>
  <c r="AL7" i="3"/>
  <c r="AK15" i="3"/>
  <c r="AK10" i="3"/>
  <c r="AL13" i="3"/>
  <c r="P43" i="4" s="1"/>
  <c r="AL12" i="3"/>
  <c r="W4" i="3"/>
  <c r="V7" i="3"/>
  <c r="AL8" i="3"/>
  <c r="AM5" i="3"/>
  <c r="AM107" i="3" s="1"/>
  <c r="AL3" i="3"/>
  <c r="K16" i="6"/>
  <c r="L16" i="6" s="1"/>
  <c r="L18" i="6"/>
  <c r="R3" i="3"/>
  <c r="R7" i="3"/>
  <c r="R6" i="3"/>
  <c r="R8" i="3" s="1"/>
  <c r="P8" i="4"/>
  <c r="P7" i="4"/>
  <c r="P6" i="4"/>
  <c r="Q5" i="4"/>
  <c r="P4" i="4"/>
  <c r="P3" i="4"/>
  <c r="J13" i="6"/>
  <c r="L13" i="6" s="1"/>
  <c r="N13" i="6"/>
  <c r="N11" i="6"/>
  <c r="J11" i="6"/>
  <c r="L11" i="6" s="1"/>
  <c r="I82" i="9" l="1"/>
  <c r="H82" i="9"/>
  <c r="L9" i="6"/>
  <c r="B97" i="9" s="1"/>
  <c r="G5" i="9" s="1"/>
  <c r="B96" i="9"/>
  <c r="O107" i="4"/>
  <c r="L6" i="6"/>
  <c r="O118" i="4"/>
  <c r="P93" i="4"/>
  <c r="P36" i="4"/>
  <c r="P73" i="4"/>
  <c r="P120" i="4" s="1"/>
  <c r="P25" i="4" a="1"/>
  <c r="P25" i="4" s="1"/>
  <c r="P48" i="4"/>
  <c r="P17" i="4" a="1"/>
  <c r="P17" i="4" s="1"/>
  <c r="P90" i="4"/>
  <c r="P33" i="4"/>
  <c r="P84" i="4"/>
  <c r="P31" i="4"/>
  <c r="P44" i="4"/>
  <c r="P117" i="4" s="1"/>
  <c r="P15" i="4" a="1"/>
  <c r="P15" i="4" s="1"/>
  <c r="P91" i="4"/>
  <c r="P34" i="4"/>
  <c r="P79" i="4"/>
  <c r="P28" i="4"/>
  <c r="P56" i="4"/>
  <c r="P20" i="4" a="1"/>
  <c r="P20" i="4" s="1"/>
  <c r="P49" i="4"/>
  <c r="P18" i="4" a="1"/>
  <c r="P18" i="4" s="1"/>
  <c r="AK112" i="3" a="1"/>
  <c r="AK112" i="3" s="1"/>
  <c r="O29" i="4"/>
  <c r="O78" i="4"/>
  <c r="P60" i="4"/>
  <c r="P19" i="4" a="1"/>
  <c r="P19" i="4" s="1"/>
  <c r="P71" i="4"/>
  <c r="P119" i="4" s="1"/>
  <c r="P22" i="4" a="1"/>
  <c r="P22" i="4" s="1"/>
  <c r="P42" i="4"/>
  <c r="P13" i="4" a="1"/>
  <c r="P13" i="4" s="1"/>
  <c r="P66" i="4"/>
  <c r="P21" i="4" a="1"/>
  <c r="P21" i="4" s="1"/>
  <c r="U101" i="3"/>
  <c r="P102" i="4"/>
  <c r="P38" i="4"/>
  <c r="P97" i="4"/>
  <c r="P35" i="4"/>
  <c r="P80" i="4"/>
  <c r="P30" i="4"/>
  <c r="P99" i="4"/>
  <c r="P37" i="4"/>
  <c r="AI51" i="3"/>
  <c r="AI65" i="3" s="1"/>
  <c r="AJ51" i="3"/>
  <c r="AJ65" i="3" s="1"/>
  <c r="N112" i="4"/>
  <c r="O109" i="4"/>
  <c r="O116" i="4"/>
  <c r="K11" i="6"/>
  <c r="AK115" i="3"/>
  <c r="AK63" i="3"/>
  <c r="AK68" i="3"/>
  <c r="O114" i="4"/>
  <c r="O113" i="4"/>
  <c r="O123" i="4"/>
  <c r="O122" i="4"/>
  <c r="U77" i="3"/>
  <c r="U103" i="3"/>
  <c r="U80" i="3"/>
  <c r="U91" i="3"/>
  <c r="U102" i="3"/>
  <c r="U70" i="3"/>
  <c r="U94" i="3"/>
  <c r="M124" i="4"/>
  <c r="M121" i="4"/>
  <c r="U76" i="3"/>
  <c r="U90" i="3"/>
  <c r="U82" i="3"/>
  <c r="U79" i="3"/>
  <c r="U75" i="3"/>
  <c r="U93" i="3"/>
  <c r="U73" i="3"/>
  <c r="N124" i="4"/>
  <c r="N121" i="4"/>
  <c r="U74" i="3"/>
  <c r="U81" i="3"/>
  <c r="AK116" i="3" a="1"/>
  <c r="AK116" i="3" s="1"/>
  <c r="N115" i="4"/>
  <c r="U89" i="3"/>
  <c r="U100" i="3"/>
  <c r="U92" i="3"/>
  <c r="U98" i="3"/>
  <c r="U88" i="3"/>
  <c r="U99" i="3"/>
  <c r="M115" i="4"/>
  <c r="AL106" i="3" a="1"/>
  <c r="AL106" i="3" s="1"/>
  <c r="AL71" i="3"/>
  <c r="AK22" i="3"/>
  <c r="AK23" i="3" s="1"/>
  <c r="AM102" i="3"/>
  <c r="Q103" i="4" s="1"/>
  <c r="AM103" i="3"/>
  <c r="Q104" i="4" s="1"/>
  <c r="AM99" i="3"/>
  <c r="Q100" i="4" s="1"/>
  <c r="AM98" i="3"/>
  <c r="AM100" i="3"/>
  <c r="Q101" i="4" s="1"/>
  <c r="AM101" i="3"/>
  <c r="AL96" i="3"/>
  <c r="AL114" i="3" a="1"/>
  <c r="AL114" i="3" s="1"/>
  <c r="AL111" i="3" a="1"/>
  <c r="AL111" i="3" s="1"/>
  <c r="AL113" i="3" a="1"/>
  <c r="AL113" i="3" s="1"/>
  <c r="AL84" i="3"/>
  <c r="AM93" i="3"/>
  <c r="AM86" i="3"/>
  <c r="AM90" i="3"/>
  <c r="Q94" i="4" s="1"/>
  <c r="AM94" i="3"/>
  <c r="Q98" i="4" s="1"/>
  <c r="AM87" i="3"/>
  <c r="AM91" i="3"/>
  <c r="Q95" i="4" s="1"/>
  <c r="AM88" i="3"/>
  <c r="Q92" i="4" s="1"/>
  <c r="AM92" i="3"/>
  <c r="Q96" i="4" s="1"/>
  <c r="AM89" i="3"/>
  <c r="U87" i="3"/>
  <c r="U86" i="3"/>
  <c r="AM81" i="3"/>
  <c r="Q88" i="4" s="1"/>
  <c r="AM78" i="3"/>
  <c r="Q85" i="4" s="1"/>
  <c r="AM74" i="3"/>
  <c r="Q81" i="4" s="1"/>
  <c r="AM75" i="3"/>
  <c r="Q82" i="4" s="1"/>
  <c r="AM82" i="3"/>
  <c r="Q89" i="4" s="1"/>
  <c r="AM79" i="3"/>
  <c r="Q86" i="4" s="1"/>
  <c r="AM76" i="3"/>
  <c r="Q83" i="4" s="1"/>
  <c r="AM72" i="3"/>
  <c r="AM80" i="3"/>
  <c r="Q87" i="4" s="1"/>
  <c r="AM77" i="3"/>
  <c r="AM73" i="3"/>
  <c r="AM70" i="3"/>
  <c r="Q77" i="4" s="1"/>
  <c r="U78" i="3"/>
  <c r="U72" i="3"/>
  <c r="AM61" i="3"/>
  <c r="Q74" i="4" s="1"/>
  <c r="AM60" i="3"/>
  <c r="V8" i="3"/>
  <c r="AL58" i="3"/>
  <c r="AM56" i="3"/>
  <c r="Q72" i="4" s="1"/>
  <c r="AM55" i="3"/>
  <c r="AL109" i="3" a="1"/>
  <c r="AL109" i="3" s="1"/>
  <c r="AL110" i="3" a="1"/>
  <c r="AL110" i="3" s="1"/>
  <c r="AL53" i="3"/>
  <c r="AM28" i="3"/>
  <c r="AM49" i="3"/>
  <c r="Q70" i="4" s="1"/>
  <c r="AM38" i="3"/>
  <c r="Q59" i="4" s="1"/>
  <c r="AM33" i="3"/>
  <c r="Q54" i="4" s="1"/>
  <c r="AM44" i="3"/>
  <c r="Q65" i="4" s="1"/>
  <c r="AM27" i="3"/>
  <c r="AM48" i="3"/>
  <c r="Q69" i="4" s="1"/>
  <c r="AM37" i="3"/>
  <c r="Q58" i="4" s="1"/>
  <c r="AM43" i="3"/>
  <c r="Q64" i="4" s="1"/>
  <c r="AM32" i="3"/>
  <c r="Q53" i="4" s="1"/>
  <c r="AM47" i="3"/>
  <c r="Q68" i="4" s="1"/>
  <c r="AM31" i="3"/>
  <c r="Q52" i="4" s="1"/>
  <c r="AM42" i="3"/>
  <c r="Q63" i="4" s="1"/>
  <c r="AM36" i="3"/>
  <c r="Q57" i="4" s="1"/>
  <c r="AM41" i="3"/>
  <c r="Q62" i="4" s="1"/>
  <c r="AM46" i="3"/>
  <c r="Q67" i="4" s="1"/>
  <c r="AM30" i="3"/>
  <c r="Q51" i="4" s="1"/>
  <c r="AM45" i="3"/>
  <c r="AM39" i="3"/>
  <c r="AM35" i="3"/>
  <c r="AM40" i="3"/>
  <c r="Q61" i="4" s="1"/>
  <c r="AM29" i="3"/>
  <c r="Q50" i="4" s="1"/>
  <c r="AM34" i="3"/>
  <c r="Q55" i="4" s="1"/>
  <c r="AL25" i="3"/>
  <c r="AM17" i="3"/>
  <c r="AM20" i="3"/>
  <c r="Q47" i="4" s="1"/>
  <c r="AM19" i="3"/>
  <c r="Q46" i="4" s="1"/>
  <c r="AM18" i="3"/>
  <c r="Q45" i="4" s="1"/>
  <c r="AL108" i="3" a="1"/>
  <c r="AL108" i="3" s="1"/>
  <c r="AL15" i="3"/>
  <c r="AM13" i="3"/>
  <c r="Q43" i="4" s="1"/>
  <c r="AM12" i="3"/>
  <c r="W5" i="3"/>
  <c r="AL10" i="3"/>
  <c r="AN5" i="3"/>
  <c r="AN107" i="3" s="1"/>
  <c r="AM4" i="3"/>
  <c r="AM3" i="3"/>
  <c r="AM8" i="3"/>
  <c r="AM7" i="3"/>
  <c r="AM6" i="3"/>
  <c r="K13" i="6"/>
  <c r="Q3" i="4"/>
  <c r="Q8" i="4"/>
  <c r="Q7" i="4"/>
  <c r="R5" i="4"/>
  <c r="Q4" i="4"/>
  <c r="Q6" i="4"/>
  <c r="P108" i="4" l="1"/>
  <c r="P118" i="4"/>
  <c r="P109" i="4"/>
  <c r="Q97" i="4"/>
  <c r="Q35" i="4"/>
  <c r="Q44" i="4"/>
  <c r="Q117" i="4" s="1"/>
  <c r="Q15" i="4" a="1"/>
  <c r="Q15" i="4" s="1"/>
  <c r="Q73" i="4"/>
  <c r="Q120" i="4" s="1"/>
  <c r="Q25" i="4" a="1"/>
  <c r="Q25" i="4" s="1"/>
  <c r="Q102" i="4"/>
  <c r="Q38" i="4"/>
  <c r="Q71" i="4"/>
  <c r="Q119" i="4" s="1"/>
  <c r="Q22" i="4" a="1"/>
  <c r="Q22" i="4" s="1"/>
  <c r="Q93" i="4"/>
  <c r="Q36" i="4"/>
  <c r="Q99" i="4"/>
  <c r="Q37" i="4"/>
  <c r="Q42" i="4"/>
  <c r="Q13" i="4" a="1"/>
  <c r="Q13" i="4" s="1"/>
  <c r="Q48" i="4"/>
  <c r="Q17" i="4" a="1"/>
  <c r="Q17" i="4" s="1"/>
  <c r="Q90" i="4"/>
  <c r="Q33" i="4"/>
  <c r="Q56" i="4"/>
  <c r="Q20" i="4" a="1"/>
  <c r="Q20" i="4" s="1"/>
  <c r="Q80" i="4"/>
  <c r="Q30" i="4"/>
  <c r="Q60" i="4"/>
  <c r="Q19" i="4" a="1"/>
  <c r="Q19" i="4" s="1"/>
  <c r="Q84" i="4"/>
  <c r="Q31" i="4"/>
  <c r="Q91" i="4"/>
  <c r="Q34" i="4"/>
  <c r="Q66" i="4"/>
  <c r="Q21" i="4" a="1"/>
  <c r="Q21" i="4" s="1"/>
  <c r="AL68" i="3"/>
  <c r="P29" i="4"/>
  <c r="P78" i="4"/>
  <c r="Q49" i="4"/>
  <c r="Q18" i="4" a="1"/>
  <c r="Q18" i="4" s="1"/>
  <c r="Q79" i="4"/>
  <c r="Q28" i="4"/>
  <c r="P107" i="4"/>
  <c r="O112" i="4"/>
  <c r="P116" i="4"/>
  <c r="P110" i="4"/>
  <c r="P111" i="4"/>
  <c r="P114" i="4"/>
  <c r="P113" i="4"/>
  <c r="P123" i="4"/>
  <c r="P122" i="4"/>
  <c r="AL115" i="3"/>
  <c r="AK51" i="3"/>
  <c r="AK65" i="3" s="1"/>
  <c r="AL112" i="3" a="1"/>
  <c r="AL112" i="3" s="1"/>
  <c r="O124" i="4"/>
  <c r="O121" i="4"/>
  <c r="O115" i="4"/>
  <c r="AM113" i="3" a="1"/>
  <c r="AM113" i="3" s="1"/>
  <c r="AM71" i="3"/>
  <c r="AM114" i="3" a="1"/>
  <c r="AM114" i="3" s="1"/>
  <c r="AM111" i="3" a="1"/>
  <c r="AM111" i="3" s="1"/>
  <c r="U71" i="3"/>
  <c r="U68" i="3" s="1"/>
  <c r="AL116" i="3" a="1"/>
  <c r="AL116" i="3" s="1"/>
  <c r="AN103" i="3"/>
  <c r="R104" i="4" s="1"/>
  <c r="AN99" i="3"/>
  <c r="R100" i="4" s="1"/>
  <c r="AN98" i="3"/>
  <c r="AN101" i="3"/>
  <c r="AN100" i="3"/>
  <c r="R101" i="4" s="1"/>
  <c r="AN102" i="3"/>
  <c r="R103" i="4" s="1"/>
  <c r="AM84" i="3"/>
  <c r="AM96" i="3"/>
  <c r="AM58" i="3"/>
  <c r="U84" i="3"/>
  <c r="AN90" i="3"/>
  <c r="R94" i="4" s="1"/>
  <c r="AN94" i="3"/>
  <c r="R98" i="4" s="1"/>
  <c r="AN87" i="3"/>
  <c r="AN91" i="3"/>
  <c r="R95" i="4" s="1"/>
  <c r="AN88" i="3"/>
  <c r="R92" i="4" s="1"/>
  <c r="AN92" i="3"/>
  <c r="R96" i="4" s="1"/>
  <c r="AN89" i="3"/>
  <c r="AN86" i="3"/>
  <c r="AN93" i="3"/>
  <c r="AM53" i="3"/>
  <c r="AM110" i="3" a="1"/>
  <c r="AM110" i="3" s="1"/>
  <c r="AN75" i="3"/>
  <c r="R82" i="4" s="1"/>
  <c r="AN74" i="3"/>
  <c r="R81" i="4" s="1"/>
  <c r="AN82" i="3"/>
  <c r="R89" i="4" s="1"/>
  <c r="AN79" i="3"/>
  <c r="R86" i="4" s="1"/>
  <c r="AN76" i="3"/>
  <c r="R83" i="4" s="1"/>
  <c r="AN78" i="3"/>
  <c r="R85" i="4" s="1"/>
  <c r="AN72" i="3"/>
  <c r="AN81" i="3"/>
  <c r="R88" i="4" s="1"/>
  <c r="AN80" i="3"/>
  <c r="R87" i="4" s="1"/>
  <c r="AN77" i="3"/>
  <c r="AN73" i="3"/>
  <c r="AN70" i="3"/>
  <c r="R77" i="4" s="1"/>
  <c r="AL63" i="3"/>
  <c r="AN61" i="3"/>
  <c r="R74" i="4" s="1"/>
  <c r="AN60" i="3"/>
  <c r="AM109" i="3" a="1"/>
  <c r="AM109" i="3" s="1"/>
  <c r="AM108" i="3" a="1"/>
  <c r="AM108" i="3" s="1"/>
  <c r="AN56" i="3"/>
  <c r="R72" i="4" s="1"/>
  <c r="AN55" i="3"/>
  <c r="AM15" i="3"/>
  <c r="AN3" i="3"/>
  <c r="AN4" i="3"/>
  <c r="AM25" i="3"/>
  <c r="AN8" i="3"/>
  <c r="AN49" i="3"/>
  <c r="R70" i="4" s="1"/>
  <c r="AN38" i="3"/>
  <c r="R59" i="4" s="1"/>
  <c r="AN33" i="3"/>
  <c r="R54" i="4" s="1"/>
  <c r="AN44" i="3"/>
  <c r="R65" i="4" s="1"/>
  <c r="AN27" i="3"/>
  <c r="AN48" i="3"/>
  <c r="R69" i="4" s="1"/>
  <c r="AN37" i="3"/>
  <c r="R58" i="4" s="1"/>
  <c r="AN43" i="3"/>
  <c r="R64" i="4" s="1"/>
  <c r="AN32" i="3"/>
  <c r="R53" i="4" s="1"/>
  <c r="AN47" i="3"/>
  <c r="R68" i="4" s="1"/>
  <c r="AN31" i="3"/>
  <c r="R52" i="4" s="1"/>
  <c r="AN42" i="3"/>
  <c r="R63" i="4" s="1"/>
  <c r="AN36" i="3"/>
  <c r="R57" i="4" s="1"/>
  <c r="AN41" i="3"/>
  <c r="R62" i="4" s="1"/>
  <c r="AN46" i="3"/>
  <c r="R67" i="4" s="1"/>
  <c r="AN30" i="3"/>
  <c r="R51" i="4" s="1"/>
  <c r="AN35" i="3"/>
  <c r="AN40" i="3"/>
  <c r="R61" i="4" s="1"/>
  <c r="AN29" i="3"/>
  <c r="R50" i="4" s="1"/>
  <c r="AN34" i="3"/>
  <c r="R55" i="4" s="1"/>
  <c r="AN45" i="3"/>
  <c r="AN39" i="3"/>
  <c r="AN28" i="3"/>
  <c r="AN17" i="3"/>
  <c r="AN20" i="3"/>
  <c r="R47" i="4" s="1"/>
  <c r="AN19" i="3"/>
  <c r="R46" i="4" s="1"/>
  <c r="AN18" i="3"/>
  <c r="R45" i="4" s="1"/>
  <c r="AL22" i="3"/>
  <c r="AN6" i="3"/>
  <c r="AN7" i="3"/>
  <c r="AO5" i="3"/>
  <c r="AO107" i="3" s="1"/>
  <c r="AM10" i="3"/>
  <c r="AM106" i="3" a="1"/>
  <c r="AM106" i="3" s="1"/>
  <c r="X4" i="3"/>
  <c r="W3" i="3"/>
  <c r="W7" i="3"/>
  <c r="W6" i="3"/>
  <c r="AN13" i="3"/>
  <c r="R43" i="4" s="1"/>
  <c r="AN12" i="3"/>
  <c r="R3" i="4"/>
  <c r="R7" i="4"/>
  <c r="R6" i="4"/>
  <c r="S5" i="4"/>
  <c r="R8" i="4"/>
  <c r="R4" i="4"/>
  <c r="Q107" i="4" l="1"/>
  <c r="Q110" i="4"/>
  <c r="R80" i="4"/>
  <c r="R30" i="4"/>
  <c r="R84" i="4"/>
  <c r="R31" i="4"/>
  <c r="R56" i="4"/>
  <c r="R20" i="4" a="1"/>
  <c r="R20" i="4" s="1"/>
  <c r="R91" i="4"/>
  <c r="R34" i="4"/>
  <c r="R79" i="4"/>
  <c r="R28" i="4"/>
  <c r="AM68" i="3"/>
  <c r="Q78" i="4"/>
  <c r="Q29" i="4"/>
  <c r="Q112" i="4" s="1"/>
  <c r="R93" i="4"/>
  <c r="R36" i="4"/>
  <c r="R71" i="4"/>
  <c r="R119" i="4" s="1"/>
  <c r="R22" i="4" a="1"/>
  <c r="R22" i="4" s="1"/>
  <c r="R60" i="4"/>
  <c r="R19" i="4" a="1"/>
  <c r="R19" i="4" s="1"/>
  <c r="R44" i="4"/>
  <c r="R117" i="4" s="1"/>
  <c r="R15" i="4" a="1"/>
  <c r="R15" i="4" s="1"/>
  <c r="R42" i="4"/>
  <c r="R116" i="4" s="1"/>
  <c r="R13" i="4" a="1"/>
  <c r="R13" i="4" s="1"/>
  <c r="R49" i="4"/>
  <c r="R18" i="4" a="1"/>
  <c r="R18" i="4" s="1"/>
  <c r="R73" i="4"/>
  <c r="R120" i="4" s="1"/>
  <c r="R25" i="4" a="1"/>
  <c r="R25" i="4" s="1"/>
  <c r="R102" i="4"/>
  <c r="R38" i="4"/>
  <c r="R97" i="4"/>
  <c r="R35" i="4"/>
  <c r="R99" i="4"/>
  <c r="R37" i="4"/>
  <c r="R66" i="4"/>
  <c r="R21" i="4" a="1"/>
  <c r="R21" i="4" s="1"/>
  <c r="R48" i="4"/>
  <c r="R17" i="4" a="1"/>
  <c r="R17" i="4" s="1"/>
  <c r="R90" i="4"/>
  <c r="R33" i="4"/>
  <c r="Q122" i="4"/>
  <c r="Q109" i="4"/>
  <c r="Q118" i="4"/>
  <c r="AM115" i="3"/>
  <c r="Q113" i="4"/>
  <c r="Q108" i="4"/>
  <c r="P112" i="4"/>
  <c r="Q111" i="4"/>
  <c r="Q116" i="4"/>
  <c r="Q114" i="4"/>
  <c r="Q123" i="4"/>
  <c r="AM63" i="3"/>
  <c r="P124" i="4"/>
  <c r="P121" i="4"/>
  <c r="AM116" i="3" a="1"/>
  <c r="AM116" i="3" s="1"/>
  <c r="P115" i="4"/>
  <c r="AN110" i="3" a="1"/>
  <c r="AN110" i="3" s="1"/>
  <c r="AN114" i="3" a="1"/>
  <c r="AN114" i="3" s="1"/>
  <c r="AM22" i="3"/>
  <c r="AM23" i="3" s="1"/>
  <c r="AN71" i="3"/>
  <c r="AN96" i="3"/>
  <c r="AM112" i="3" a="1"/>
  <c r="AM112" i="3" s="1"/>
  <c r="AN113" i="3" a="1"/>
  <c r="AN113" i="3" s="1"/>
  <c r="AO103" i="3"/>
  <c r="S104" i="4" s="1"/>
  <c r="AO99" i="3"/>
  <c r="S100" i="4" s="1"/>
  <c r="AO98" i="3"/>
  <c r="AO100" i="3"/>
  <c r="S101" i="4" s="1"/>
  <c r="AO101" i="3"/>
  <c r="AO102" i="3"/>
  <c r="S103" i="4" s="1"/>
  <c r="AN84" i="3"/>
  <c r="AO94" i="3"/>
  <c r="S98" i="4" s="1"/>
  <c r="AO87" i="3"/>
  <c r="AO91" i="3"/>
  <c r="S95" i="4" s="1"/>
  <c r="AO88" i="3"/>
  <c r="S92" i="4" s="1"/>
  <c r="AO92" i="3"/>
  <c r="S96" i="4" s="1"/>
  <c r="AO89" i="3"/>
  <c r="AO86" i="3"/>
  <c r="AO93" i="3"/>
  <c r="AO90" i="3"/>
  <c r="S94" i="4" s="1"/>
  <c r="AO3" i="3"/>
  <c r="AO4" i="3"/>
  <c r="AO82" i="3"/>
  <c r="S89" i="4" s="1"/>
  <c r="AO79" i="3"/>
  <c r="S86" i="4" s="1"/>
  <c r="AO76" i="3"/>
  <c r="S83" i="4" s="1"/>
  <c r="AO72" i="3"/>
  <c r="AO80" i="3"/>
  <c r="S87" i="4" s="1"/>
  <c r="AO77" i="3"/>
  <c r="AO74" i="3"/>
  <c r="S81" i="4" s="1"/>
  <c r="AO73" i="3"/>
  <c r="AO78" i="3"/>
  <c r="S85" i="4" s="1"/>
  <c r="AO75" i="3"/>
  <c r="S82" i="4" s="1"/>
  <c r="AO70" i="3"/>
  <c r="S77" i="4" s="1"/>
  <c r="AO81" i="3"/>
  <c r="S88" i="4" s="1"/>
  <c r="AO61" i="3"/>
  <c r="S74" i="4" s="1"/>
  <c r="AO60" i="3"/>
  <c r="AN58" i="3"/>
  <c r="AN111" i="3" a="1"/>
  <c r="AN111" i="3" s="1"/>
  <c r="AO56" i="3"/>
  <c r="S72" i="4" s="1"/>
  <c r="AO55" i="3"/>
  <c r="AN53" i="3"/>
  <c r="AN25" i="3"/>
  <c r="AO49" i="3"/>
  <c r="S70" i="4" s="1"/>
  <c r="AO38" i="3"/>
  <c r="S59" i="4" s="1"/>
  <c r="AO33" i="3"/>
  <c r="S54" i="4" s="1"/>
  <c r="AO44" i="3"/>
  <c r="S65" i="4" s="1"/>
  <c r="AO27" i="3"/>
  <c r="AO48" i="3"/>
  <c r="S69" i="4" s="1"/>
  <c r="AO37" i="3"/>
  <c r="S58" i="4" s="1"/>
  <c r="AO43" i="3"/>
  <c r="S64" i="4" s="1"/>
  <c r="AO32" i="3"/>
  <c r="S53" i="4" s="1"/>
  <c r="AO47" i="3"/>
  <c r="S68" i="4" s="1"/>
  <c r="AO31" i="3"/>
  <c r="S52" i="4" s="1"/>
  <c r="AO42" i="3"/>
  <c r="S63" i="4" s="1"/>
  <c r="AO36" i="3"/>
  <c r="S57" i="4" s="1"/>
  <c r="AO41" i="3"/>
  <c r="S62" i="4" s="1"/>
  <c r="AO46" i="3"/>
  <c r="S67" i="4" s="1"/>
  <c r="AO30" i="3"/>
  <c r="S51" i="4" s="1"/>
  <c r="AO35" i="3"/>
  <c r="AO40" i="3"/>
  <c r="S61" i="4" s="1"/>
  <c r="AO29" i="3"/>
  <c r="S50" i="4" s="1"/>
  <c r="AO34" i="3"/>
  <c r="S55" i="4" s="1"/>
  <c r="AO45" i="3"/>
  <c r="AO39" i="3"/>
  <c r="AO28" i="3"/>
  <c r="AN109" i="3" a="1"/>
  <c r="AN109" i="3" s="1"/>
  <c r="AL23" i="3"/>
  <c r="AL51" i="3"/>
  <c r="AL65" i="3" s="1"/>
  <c r="AO12" i="3"/>
  <c r="AN15" i="3"/>
  <c r="W8" i="3"/>
  <c r="AO20" i="3"/>
  <c r="S47" i="4" s="1"/>
  <c r="AO19" i="3"/>
  <c r="S46" i="4" s="1"/>
  <c r="AO18" i="3"/>
  <c r="S45" i="4" s="1"/>
  <c r="AO17" i="3"/>
  <c r="AO13" i="3"/>
  <c r="S43" i="4" s="1"/>
  <c r="AO6" i="3"/>
  <c r="AP5" i="3"/>
  <c r="AP107" i="3" s="1"/>
  <c r="AO7" i="3"/>
  <c r="AO8" i="3"/>
  <c r="AN108" i="3" a="1"/>
  <c r="AN108" i="3" s="1"/>
  <c r="X5" i="3"/>
  <c r="AN10" i="3"/>
  <c r="AN106" i="3" a="1"/>
  <c r="AN106" i="3" s="1"/>
  <c r="S8" i="4"/>
  <c r="S7" i="4"/>
  <c r="S6" i="4"/>
  <c r="T5" i="4"/>
  <c r="S4" i="4"/>
  <c r="S3" i="4"/>
  <c r="R107" i="4" l="1"/>
  <c r="R108" i="4"/>
  <c r="S71" i="4"/>
  <c r="S119" i="4" s="1"/>
  <c r="S22" i="4" a="1"/>
  <c r="S22" i="4" s="1"/>
  <c r="S99" i="4"/>
  <c r="S37" i="4"/>
  <c r="S42" i="4"/>
  <c r="S13" i="4" a="1"/>
  <c r="S13" i="4" s="1"/>
  <c r="S107" i="4" s="1"/>
  <c r="S90" i="4"/>
  <c r="S33" i="4"/>
  <c r="S93" i="4"/>
  <c r="S36" i="4"/>
  <c r="AN68" i="3"/>
  <c r="R29" i="4"/>
  <c r="R78" i="4"/>
  <c r="S97" i="4"/>
  <c r="S35" i="4"/>
  <c r="S49" i="4"/>
  <c r="S18" i="4" a="1"/>
  <c r="S18" i="4" s="1"/>
  <c r="S60" i="4"/>
  <c r="S19" i="4" a="1"/>
  <c r="S19" i="4" s="1"/>
  <c r="S66" i="4"/>
  <c r="S21" i="4" a="1"/>
  <c r="S21" i="4" s="1"/>
  <c r="S73" i="4"/>
  <c r="S120" i="4" s="1"/>
  <c r="S25" i="4" a="1"/>
  <c r="S25" i="4" s="1"/>
  <c r="S111" i="4" s="1"/>
  <c r="S48" i="4"/>
  <c r="S17" i="4" a="1"/>
  <c r="S17" i="4" s="1"/>
  <c r="S80" i="4"/>
  <c r="S30" i="4"/>
  <c r="S91" i="4"/>
  <c r="S34" i="4"/>
  <c r="S102" i="4"/>
  <c r="S38" i="4"/>
  <c r="S84" i="4"/>
  <c r="S31" i="4"/>
  <c r="S44" i="4"/>
  <c r="S117" i="4" s="1"/>
  <c r="S15" i="4" a="1"/>
  <c r="S15" i="4" s="1"/>
  <c r="S56" i="4"/>
  <c r="S20" i="4" a="1"/>
  <c r="S20" i="4" s="1"/>
  <c r="S79" i="4"/>
  <c r="S28" i="4"/>
  <c r="R118" i="4"/>
  <c r="AN115" i="3"/>
  <c r="R109" i="4"/>
  <c r="R123" i="4"/>
  <c r="R111" i="4"/>
  <c r="R110" i="4"/>
  <c r="R122" i="4"/>
  <c r="AM51" i="3"/>
  <c r="AM65" i="3" s="1"/>
  <c r="R114" i="4"/>
  <c r="R113" i="4"/>
  <c r="V89" i="3"/>
  <c r="V100" i="3"/>
  <c r="V98" i="3"/>
  <c r="V81" i="3"/>
  <c r="V99" i="3"/>
  <c r="V70" i="3"/>
  <c r="V90" i="3"/>
  <c r="V93" i="3"/>
  <c r="V78" i="3"/>
  <c r="Q115" i="4"/>
  <c r="V75" i="3"/>
  <c r="V73" i="3"/>
  <c r="V74" i="3"/>
  <c r="V92" i="3"/>
  <c r="V77" i="3"/>
  <c r="V88" i="3"/>
  <c r="V80" i="3"/>
  <c r="V91" i="3"/>
  <c r="AN116" i="3" a="1"/>
  <c r="AN116" i="3" s="1"/>
  <c r="V79" i="3"/>
  <c r="V76" i="3"/>
  <c r="V82" i="3"/>
  <c r="V102" i="3"/>
  <c r="Q124" i="4"/>
  <c r="Q121" i="4"/>
  <c r="AN63" i="3"/>
  <c r="AO96" i="3"/>
  <c r="AO71" i="3"/>
  <c r="AO58" i="3"/>
  <c r="V86" i="3"/>
  <c r="AN112" i="3" a="1"/>
  <c r="AN112" i="3" s="1"/>
  <c r="V101" i="3"/>
  <c r="AO113" i="3" a="1"/>
  <c r="AO113" i="3" s="1"/>
  <c r="AO114" i="3" a="1"/>
  <c r="AO114" i="3" s="1"/>
  <c r="AP99" i="3"/>
  <c r="T100" i="4" s="1"/>
  <c r="AP98" i="3"/>
  <c r="AP103" i="3"/>
  <c r="T104" i="4" s="1"/>
  <c r="AP100" i="3"/>
  <c r="T101" i="4" s="1"/>
  <c r="AP101" i="3"/>
  <c r="AP102" i="3"/>
  <c r="T103" i="4" s="1"/>
  <c r="V87" i="3"/>
  <c r="AP87" i="3"/>
  <c r="AP93" i="3"/>
  <c r="AP91" i="3"/>
  <c r="T95" i="4" s="1"/>
  <c r="AP88" i="3"/>
  <c r="T92" i="4" s="1"/>
  <c r="AP92" i="3"/>
  <c r="T96" i="4" s="1"/>
  <c r="AP89" i="3"/>
  <c r="AP86" i="3"/>
  <c r="AP90" i="3"/>
  <c r="T94" i="4" s="1"/>
  <c r="AP94" i="3"/>
  <c r="T98" i="4" s="1"/>
  <c r="AO84" i="3"/>
  <c r="AO110" i="3" a="1"/>
  <c r="AO110" i="3" s="1"/>
  <c r="AP8" i="3"/>
  <c r="AO111" i="3" a="1"/>
  <c r="AO111" i="3" s="1"/>
  <c r="AP79" i="3"/>
  <c r="T86" i="4" s="1"/>
  <c r="AP76" i="3"/>
  <c r="T83" i="4" s="1"/>
  <c r="AP82" i="3"/>
  <c r="T89" i="4" s="1"/>
  <c r="AP72" i="3"/>
  <c r="AP80" i="3"/>
  <c r="T87" i="4" s="1"/>
  <c r="AP77" i="3"/>
  <c r="AP73" i="3"/>
  <c r="AP75" i="3"/>
  <c r="T82" i="4" s="1"/>
  <c r="AP70" i="3"/>
  <c r="T77" i="4" s="1"/>
  <c r="AP81" i="3"/>
  <c r="T88" i="4" s="1"/>
  <c r="AP78" i="3"/>
  <c r="T85" i="4" s="1"/>
  <c r="AP74" i="3"/>
  <c r="T81" i="4" s="1"/>
  <c r="AQ5" i="3"/>
  <c r="AQ36" i="3" s="1"/>
  <c r="U57" i="4" s="1"/>
  <c r="AP61" i="3"/>
  <c r="T74" i="4" s="1"/>
  <c r="AP60" i="3"/>
  <c r="AO106" i="3" a="1"/>
  <c r="AO106" i="3" s="1"/>
  <c r="AP7" i="3"/>
  <c r="AP3" i="3"/>
  <c r="AO25" i="3"/>
  <c r="AO53" i="3"/>
  <c r="AP55" i="3"/>
  <c r="AP56" i="3"/>
  <c r="T72" i="4" s="1"/>
  <c r="AP6" i="3"/>
  <c r="AO109" i="3" a="1"/>
  <c r="AO109" i="3" s="1"/>
  <c r="AP33" i="3"/>
  <c r="T54" i="4" s="1"/>
  <c r="AP44" i="3"/>
  <c r="T65" i="4" s="1"/>
  <c r="AP27" i="3"/>
  <c r="AP48" i="3"/>
  <c r="T69" i="4" s="1"/>
  <c r="AP37" i="3"/>
  <c r="T58" i="4" s="1"/>
  <c r="AP43" i="3"/>
  <c r="T64" i="4" s="1"/>
  <c r="AP32" i="3"/>
  <c r="T53" i="4" s="1"/>
  <c r="AP47" i="3"/>
  <c r="T68" i="4" s="1"/>
  <c r="AP31" i="3"/>
  <c r="T52" i="4" s="1"/>
  <c r="AP42" i="3"/>
  <c r="T63" i="4" s="1"/>
  <c r="AP36" i="3"/>
  <c r="T57" i="4" s="1"/>
  <c r="AP41" i="3"/>
  <c r="T62" i="4" s="1"/>
  <c r="AP46" i="3"/>
  <c r="T67" i="4" s="1"/>
  <c r="AP30" i="3"/>
  <c r="T51" i="4" s="1"/>
  <c r="AP35" i="3"/>
  <c r="AP40" i="3"/>
  <c r="T61" i="4" s="1"/>
  <c r="AP29" i="3"/>
  <c r="T50" i="4" s="1"/>
  <c r="AP34" i="3"/>
  <c r="T55" i="4" s="1"/>
  <c r="AP45" i="3"/>
  <c r="AP39" i="3"/>
  <c r="AP28" i="3"/>
  <c r="AP38" i="3"/>
  <c r="T59" i="4" s="1"/>
  <c r="AP49" i="3"/>
  <c r="T70" i="4" s="1"/>
  <c r="AP13" i="3"/>
  <c r="T43" i="4" s="1"/>
  <c r="AN22" i="3"/>
  <c r="AN51" i="3" s="1"/>
  <c r="AP4" i="3"/>
  <c r="AP12" i="3"/>
  <c r="AO10" i="3"/>
  <c r="AO108" i="3" a="1"/>
  <c r="AO108" i="3" s="1"/>
  <c r="AP19" i="3"/>
  <c r="T46" i="4" s="1"/>
  <c r="AP18" i="3"/>
  <c r="T45" i="4" s="1"/>
  <c r="AP17" i="3"/>
  <c r="AP20" i="3"/>
  <c r="T47" i="4" s="1"/>
  <c r="AO15" i="3"/>
  <c r="Y4" i="3"/>
  <c r="X3" i="3"/>
  <c r="X7" i="3"/>
  <c r="X6" i="3"/>
  <c r="T4" i="4"/>
  <c r="T3" i="4"/>
  <c r="T8" i="4"/>
  <c r="T6" i="4"/>
  <c r="T7" i="4"/>
  <c r="U5" i="4"/>
  <c r="S116" i="4" l="1"/>
  <c r="AQ12" i="3"/>
  <c r="U42" i="4" s="1"/>
  <c r="AQ35" i="3"/>
  <c r="U56" i="4" s="1"/>
  <c r="AQ49" i="3"/>
  <c r="U70" i="4" s="1"/>
  <c r="AQ39" i="3"/>
  <c r="U60" i="4" s="1"/>
  <c r="AQ45" i="3"/>
  <c r="AQ34" i="3"/>
  <c r="U55" i="4" s="1"/>
  <c r="AQ4" i="3"/>
  <c r="AQ32" i="3"/>
  <c r="U53" i="4" s="1"/>
  <c r="AQ7" i="3"/>
  <c r="AQ41" i="3"/>
  <c r="U62" i="4" s="1"/>
  <c r="AQ6" i="3"/>
  <c r="AQ8" i="3"/>
  <c r="AQ27" i="3"/>
  <c r="U48" i="4" s="1"/>
  <c r="AQ17" i="3"/>
  <c r="U44" i="4" s="1"/>
  <c r="AQ44" i="3"/>
  <c r="U65" i="4" s="1"/>
  <c r="AQ38" i="3"/>
  <c r="U59" i="4" s="1"/>
  <c r="AQ18" i="3"/>
  <c r="U45" i="4" s="1"/>
  <c r="AQ48" i="3"/>
  <c r="U69" i="4" s="1"/>
  <c r="AQ40" i="3"/>
  <c r="U61" i="4" s="1"/>
  <c r="T84" i="4"/>
  <c r="T31" i="4"/>
  <c r="T71" i="4"/>
  <c r="T22" i="4" a="1"/>
  <c r="T22" i="4" s="1"/>
  <c r="T97" i="4"/>
  <c r="T35" i="4"/>
  <c r="T79" i="4"/>
  <c r="T28" i="4"/>
  <c r="T91" i="4"/>
  <c r="T34" i="4"/>
  <c r="T66" i="4"/>
  <c r="T21" i="4" a="1"/>
  <c r="T21" i="4" s="1"/>
  <c r="AO112" i="3" a="1"/>
  <c r="AO112" i="3" s="1"/>
  <c r="S29" i="4"/>
  <c r="S78" i="4"/>
  <c r="T93" i="4"/>
  <c r="T36" i="4"/>
  <c r="T102" i="4"/>
  <c r="T38" i="4"/>
  <c r="T73" i="4"/>
  <c r="T120" i="4" s="1"/>
  <c r="T25" i="4" a="1"/>
  <c r="T25" i="4" s="1"/>
  <c r="T99" i="4"/>
  <c r="T37" i="4"/>
  <c r="T60" i="4"/>
  <c r="T19" i="4" a="1"/>
  <c r="T19" i="4" s="1"/>
  <c r="U66" i="4"/>
  <c r="T42" i="4"/>
  <c r="T13" i="4" a="1"/>
  <c r="T13" i="4" s="1"/>
  <c r="T107" i="4" s="1"/>
  <c r="T49" i="4"/>
  <c r="T18" i="4" a="1"/>
  <c r="T18" i="4" s="1"/>
  <c r="T48" i="4"/>
  <c r="T17" i="4" a="1"/>
  <c r="T17" i="4" s="1"/>
  <c r="T90" i="4"/>
  <c r="T33" i="4"/>
  <c r="T44" i="4"/>
  <c r="T117" i="4" s="1"/>
  <c r="T15" i="4" a="1"/>
  <c r="T15" i="4" s="1"/>
  <c r="T56" i="4"/>
  <c r="T20" i="4" a="1"/>
  <c r="T20" i="4" s="1"/>
  <c r="T80" i="4"/>
  <c r="T30" i="4"/>
  <c r="S118" i="4"/>
  <c r="S114" i="4"/>
  <c r="AN65" i="3"/>
  <c r="R124" i="4"/>
  <c r="R112" i="4"/>
  <c r="S110" i="4"/>
  <c r="S123" i="4"/>
  <c r="S109" i="4"/>
  <c r="S108" i="4"/>
  <c r="AQ19" i="3"/>
  <c r="U46" i="4" s="1"/>
  <c r="AQ42" i="3"/>
  <c r="U63" i="4" s="1"/>
  <c r="AO63" i="3"/>
  <c r="AO68" i="3"/>
  <c r="S113" i="4"/>
  <c r="S122" i="4"/>
  <c r="R121" i="4"/>
  <c r="AO116" i="3" a="1"/>
  <c r="AO116" i="3" s="1"/>
  <c r="AP53" i="3"/>
  <c r="R115" i="4"/>
  <c r="AQ47" i="3"/>
  <c r="U68" i="4" s="1"/>
  <c r="AQ107" i="3"/>
  <c r="AQ31" i="3"/>
  <c r="U52" i="4" s="1"/>
  <c r="AP113" i="3" a="1"/>
  <c r="AP113" i="3" s="1"/>
  <c r="AP71" i="3"/>
  <c r="AP84" i="3"/>
  <c r="AO115" i="3"/>
  <c r="AQ30" i="3"/>
  <c r="U51" i="4" s="1"/>
  <c r="AQ56" i="3"/>
  <c r="U72" i="4" s="1"/>
  <c r="AR5" i="3"/>
  <c r="AR107" i="3" s="1"/>
  <c r="AQ3" i="3"/>
  <c r="AQ13" i="3"/>
  <c r="U43" i="4" s="1"/>
  <c r="AQ46" i="3"/>
  <c r="U67" i="4" s="1"/>
  <c r="AP96" i="3"/>
  <c r="AQ33" i="3"/>
  <c r="U54" i="4" s="1"/>
  <c r="AQ43" i="3"/>
  <c r="U64" i="4" s="1"/>
  <c r="AP114" i="3" a="1"/>
  <c r="AP114" i="3" s="1"/>
  <c r="AQ103" i="3"/>
  <c r="U104" i="4" s="1"/>
  <c r="AQ98" i="3"/>
  <c r="AQ100" i="3"/>
  <c r="U101" i="4" s="1"/>
  <c r="AQ99" i="3"/>
  <c r="U100" i="4" s="1"/>
  <c r="AQ101" i="3"/>
  <c r="AQ102" i="3"/>
  <c r="U103" i="4" s="1"/>
  <c r="AQ20" i="3"/>
  <c r="U47" i="4" s="1"/>
  <c r="AQ28" i="3"/>
  <c r="AQ37" i="3"/>
  <c r="U58" i="4" s="1"/>
  <c r="AQ29" i="3"/>
  <c r="U50" i="4" s="1"/>
  <c r="AP111" i="3" a="1"/>
  <c r="AP111" i="3" s="1"/>
  <c r="AQ87" i="3"/>
  <c r="AQ91" i="3"/>
  <c r="U95" i="4" s="1"/>
  <c r="AQ93" i="3"/>
  <c r="AQ88" i="3"/>
  <c r="U92" i="4" s="1"/>
  <c r="AQ92" i="3"/>
  <c r="U96" i="4" s="1"/>
  <c r="AQ89" i="3"/>
  <c r="AQ86" i="3"/>
  <c r="AQ90" i="3"/>
  <c r="U94" i="4" s="1"/>
  <c r="AQ94" i="3"/>
  <c r="U98" i="4" s="1"/>
  <c r="AQ79" i="3"/>
  <c r="U86" i="4" s="1"/>
  <c r="AQ76" i="3"/>
  <c r="U83" i="4" s="1"/>
  <c r="AQ72" i="3"/>
  <c r="AQ80" i="3"/>
  <c r="U87" i="4" s="1"/>
  <c r="AQ77" i="3"/>
  <c r="AQ73" i="3"/>
  <c r="AQ70" i="3"/>
  <c r="U77" i="4" s="1"/>
  <c r="AQ82" i="3"/>
  <c r="U89" i="4" s="1"/>
  <c r="AQ81" i="3"/>
  <c r="U88" i="4" s="1"/>
  <c r="AQ78" i="3"/>
  <c r="U85" i="4" s="1"/>
  <c r="AQ74" i="3"/>
  <c r="U81" i="4" s="1"/>
  <c r="AQ75" i="3"/>
  <c r="U82" i="4" s="1"/>
  <c r="AQ55" i="3"/>
  <c r="AP58" i="3"/>
  <c r="AQ60" i="3"/>
  <c r="AQ61" i="3"/>
  <c r="U74" i="4" s="1"/>
  <c r="AP110" i="3" a="1"/>
  <c r="AP110" i="3" s="1"/>
  <c r="AP25" i="3"/>
  <c r="AN23" i="3"/>
  <c r="AP10" i="3"/>
  <c r="AP109" i="3" a="1"/>
  <c r="AP109" i="3" s="1"/>
  <c r="AP106" i="3" a="1"/>
  <c r="AP106" i="3" s="1"/>
  <c r="AP108" i="3" a="1"/>
  <c r="AP108" i="3" s="1"/>
  <c r="AP15" i="3"/>
  <c r="AO22" i="3"/>
  <c r="X8" i="3"/>
  <c r="Y5" i="3"/>
  <c r="U4" i="4"/>
  <c r="U3" i="4"/>
  <c r="U8" i="4"/>
  <c r="U7" i="4"/>
  <c r="U6" i="4"/>
  <c r="V5" i="4"/>
  <c r="AR32" i="3" l="1"/>
  <c r="V53" i="4" s="1"/>
  <c r="AR33" i="3"/>
  <c r="V54" i="4" s="1"/>
  <c r="AR38" i="3"/>
  <c r="V59" i="4" s="1"/>
  <c r="AR27" i="3"/>
  <c r="V48" i="4" s="1"/>
  <c r="AR4" i="3"/>
  <c r="AR29" i="3"/>
  <c r="V50" i="4" s="1"/>
  <c r="AR3" i="3"/>
  <c r="AR30" i="3"/>
  <c r="V51" i="4" s="1"/>
  <c r="AR47" i="3"/>
  <c r="V68" i="4" s="1"/>
  <c r="AR43" i="3"/>
  <c r="V64" i="4" s="1"/>
  <c r="AR13" i="3"/>
  <c r="V43" i="4" s="1"/>
  <c r="AR12" i="3"/>
  <c r="V42" i="4" s="1"/>
  <c r="AR86" i="3"/>
  <c r="V90" i="4" s="1"/>
  <c r="U84" i="4"/>
  <c r="U31" i="4"/>
  <c r="U19" i="4" a="1"/>
  <c r="U19" i="4" s="1"/>
  <c r="U20" i="4" a="1"/>
  <c r="U20" i="4" s="1"/>
  <c r="U79" i="4"/>
  <c r="U28" i="4"/>
  <c r="U49" i="4"/>
  <c r="U118" i="4" s="1"/>
  <c r="U18" i="4" a="1"/>
  <c r="U18" i="4" s="1"/>
  <c r="U13" i="4" a="1"/>
  <c r="U13" i="4" s="1"/>
  <c r="U107" i="4" s="1"/>
  <c r="U15" i="4" a="1"/>
  <c r="U15" i="4" s="1"/>
  <c r="U91" i="4"/>
  <c r="U34" i="4"/>
  <c r="U80" i="4"/>
  <c r="U30" i="4"/>
  <c r="U102" i="4"/>
  <c r="U38" i="4"/>
  <c r="U73" i="4"/>
  <c r="U120" i="4" s="1"/>
  <c r="U25" i="4" a="1"/>
  <c r="U25" i="4" s="1"/>
  <c r="AP115" i="3"/>
  <c r="T29" i="4"/>
  <c r="T78" i="4"/>
  <c r="U71" i="4"/>
  <c r="U119" i="4" s="1"/>
  <c r="U22" i="4" a="1"/>
  <c r="U22" i="4" s="1"/>
  <c r="U93" i="4"/>
  <c r="U36" i="4"/>
  <c r="U99" i="4"/>
  <c r="U37" i="4"/>
  <c r="U90" i="4"/>
  <c r="U33" i="4"/>
  <c r="U17" i="4" a="1"/>
  <c r="U17" i="4" s="1"/>
  <c r="U97" i="4"/>
  <c r="U35" i="4"/>
  <c r="U21" i="4" a="1"/>
  <c r="U21" i="4" s="1"/>
  <c r="T118" i="4"/>
  <c r="T109" i="4"/>
  <c r="S112" i="4"/>
  <c r="T114" i="4"/>
  <c r="AS5" i="3"/>
  <c r="AS107" i="3" s="1"/>
  <c r="AR44" i="3"/>
  <c r="V65" i="4" s="1"/>
  <c r="T108" i="4"/>
  <c r="AR46" i="3"/>
  <c r="V67" i="4" s="1"/>
  <c r="T116" i="4"/>
  <c r="T111" i="4"/>
  <c r="T110" i="4"/>
  <c r="AR41" i="3"/>
  <c r="V62" i="4" s="1"/>
  <c r="AP63" i="3"/>
  <c r="AR49" i="3"/>
  <c r="V70" i="4" s="1"/>
  <c r="AR82" i="3"/>
  <c r="V89" i="4" s="1"/>
  <c r="T123" i="4"/>
  <c r="AR20" i="3"/>
  <c r="V47" i="4" s="1"/>
  <c r="AR42" i="3"/>
  <c r="V63" i="4" s="1"/>
  <c r="AR76" i="3"/>
  <c r="V83" i="4" s="1"/>
  <c r="S115" i="4"/>
  <c r="AR7" i="3"/>
  <c r="AR36" i="3"/>
  <c r="V57" i="4" s="1"/>
  <c r="AR8" i="3"/>
  <c r="AR17" i="3"/>
  <c r="AR61" i="3"/>
  <c r="V74" i="4" s="1"/>
  <c r="AR6" i="3"/>
  <c r="AR18" i="3"/>
  <c r="V45" i="4" s="1"/>
  <c r="AR31" i="3"/>
  <c r="V52" i="4" s="1"/>
  <c r="AR60" i="3"/>
  <c r="AR79" i="3"/>
  <c r="T119" i="4"/>
  <c r="U117" i="4"/>
  <c r="T113" i="4"/>
  <c r="T122" i="4"/>
  <c r="AQ108" i="3" a="1"/>
  <c r="AQ108" i="3" s="1"/>
  <c r="AQ15" i="3"/>
  <c r="AP116" i="3" a="1"/>
  <c r="AP116" i="3" s="1"/>
  <c r="AP68" i="3"/>
  <c r="AQ106" i="3" a="1"/>
  <c r="AQ106" i="3" s="1"/>
  <c r="U116" i="4"/>
  <c r="AP112" i="3" a="1"/>
  <c r="AP112" i="3" s="1"/>
  <c r="S124" i="4"/>
  <c r="S121" i="4"/>
  <c r="AQ10" i="3"/>
  <c r="AR75" i="3"/>
  <c r="V82" i="4" s="1"/>
  <c r="AR89" i="3"/>
  <c r="AR72" i="3"/>
  <c r="AR90" i="3"/>
  <c r="V94" i="4" s="1"/>
  <c r="AR92" i="3"/>
  <c r="V96" i="4" s="1"/>
  <c r="AR74" i="3"/>
  <c r="V81" i="4" s="1"/>
  <c r="AR39" i="3"/>
  <c r="AR48" i="3"/>
  <c r="V69" i="4" s="1"/>
  <c r="AR78" i="3"/>
  <c r="V85" i="4" s="1"/>
  <c r="AQ71" i="3"/>
  <c r="AQ25" i="3"/>
  <c r="AR81" i="3"/>
  <c r="V88" i="4" s="1"/>
  <c r="AR19" i="3"/>
  <c r="V46" i="4" s="1"/>
  <c r="AR28" i="3"/>
  <c r="AR37" i="3"/>
  <c r="V58" i="4" s="1"/>
  <c r="AR45" i="3"/>
  <c r="AR34" i="3"/>
  <c r="V55" i="4" s="1"/>
  <c r="AR56" i="3"/>
  <c r="V72" i="4" s="1"/>
  <c r="AR70" i="3"/>
  <c r="V77" i="4" s="1"/>
  <c r="AR55" i="3"/>
  <c r="AP22" i="3"/>
  <c r="AP23" i="3" s="1"/>
  <c r="AR73" i="3"/>
  <c r="AR77" i="3"/>
  <c r="AR87" i="3"/>
  <c r="AQ109" i="3" a="1"/>
  <c r="AQ109" i="3" s="1"/>
  <c r="AR40" i="3"/>
  <c r="V61" i="4" s="1"/>
  <c r="AR35" i="3"/>
  <c r="AR80" i="3"/>
  <c r="V87" i="4" s="1"/>
  <c r="AR93" i="3"/>
  <c r="AQ96" i="3"/>
  <c r="AQ114" i="3" a="1"/>
  <c r="AQ114" i="3" s="1"/>
  <c r="AR98" i="3"/>
  <c r="AR100" i="3"/>
  <c r="V101" i="4" s="1"/>
  <c r="AR101" i="3"/>
  <c r="AR102" i="3"/>
  <c r="V103" i="4" s="1"/>
  <c r="AR103" i="3"/>
  <c r="V104" i="4" s="1"/>
  <c r="AR99" i="3"/>
  <c r="V100" i="4" s="1"/>
  <c r="AR88" i="3"/>
  <c r="V92" i="4" s="1"/>
  <c r="AR94" i="3"/>
  <c r="V98" i="4" s="1"/>
  <c r="AR91" i="3"/>
  <c r="V95" i="4" s="1"/>
  <c r="AQ113" i="3" a="1"/>
  <c r="AQ113" i="3" s="1"/>
  <c r="AQ84" i="3"/>
  <c r="AQ110" i="3" a="1"/>
  <c r="AQ110" i="3" s="1"/>
  <c r="AQ53" i="3"/>
  <c r="AQ111" i="3" a="1"/>
  <c r="AQ111" i="3" s="1"/>
  <c r="AQ58" i="3"/>
  <c r="AO51" i="3"/>
  <c r="AO65" i="3" s="1"/>
  <c r="AO23" i="3"/>
  <c r="Y3" i="3"/>
  <c r="Z4" i="3"/>
  <c r="Y7" i="3"/>
  <c r="Y6" i="3"/>
  <c r="W5" i="4"/>
  <c r="V3" i="4"/>
  <c r="V8" i="4"/>
  <c r="V7" i="4"/>
  <c r="V6" i="4"/>
  <c r="V4" i="4"/>
  <c r="V17" i="4" l="1" a="1"/>
  <c r="V17" i="4" s="1"/>
  <c r="V116" i="4"/>
  <c r="W86" i="3"/>
  <c r="AR106" i="3" a="1"/>
  <c r="AR106" i="3" s="1"/>
  <c r="AR10" i="3"/>
  <c r="V13" i="4" a="1"/>
  <c r="V13" i="4" s="1"/>
  <c r="V107" i="4" s="1"/>
  <c r="AS31" i="3"/>
  <c r="W52" i="4" s="1"/>
  <c r="AS60" i="3"/>
  <c r="W73" i="4" s="1"/>
  <c r="AS74" i="3"/>
  <c r="W81" i="4" s="1"/>
  <c r="AS42" i="3"/>
  <c r="W63" i="4" s="1"/>
  <c r="AS78" i="3"/>
  <c r="W85" i="4" s="1"/>
  <c r="AS20" i="3"/>
  <c r="W47" i="4" s="1"/>
  <c r="AS81" i="3"/>
  <c r="W88" i="4" s="1"/>
  <c r="AS27" i="3"/>
  <c r="W48" i="4" s="1"/>
  <c r="AS70" i="3"/>
  <c r="W77" i="4" s="1"/>
  <c r="AS100" i="3"/>
  <c r="W101" i="4" s="1"/>
  <c r="AS73" i="3"/>
  <c r="W80" i="4" s="1"/>
  <c r="AS33" i="3"/>
  <c r="W54" i="4" s="1"/>
  <c r="AS49" i="3"/>
  <c r="W70" i="4" s="1"/>
  <c r="AS44" i="3"/>
  <c r="W65" i="4" s="1"/>
  <c r="AS38" i="3"/>
  <c r="W59" i="4" s="1"/>
  <c r="AS90" i="3"/>
  <c r="W94" i="4" s="1"/>
  <c r="AS40" i="3"/>
  <c r="W61" i="4" s="1"/>
  <c r="AS94" i="3"/>
  <c r="W98" i="4" s="1"/>
  <c r="AS4" i="3"/>
  <c r="AS41" i="3"/>
  <c r="W62" i="4" s="1"/>
  <c r="AS92" i="3"/>
  <c r="W96" i="4" s="1"/>
  <c r="AS6" i="3"/>
  <c r="AS36" i="3"/>
  <c r="W57" i="4" s="1"/>
  <c r="AS88" i="3"/>
  <c r="W92" i="4" s="1"/>
  <c r="AQ115" i="3"/>
  <c r="U29" i="4"/>
  <c r="U78" i="4"/>
  <c r="V44" i="4"/>
  <c r="V117" i="4" s="1"/>
  <c r="V15" i="4" a="1"/>
  <c r="V15" i="4" s="1"/>
  <c r="V108" i="4" s="1"/>
  <c r="V91" i="4"/>
  <c r="V34" i="4"/>
  <c r="V84" i="4"/>
  <c r="V31" i="4"/>
  <c r="V60" i="4"/>
  <c r="V19" i="4" a="1"/>
  <c r="V19" i="4" s="1"/>
  <c r="V80" i="4"/>
  <c r="V30" i="4"/>
  <c r="V71" i="4"/>
  <c r="V119" i="4" s="1"/>
  <c r="V22" i="4" a="1"/>
  <c r="V22" i="4" s="1"/>
  <c r="V110" i="4" s="1"/>
  <c r="V102" i="4"/>
  <c r="V38" i="4"/>
  <c r="V79" i="4"/>
  <c r="V28" i="4"/>
  <c r="V99" i="4"/>
  <c r="V37" i="4"/>
  <c r="V66" i="4"/>
  <c r="V21" i="4" a="1"/>
  <c r="V21" i="4" s="1"/>
  <c r="W79" i="3"/>
  <c r="V86" i="4"/>
  <c r="V56" i="4"/>
  <c r="V20" i="4" a="1"/>
  <c r="V20" i="4" s="1"/>
  <c r="V93" i="4"/>
  <c r="V36" i="4"/>
  <c r="V49" i="4"/>
  <c r="V18" i="4" a="1"/>
  <c r="V18" i="4" s="1"/>
  <c r="V73" i="4"/>
  <c r="V120" i="4" s="1"/>
  <c r="V25" i="4" a="1"/>
  <c r="V25" i="4" s="1"/>
  <c r="V97" i="4"/>
  <c r="V35" i="4"/>
  <c r="V33" i="4"/>
  <c r="AS47" i="3"/>
  <c r="W68" i="4" s="1"/>
  <c r="W82" i="3"/>
  <c r="U109" i="4"/>
  <c r="AS91" i="3"/>
  <c r="W95" i="4" s="1"/>
  <c r="U108" i="4"/>
  <c r="T112" i="4"/>
  <c r="AS37" i="3"/>
  <c r="W58" i="4" s="1"/>
  <c r="AS32" i="3"/>
  <c r="W53" i="4" s="1"/>
  <c r="AS76" i="3"/>
  <c r="W83" i="4" s="1"/>
  <c r="AS48" i="3"/>
  <c r="W69" i="4" s="1"/>
  <c r="AS77" i="3"/>
  <c r="AS12" i="3"/>
  <c r="AS28" i="3"/>
  <c r="AS56" i="3"/>
  <c r="W72" i="4" s="1"/>
  <c r="AS80" i="3"/>
  <c r="W87" i="4" s="1"/>
  <c r="AS13" i="3"/>
  <c r="W43" i="4" s="1"/>
  <c r="AS43" i="3"/>
  <c r="W64" i="4" s="1"/>
  <c r="AQ22" i="3"/>
  <c r="AQ23" i="3" s="1"/>
  <c r="AP51" i="3"/>
  <c r="AP65" i="3" s="1"/>
  <c r="AS45" i="3"/>
  <c r="W76" i="3"/>
  <c r="AT5" i="3"/>
  <c r="AT107" i="3" s="1"/>
  <c r="AS34" i="3"/>
  <c r="W55" i="4" s="1"/>
  <c r="AS103" i="3"/>
  <c r="W104" i="4" s="1"/>
  <c r="U123" i="4"/>
  <c r="AS39" i="3"/>
  <c r="AS55" i="3"/>
  <c r="AS72" i="3"/>
  <c r="AS8" i="3"/>
  <c r="AS29" i="3"/>
  <c r="W50" i="4" s="1"/>
  <c r="AS61" i="3"/>
  <c r="W74" i="4" s="1"/>
  <c r="AS87" i="3"/>
  <c r="AS101" i="3"/>
  <c r="U110" i="4"/>
  <c r="U111" i="4"/>
  <c r="AS3" i="3"/>
  <c r="AS17" i="3"/>
  <c r="AS35" i="3"/>
  <c r="AS82" i="3"/>
  <c r="W89" i="4" s="1"/>
  <c r="AS93" i="3"/>
  <c r="AS99" i="3"/>
  <c r="W100" i="4" s="1"/>
  <c r="AS7" i="3"/>
  <c r="AS18" i="3"/>
  <c r="W45" i="4" s="1"/>
  <c r="AS30" i="3"/>
  <c r="W51" i="4" s="1"/>
  <c r="AS75" i="3"/>
  <c r="W82" i="4" s="1"/>
  <c r="AS86" i="3"/>
  <c r="AS102" i="3"/>
  <c r="W103" i="4" s="1"/>
  <c r="AS19" i="3"/>
  <c r="W46" i="4" s="1"/>
  <c r="AS46" i="3"/>
  <c r="W67" i="4" s="1"/>
  <c r="AS79" i="3"/>
  <c r="W86" i="4" s="1"/>
  <c r="AS89" i="3"/>
  <c r="AS98" i="3"/>
  <c r="AR58" i="3"/>
  <c r="AR111" i="3" a="1"/>
  <c r="AR111" i="3" s="1"/>
  <c r="U114" i="4"/>
  <c r="AQ112" i="3" a="1"/>
  <c r="AQ112" i="3" s="1"/>
  <c r="AQ68" i="3"/>
  <c r="U122" i="4"/>
  <c r="AR108" i="3" a="1"/>
  <c r="AR108" i="3" s="1"/>
  <c r="U113" i="4"/>
  <c r="T115" i="4"/>
  <c r="AR15" i="3"/>
  <c r="W80" i="3"/>
  <c r="W81" i="3"/>
  <c r="AQ116" i="3" a="1"/>
  <c r="AQ116" i="3" s="1"/>
  <c r="W78" i="3"/>
  <c r="W99" i="3"/>
  <c r="W103" i="3"/>
  <c r="W87" i="3"/>
  <c r="W102" i="3"/>
  <c r="W77" i="3"/>
  <c r="T124" i="4"/>
  <c r="T121" i="4"/>
  <c r="W73" i="3"/>
  <c r="W74" i="3"/>
  <c r="W70" i="3"/>
  <c r="W90" i="3"/>
  <c r="W72" i="3"/>
  <c r="W92" i="3"/>
  <c r="W94" i="3"/>
  <c r="W89" i="3"/>
  <c r="W91" i="3"/>
  <c r="W88" i="3"/>
  <c r="W75" i="3"/>
  <c r="AR53" i="3"/>
  <c r="W93" i="3"/>
  <c r="AR25" i="3"/>
  <c r="AR109" i="3" a="1"/>
  <c r="AR109" i="3" s="1"/>
  <c r="AQ63" i="3"/>
  <c r="AR110" i="3" a="1"/>
  <c r="AR110" i="3" s="1"/>
  <c r="AR71" i="3"/>
  <c r="AR96" i="3"/>
  <c r="AR114" i="3" a="1"/>
  <c r="AR114" i="3" s="1"/>
  <c r="AR113" i="3" a="1"/>
  <c r="AR113" i="3" s="1"/>
  <c r="AR84" i="3"/>
  <c r="W98" i="3"/>
  <c r="Y8" i="3"/>
  <c r="Z5" i="3"/>
  <c r="X5" i="4"/>
  <c r="W4" i="4"/>
  <c r="W3" i="4"/>
  <c r="W7" i="4"/>
  <c r="W6" i="4"/>
  <c r="W8" i="4"/>
  <c r="C50" i="7" s="1"/>
  <c r="C64" i="7" l="1"/>
  <c r="C61" i="7"/>
  <c r="V111" i="4"/>
  <c r="AR22" i="3"/>
  <c r="AR23" i="3" s="1"/>
  <c r="AS53" i="3"/>
  <c r="V118" i="4"/>
  <c r="W44" i="4"/>
  <c r="W117" i="4" s="1"/>
  <c r="W15" i="4" a="1"/>
  <c r="W15" i="4" s="1"/>
  <c r="W99" i="4"/>
  <c r="W37" i="4"/>
  <c r="W66" i="4"/>
  <c r="W21" i="4" a="1"/>
  <c r="W21" i="4" s="1"/>
  <c r="W17" i="4" a="1"/>
  <c r="W17" i="4" s="1"/>
  <c r="W93" i="4"/>
  <c r="W36" i="4"/>
  <c r="W102" i="4"/>
  <c r="W38" i="4"/>
  <c r="W91" i="4"/>
  <c r="W34" i="4"/>
  <c r="W90" i="4"/>
  <c r="W33" i="4"/>
  <c r="W79" i="4"/>
  <c r="W28" i="4"/>
  <c r="W49" i="4"/>
  <c r="W18" i="4" a="1"/>
  <c r="W18" i="4" s="1"/>
  <c r="W71" i="4"/>
  <c r="W119" i="4" s="1"/>
  <c r="W22" i="4" a="1"/>
  <c r="W22" i="4" s="1"/>
  <c r="W110" i="4" s="1"/>
  <c r="W42" i="4"/>
  <c r="W13" i="4" a="1"/>
  <c r="W13" i="4" s="1"/>
  <c r="C51" i="7" s="1"/>
  <c r="C65" i="7" s="1"/>
  <c r="V29" i="4"/>
  <c r="V78" i="4"/>
  <c r="W60" i="4"/>
  <c r="W19" i="4" a="1"/>
  <c r="W19" i="4" s="1"/>
  <c r="W84" i="4"/>
  <c r="W31" i="4"/>
  <c r="W97" i="4"/>
  <c r="W35" i="4"/>
  <c r="W30" i="4"/>
  <c r="W56" i="4"/>
  <c r="W20" i="4" a="1"/>
  <c r="W20" i="4" s="1"/>
  <c r="W25" i="4" a="1"/>
  <c r="W25" i="4" s="1"/>
  <c r="AT33" i="3"/>
  <c r="X54" i="4" s="1"/>
  <c r="AT101" i="3"/>
  <c r="AT102" i="3"/>
  <c r="X103" i="4" s="1"/>
  <c r="AT56" i="3"/>
  <c r="X72" i="4" s="1"/>
  <c r="AT27" i="3"/>
  <c r="AT49" i="3"/>
  <c r="X70" i="4" s="1"/>
  <c r="AT36" i="3"/>
  <c r="X57" i="4" s="1"/>
  <c r="AT77" i="3"/>
  <c r="AT72" i="3"/>
  <c r="AT91" i="3"/>
  <c r="X95" i="4" s="1"/>
  <c r="AT103" i="3"/>
  <c r="X104" i="4" s="1"/>
  <c r="AT31" i="3"/>
  <c r="X52" i="4" s="1"/>
  <c r="AT55" i="3"/>
  <c r="AT3" i="3"/>
  <c r="AT94" i="3"/>
  <c r="X98" i="4" s="1"/>
  <c r="AT32" i="3"/>
  <c r="X53" i="4" s="1"/>
  <c r="AT6" i="3"/>
  <c r="AT4" i="3"/>
  <c r="AU5" i="3"/>
  <c r="AU107" i="3" s="1"/>
  <c r="AT38" i="3"/>
  <c r="X59" i="4" s="1"/>
  <c r="AT47" i="3"/>
  <c r="X68" i="4" s="1"/>
  <c r="AT79" i="3"/>
  <c r="X86" i="4" s="1"/>
  <c r="AT98" i="3"/>
  <c r="AT28" i="3"/>
  <c r="AT61" i="3"/>
  <c r="X74" i="4" s="1"/>
  <c r="AT90" i="3"/>
  <c r="X94" i="4" s="1"/>
  <c r="AT100" i="3"/>
  <c r="X101" i="4" s="1"/>
  <c r="AT39" i="3"/>
  <c r="AT45" i="3"/>
  <c r="AT92" i="3"/>
  <c r="X96" i="4" s="1"/>
  <c r="AT18" i="3"/>
  <c r="X45" i="4" s="1"/>
  <c r="AT40" i="3"/>
  <c r="X61" i="4" s="1"/>
  <c r="AT78" i="3"/>
  <c r="X85" i="4" s="1"/>
  <c r="AT88" i="3"/>
  <c r="X92" i="4" s="1"/>
  <c r="AT82" i="3"/>
  <c r="X89" i="4" s="1"/>
  <c r="AT86" i="3"/>
  <c r="AT20" i="3"/>
  <c r="X47" i="4" s="1"/>
  <c r="AT89" i="3"/>
  <c r="AT17" i="3"/>
  <c r="AT19" i="3"/>
  <c r="X46" i="4" s="1"/>
  <c r="AT81" i="3"/>
  <c r="X88" i="4" s="1"/>
  <c r="AT87" i="3"/>
  <c r="AT30" i="3"/>
  <c r="X51" i="4" s="1"/>
  <c r="AT76" i="3"/>
  <c r="X83" i="4" s="1"/>
  <c r="AT70" i="3"/>
  <c r="X77" i="4" s="1"/>
  <c r="AT13" i="3"/>
  <c r="X43" i="4" s="1"/>
  <c r="AT60" i="3"/>
  <c r="AT93" i="3"/>
  <c r="AT12" i="3"/>
  <c r="AT34" i="3"/>
  <c r="X55" i="4" s="1"/>
  <c r="AT75" i="3"/>
  <c r="X82" i="4" s="1"/>
  <c r="AT29" i="3"/>
  <c r="X50" i="4" s="1"/>
  <c r="AT74" i="3"/>
  <c r="X81" i="4" s="1"/>
  <c r="AT35" i="3"/>
  <c r="AT37" i="3"/>
  <c r="X58" i="4" s="1"/>
  <c r="AT48" i="3"/>
  <c r="X69" i="4" s="1"/>
  <c r="AT46" i="3"/>
  <c r="X67" i="4" s="1"/>
  <c r="AT7" i="3"/>
  <c r="AT43" i="3"/>
  <c r="X64" i="4" s="1"/>
  <c r="AT41" i="3"/>
  <c r="X62" i="4" s="1"/>
  <c r="AT73" i="3"/>
  <c r="AT8" i="3"/>
  <c r="AT44" i="3"/>
  <c r="X65" i="4" s="1"/>
  <c r="AT42" i="3"/>
  <c r="X63" i="4" s="1"/>
  <c r="AT80" i="3"/>
  <c r="X87" i="4" s="1"/>
  <c r="AT99" i="3"/>
  <c r="V109" i="4"/>
  <c r="AS110" i="3" a="1"/>
  <c r="AS110" i="3" s="1"/>
  <c r="AQ51" i="3"/>
  <c r="AQ65" i="3" s="1"/>
  <c r="AS71" i="3"/>
  <c r="AS113" i="3" a="1"/>
  <c r="AS113" i="3" s="1"/>
  <c r="AS114" i="3" a="1"/>
  <c r="AS114" i="3" s="1"/>
  <c r="AS108" i="3" a="1"/>
  <c r="AS108" i="3" s="1"/>
  <c r="AS15" i="3"/>
  <c r="W120" i="4"/>
  <c r="AS106" i="3" a="1"/>
  <c r="AS106" i="3" s="1"/>
  <c r="AS10" i="3"/>
  <c r="AS25" i="3"/>
  <c r="AS96" i="3"/>
  <c r="AS58" i="3"/>
  <c r="AR63" i="3"/>
  <c r="AS111" i="3" a="1"/>
  <c r="AS111" i="3" s="1"/>
  <c r="U112" i="4"/>
  <c r="AS109" i="3" a="1"/>
  <c r="AS109" i="3" s="1"/>
  <c r="AS84" i="3"/>
  <c r="V113" i="4"/>
  <c r="V123" i="4"/>
  <c r="V114" i="4"/>
  <c r="V122" i="4"/>
  <c r="W84" i="3"/>
  <c r="U124" i="4"/>
  <c r="U121" i="4"/>
  <c r="U115" i="4"/>
  <c r="AR112" i="3" a="1"/>
  <c r="AR112" i="3" s="1"/>
  <c r="AR68" i="3"/>
  <c r="AR116" i="3" a="1"/>
  <c r="AR116" i="3" s="1"/>
  <c r="AR115" i="3"/>
  <c r="AA4" i="3"/>
  <c r="Z7" i="3"/>
  <c r="Z3" i="3"/>
  <c r="Z6" i="3"/>
  <c r="X4" i="4"/>
  <c r="X8" i="4"/>
  <c r="D50" i="7" s="1"/>
  <c r="X7" i="4"/>
  <c r="X3" i="4"/>
  <c r="X6" i="4"/>
  <c r="Y5" i="4"/>
  <c r="W108" i="4" l="1"/>
  <c r="C52" i="7"/>
  <c r="C66" i="7"/>
  <c r="D64" i="7"/>
  <c r="D61" i="7"/>
  <c r="AR51" i="3"/>
  <c r="AR65" i="3" s="1"/>
  <c r="AU94" i="3"/>
  <c r="Y98" i="4" s="1"/>
  <c r="AU90" i="3"/>
  <c r="Y94" i="4" s="1"/>
  <c r="W116" i="4"/>
  <c r="AS63" i="3"/>
  <c r="AU102" i="3"/>
  <c r="Y103" i="4" s="1"/>
  <c r="AU72" i="3"/>
  <c r="Y28" i="4" s="1"/>
  <c r="AU36" i="3"/>
  <c r="Y57" i="4" s="1"/>
  <c r="AU61" i="3"/>
  <c r="Y74" i="4" s="1"/>
  <c r="AU91" i="3"/>
  <c r="Y95" i="4" s="1"/>
  <c r="AT106" i="3" a="1"/>
  <c r="AT106" i="3" s="1"/>
  <c r="AT10" i="3"/>
  <c r="AU101" i="3"/>
  <c r="X101" i="3" s="1"/>
  <c r="AU44" i="3"/>
  <c r="Y65" i="4" s="1"/>
  <c r="AU33" i="3"/>
  <c r="Y54" i="4" s="1"/>
  <c r="AU38" i="3"/>
  <c r="Y59" i="4" s="1"/>
  <c r="AU49" i="3"/>
  <c r="Y70" i="4" s="1"/>
  <c r="AU46" i="3"/>
  <c r="Y67" i="4" s="1"/>
  <c r="AU41" i="3"/>
  <c r="Y62" i="4" s="1"/>
  <c r="AU103" i="3"/>
  <c r="Y104" i="4" s="1"/>
  <c r="AU42" i="3"/>
  <c r="Y63" i="4" s="1"/>
  <c r="AU100" i="3"/>
  <c r="Y101" i="4" s="1"/>
  <c r="AU13" i="3"/>
  <c r="Y43" i="4" s="1"/>
  <c r="AU56" i="3"/>
  <c r="Y72" i="4" s="1"/>
  <c r="AU98" i="3"/>
  <c r="Y99" i="4" s="1"/>
  <c r="AU12" i="3"/>
  <c r="AU55" i="3"/>
  <c r="AU47" i="3"/>
  <c r="Y68" i="4" s="1"/>
  <c r="AU70" i="3"/>
  <c r="Y77" i="4" s="1"/>
  <c r="AV5" i="3"/>
  <c r="AV107" i="3" s="1"/>
  <c r="AU37" i="3"/>
  <c r="Y58" i="4" s="1"/>
  <c r="AU73" i="3"/>
  <c r="X73" i="3" s="1"/>
  <c r="AU6" i="3"/>
  <c r="AU48" i="3"/>
  <c r="Y69" i="4" s="1"/>
  <c r="AU77" i="3"/>
  <c r="Y84" i="4" s="1"/>
  <c r="AU27" i="3"/>
  <c r="Y48" i="4" s="1"/>
  <c r="AU80" i="3"/>
  <c r="Y87" i="4" s="1"/>
  <c r="W123" i="4"/>
  <c r="AU8" i="3"/>
  <c r="AU7" i="3"/>
  <c r="AU20" i="3"/>
  <c r="Y47" i="4" s="1"/>
  <c r="AU39" i="3"/>
  <c r="Y60" i="4" s="1"/>
  <c r="AU76" i="3"/>
  <c r="Y83" i="4" s="1"/>
  <c r="AU87" i="3"/>
  <c r="Y91" i="4" s="1"/>
  <c r="AU45" i="3"/>
  <c r="Y66" i="4" s="1"/>
  <c r="AU4" i="3"/>
  <c r="AU86" i="3"/>
  <c r="AU18" i="3"/>
  <c r="Y45" i="4" s="1"/>
  <c r="AU34" i="3"/>
  <c r="Y55" i="4" s="1"/>
  <c r="AU82" i="3"/>
  <c r="Y89" i="4" s="1"/>
  <c r="AU89" i="3"/>
  <c r="Y36" i="4" s="1"/>
  <c r="AU29" i="3"/>
  <c r="Y50" i="4" s="1"/>
  <c r="AU75" i="3"/>
  <c r="Y82" i="4" s="1"/>
  <c r="AU92" i="3"/>
  <c r="Y96" i="4" s="1"/>
  <c r="AU17" i="3"/>
  <c r="Y44" i="4" s="1"/>
  <c r="AU32" i="3"/>
  <c r="Y53" i="4" s="1"/>
  <c r="AU40" i="3"/>
  <c r="Y61" i="4" s="1"/>
  <c r="AU74" i="3"/>
  <c r="Y81" i="4" s="1"/>
  <c r="AU88" i="3"/>
  <c r="Y92" i="4" s="1"/>
  <c r="AU19" i="3"/>
  <c r="Y46" i="4" s="1"/>
  <c r="AU28" i="3"/>
  <c r="AU60" i="3"/>
  <c r="AU93" i="3"/>
  <c r="Y97" i="4" s="1"/>
  <c r="AU79" i="3"/>
  <c r="Y86" i="4" s="1"/>
  <c r="AU3" i="3"/>
  <c r="AU43" i="3"/>
  <c r="Y64" i="4" s="1"/>
  <c r="AU35" i="3"/>
  <c r="AU78" i="3"/>
  <c r="Y85" i="4" s="1"/>
  <c r="AU31" i="3"/>
  <c r="Y52" i="4" s="1"/>
  <c r="AU30" i="3"/>
  <c r="Y51" i="4" s="1"/>
  <c r="AU81" i="3"/>
  <c r="Y88" i="4" s="1"/>
  <c r="AU99" i="3"/>
  <c r="Y100" i="4" s="1"/>
  <c r="AT108" i="3" a="1"/>
  <c r="AT108" i="3" s="1"/>
  <c r="AT53" i="3"/>
  <c r="W122" i="4"/>
  <c r="AT110" i="3" a="1"/>
  <c r="AT110" i="3" s="1"/>
  <c r="X80" i="4"/>
  <c r="X30" i="4"/>
  <c r="X66" i="4"/>
  <c r="X21" i="4" a="1"/>
  <c r="X21" i="4" s="1"/>
  <c r="X71" i="4"/>
  <c r="X119" i="4" s="1"/>
  <c r="X22" i="4" a="1"/>
  <c r="X22" i="4" s="1"/>
  <c r="X60" i="4"/>
  <c r="X19" i="4" a="1"/>
  <c r="X19" i="4" s="1"/>
  <c r="X91" i="4"/>
  <c r="X34" i="4"/>
  <c r="X79" i="4"/>
  <c r="X28" i="4"/>
  <c r="X49" i="4"/>
  <c r="X18" i="4" a="1"/>
  <c r="X18" i="4" s="1"/>
  <c r="X84" i="4"/>
  <c r="X31" i="4"/>
  <c r="X44" i="4"/>
  <c r="X117" i="4" s="1"/>
  <c r="X15" i="4" a="1"/>
  <c r="X15" i="4" s="1"/>
  <c r="X99" i="4"/>
  <c r="X37" i="4"/>
  <c r="AS68" i="3"/>
  <c r="W29" i="4"/>
  <c r="W78" i="4"/>
  <c r="W124" i="4" s="1"/>
  <c r="X56" i="4"/>
  <c r="X20" i="4" a="1"/>
  <c r="X20" i="4" s="1"/>
  <c r="X93" i="4"/>
  <c r="X36" i="4"/>
  <c r="X48" i="4"/>
  <c r="X17" i="4" a="1"/>
  <c r="X17" i="4" s="1"/>
  <c r="X90" i="4"/>
  <c r="X33" i="4"/>
  <c r="AT114" i="3" a="1"/>
  <c r="AT114" i="3" s="1"/>
  <c r="X100" i="4"/>
  <c r="X102" i="4"/>
  <c r="X38" i="4"/>
  <c r="X42" i="4"/>
  <c r="X116" i="4" s="1"/>
  <c r="X13" i="4" a="1"/>
  <c r="X13" i="4" s="1"/>
  <c r="X97" i="4"/>
  <c r="X35" i="4"/>
  <c r="AT111" i="3" a="1"/>
  <c r="AT111" i="3" s="1"/>
  <c r="X73" i="4"/>
  <c r="X120" i="4" s="1"/>
  <c r="X25" i="4" a="1"/>
  <c r="X25" i="4" s="1"/>
  <c r="X111" i="4" s="1"/>
  <c r="AT71" i="3"/>
  <c r="AT116" i="3" s="1" a="1"/>
  <c r="AT116" i="3" s="1"/>
  <c r="AT15" i="3"/>
  <c r="AT113" i="3" a="1"/>
  <c r="AT113" i="3" s="1"/>
  <c r="AT109" i="3" a="1"/>
  <c r="AT109" i="3" s="1"/>
  <c r="AT58" i="3"/>
  <c r="AT25" i="3"/>
  <c r="W118" i="4"/>
  <c r="AT96" i="3"/>
  <c r="AT84" i="3"/>
  <c r="W113" i="4"/>
  <c r="AS112" i="3" a="1"/>
  <c r="AS112" i="3" s="1"/>
  <c r="AS116" i="3" a="1"/>
  <c r="AS116" i="3" s="1"/>
  <c r="AS115" i="3"/>
  <c r="W114" i="4"/>
  <c r="AS22" i="3"/>
  <c r="AS23" i="3" s="1"/>
  <c r="W111" i="4"/>
  <c r="W107" i="4"/>
  <c r="W109" i="4"/>
  <c r="V124" i="4"/>
  <c r="V115" i="4"/>
  <c r="V121" i="4"/>
  <c r="V112" i="4"/>
  <c r="X102" i="3"/>
  <c r="Z8" i="3"/>
  <c r="AA5" i="3"/>
  <c r="Z5" i="4"/>
  <c r="Y4" i="4"/>
  <c r="Y3" i="4"/>
  <c r="Y8" i="4"/>
  <c r="E50" i="7" s="1"/>
  <c r="Y7" i="4"/>
  <c r="Y6" i="4"/>
  <c r="Y79" i="4" l="1"/>
  <c r="P72" i="3"/>
  <c r="X90" i="3"/>
  <c r="D66" i="7"/>
  <c r="X107" i="4"/>
  <c r="D51" i="7"/>
  <c r="D65" i="7" s="1"/>
  <c r="X108" i="4"/>
  <c r="D52" i="7"/>
  <c r="E64" i="7"/>
  <c r="E61" i="7"/>
  <c r="W115" i="4"/>
  <c r="C62" i="7"/>
  <c r="Y33" i="4"/>
  <c r="X91" i="3"/>
  <c r="AU58" i="3"/>
  <c r="X110" i="4"/>
  <c r="AV70" i="3"/>
  <c r="Z77" i="4" s="1"/>
  <c r="AV102" i="3"/>
  <c r="Z103" i="4" s="1"/>
  <c r="AV100" i="3"/>
  <c r="Z101" i="4" s="1"/>
  <c r="AV43" i="3"/>
  <c r="Z64" i="4" s="1"/>
  <c r="AV37" i="3"/>
  <c r="Z58" i="4" s="1"/>
  <c r="AV35" i="3"/>
  <c r="Z56" i="4" s="1"/>
  <c r="AV73" i="3"/>
  <c r="Z80" i="4" s="1"/>
  <c r="AV30" i="3"/>
  <c r="Z51" i="4" s="1"/>
  <c r="AV46" i="3"/>
  <c r="Z67" i="4" s="1"/>
  <c r="AV41" i="3"/>
  <c r="Z62" i="4" s="1"/>
  <c r="AV80" i="3"/>
  <c r="Z87" i="4" s="1"/>
  <c r="AV101" i="3"/>
  <c r="Z102" i="4" s="1"/>
  <c r="AV44" i="3"/>
  <c r="Z65" i="4" s="1"/>
  <c r="AV56" i="3"/>
  <c r="Z72" i="4" s="1"/>
  <c r="AV72" i="3"/>
  <c r="Z79" i="4" s="1"/>
  <c r="AV13" i="3"/>
  <c r="Z43" i="4" s="1"/>
  <c r="AV36" i="3"/>
  <c r="Z57" i="4" s="1"/>
  <c r="AV55" i="3"/>
  <c r="AV87" i="3"/>
  <c r="Z91" i="4" s="1"/>
  <c r="AV33" i="3"/>
  <c r="Z54" i="4" s="1"/>
  <c r="AV12" i="3"/>
  <c r="AV42" i="3"/>
  <c r="Z63" i="4" s="1"/>
  <c r="AV61" i="3"/>
  <c r="Z74" i="4" s="1"/>
  <c r="AV94" i="3"/>
  <c r="Z98" i="4" s="1"/>
  <c r="X77" i="3"/>
  <c r="AV60" i="3"/>
  <c r="Z73" i="4" s="1"/>
  <c r="AV90" i="3"/>
  <c r="Z94" i="4" s="1"/>
  <c r="AV38" i="3"/>
  <c r="Z59" i="4" s="1"/>
  <c r="AV93" i="3"/>
  <c r="Z97" i="4" s="1"/>
  <c r="AV20" i="3"/>
  <c r="Z47" i="4" s="1"/>
  <c r="AV79" i="3"/>
  <c r="Z86" i="4" s="1"/>
  <c r="AV86" i="3"/>
  <c r="Z90" i="4" s="1"/>
  <c r="AV19" i="3"/>
  <c r="Z46" i="4" s="1"/>
  <c r="AV103" i="3"/>
  <c r="Z104" i="4" s="1"/>
  <c r="AV27" i="3"/>
  <c r="Z48" i="4" s="1"/>
  <c r="AV4" i="3"/>
  <c r="AV49" i="3"/>
  <c r="Z70" i="4" s="1"/>
  <c r="AV76" i="3"/>
  <c r="Z83" i="4" s="1"/>
  <c r="AV91" i="3"/>
  <c r="Z95" i="4" s="1"/>
  <c r="AV3" i="3"/>
  <c r="AV28" i="3"/>
  <c r="Z49" i="4" s="1"/>
  <c r="AV8" i="3"/>
  <c r="AV17" i="3"/>
  <c r="Z44" i="4" s="1"/>
  <c r="AV39" i="3"/>
  <c r="Z60" i="4" s="1"/>
  <c r="AV82" i="3"/>
  <c r="Z89" i="4" s="1"/>
  <c r="AV89" i="3"/>
  <c r="Z93" i="4" s="1"/>
  <c r="AV7" i="3"/>
  <c r="AV18" i="3"/>
  <c r="Z45" i="4" s="1"/>
  <c r="AV45" i="3"/>
  <c r="Z66" i="4" s="1"/>
  <c r="AV75" i="3"/>
  <c r="Z82" i="4" s="1"/>
  <c r="AV92" i="3"/>
  <c r="Z96" i="4" s="1"/>
  <c r="AV6" i="3"/>
  <c r="AV34" i="3"/>
  <c r="Z55" i="4" s="1"/>
  <c r="AV88" i="3"/>
  <c r="Z92" i="4" s="1"/>
  <c r="AV31" i="3"/>
  <c r="Z52" i="4" s="1"/>
  <c r="AV74" i="3"/>
  <c r="Z81" i="4" s="1"/>
  <c r="AW5" i="3"/>
  <c r="AW107" i="3" s="1"/>
  <c r="AV47" i="3"/>
  <c r="Z68" i="4" s="1"/>
  <c r="AV29" i="3"/>
  <c r="Z50" i="4" s="1"/>
  <c r="AV78" i="3"/>
  <c r="Z85" i="4" s="1"/>
  <c r="AV98" i="3"/>
  <c r="Z99" i="4" s="1"/>
  <c r="AV48" i="3"/>
  <c r="Z69" i="4" s="1"/>
  <c r="AV77" i="3"/>
  <c r="Z84" i="4" s="1"/>
  <c r="AV32" i="3"/>
  <c r="Z53" i="4" s="1"/>
  <c r="AV40" i="3"/>
  <c r="Z61" i="4" s="1"/>
  <c r="AV81" i="3"/>
  <c r="Z88" i="4" s="1"/>
  <c r="AV99" i="3"/>
  <c r="Z100" i="4" s="1"/>
  <c r="AU111" i="3" a="1"/>
  <c r="AU111" i="3" s="1"/>
  <c r="Y25" i="4" a="1"/>
  <c r="Y25" i="4" s="1"/>
  <c r="Y111" i="4" s="1"/>
  <c r="Y73" i="4"/>
  <c r="Y120" i="4" s="1"/>
  <c r="Y38" i="4"/>
  <c r="Y102" i="4"/>
  <c r="Y123" i="4" s="1"/>
  <c r="X70" i="3"/>
  <c r="AT22" i="3"/>
  <c r="AT23" i="3" s="1"/>
  <c r="X80" i="3"/>
  <c r="P80" i="3"/>
  <c r="Y13" i="4" a="1"/>
  <c r="Y13" i="4" s="1"/>
  <c r="Y22" i="4" a="1"/>
  <c r="Y22" i="4" s="1"/>
  <c r="Y110" i="4" s="1"/>
  <c r="AU110" i="3" a="1"/>
  <c r="AU110" i="3" s="1"/>
  <c r="Y90" i="4"/>
  <c r="Y71" i="4"/>
  <c r="Y119" i="4" s="1"/>
  <c r="X99" i="3"/>
  <c r="AU53" i="3"/>
  <c r="Y42" i="4"/>
  <c r="X100" i="3"/>
  <c r="X76" i="3"/>
  <c r="Y80" i="4"/>
  <c r="AU108" i="3" a="1"/>
  <c r="AU108" i="3" s="1"/>
  <c r="AU114" i="3" a="1"/>
  <c r="AU114" i="3" s="1"/>
  <c r="AU96" i="3"/>
  <c r="AU106" i="3" a="1"/>
  <c r="AU106" i="3" s="1"/>
  <c r="AU15" i="3"/>
  <c r="AU10" i="3"/>
  <c r="Y21" i="4" a="1"/>
  <c r="Y21" i="4" s="1"/>
  <c r="X81" i="3"/>
  <c r="X88" i="3"/>
  <c r="X86" i="3"/>
  <c r="X93" i="3"/>
  <c r="X79" i="3"/>
  <c r="Y93" i="4"/>
  <c r="AU113" i="3" a="1"/>
  <c r="AU113" i="3" s="1"/>
  <c r="AU25" i="3"/>
  <c r="P89" i="3"/>
  <c r="AU109" i="3" a="1"/>
  <c r="AU109" i="3" s="1"/>
  <c r="Y34" i="4"/>
  <c r="Y18" i="4" a="1"/>
  <c r="Y18" i="4" s="1"/>
  <c r="Y20" i="4" a="1"/>
  <c r="Y20" i="4" s="1"/>
  <c r="Y49" i="4"/>
  <c r="AT63" i="3"/>
  <c r="Y15" i="4" a="1"/>
  <c r="Y15" i="4" s="1"/>
  <c r="Y35" i="4"/>
  <c r="Y117" i="4"/>
  <c r="AU71" i="3"/>
  <c r="Y29" i="4" s="1"/>
  <c r="E62" i="7" s="1"/>
  <c r="Y30" i="4"/>
  <c r="Y56" i="4"/>
  <c r="Y19" i="4" a="1"/>
  <c r="Y19" i="4" s="1"/>
  <c r="X78" i="3"/>
  <c r="Y31" i="4"/>
  <c r="Y37" i="4"/>
  <c r="X75" i="3"/>
  <c r="Y17" i="4" a="1"/>
  <c r="Y17" i="4" s="1"/>
  <c r="X114" i="4"/>
  <c r="P92" i="3"/>
  <c r="AU84" i="3"/>
  <c r="X113" i="4"/>
  <c r="X123" i="4"/>
  <c r="X109" i="4"/>
  <c r="X118" i="4"/>
  <c r="X122" i="4"/>
  <c r="AT112" i="3" a="1"/>
  <c r="AT112" i="3" s="1"/>
  <c r="AT68" i="3"/>
  <c r="AS51" i="3"/>
  <c r="AS65" i="3" s="1"/>
  <c r="Z42" i="4"/>
  <c r="AT115" i="3"/>
  <c r="X29" i="4"/>
  <c r="X78" i="4"/>
  <c r="X124" i="4" s="1"/>
  <c r="W121" i="4"/>
  <c r="W112" i="4"/>
  <c r="AA3" i="3"/>
  <c r="AB4" i="3"/>
  <c r="AA7" i="3"/>
  <c r="AA6" i="3"/>
  <c r="Z6" i="4"/>
  <c r="AA5" i="4"/>
  <c r="Z4" i="4"/>
  <c r="Z3" i="4"/>
  <c r="Z8" i="4"/>
  <c r="F50" i="7" s="1"/>
  <c r="Z7" i="4"/>
  <c r="AU63" i="3" l="1"/>
  <c r="AW39" i="3"/>
  <c r="AW89" i="3"/>
  <c r="AW103" i="3"/>
  <c r="AA104" i="4" s="1"/>
  <c r="E66" i="7"/>
  <c r="X115" i="4"/>
  <c r="D62" i="7"/>
  <c r="F61" i="7"/>
  <c r="F64" i="7"/>
  <c r="Y108" i="4"/>
  <c r="E52" i="7"/>
  <c r="Y107" i="4"/>
  <c r="E51" i="7"/>
  <c r="E65" i="7" s="1"/>
  <c r="AW47" i="3"/>
  <c r="AA68" i="4" s="1"/>
  <c r="AW32" i="3"/>
  <c r="AA53" i="4" s="1"/>
  <c r="AW36" i="3"/>
  <c r="AA57" i="4" s="1"/>
  <c r="AW99" i="3"/>
  <c r="AA100" i="4" s="1"/>
  <c r="AW42" i="3"/>
  <c r="AA63" i="4" s="1"/>
  <c r="AW31" i="3"/>
  <c r="AA52" i="4" s="1"/>
  <c r="AW102" i="3"/>
  <c r="AA103" i="4" s="1"/>
  <c r="AW40" i="3"/>
  <c r="AA61" i="4" s="1"/>
  <c r="AW35" i="3"/>
  <c r="AA56" i="4" s="1"/>
  <c r="AW29" i="3"/>
  <c r="AA50" i="4" s="1"/>
  <c r="AW30" i="3"/>
  <c r="AA51" i="4" s="1"/>
  <c r="AW3" i="3"/>
  <c r="AW55" i="3"/>
  <c r="AA71" i="4" s="1"/>
  <c r="AW7" i="3"/>
  <c r="AW82" i="3"/>
  <c r="AA89" i="4" s="1"/>
  <c r="AW75" i="3"/>
  <c r="AA82" i="4" s="1"/>
  <c r="AW81" i="3"/>
  <c r="AA88" i="4" s="1"/>
  <c r="AW72" i="3"/>
  <c r="AA28" i="4" s="1"/>
  <c r="AW86" i="3"/>
  <c r="AA90" i="4" s="1"/>
  <c r="AW43" i="3"/>
  <c r="AA64" i="4" s="1"/>
  <c r="AW46" i="3"/>
  <c r="AA67" i="4" s="1"/>
  <c r="AW77" i="3"/>
  <c r="AA84" i="4" s="1"/>
  <c r="AW100" i="3"/>
  <c r="AA101" i="4" s="1"/>
  <c r="AW6" i="3"/>
  <c r="AW20" i="3"/>
  <c r="AA47" i="4" s="1"/>
  <c r="AW48" i="3"/>
  <c r="AA69" i="4" s="1"/>
  <c r="AW56" i="3"/>
  <c r="AA72" i="4" s="1"/>
  <c r="AW91" i="3"/>
  <c r="AA95" i="4" s="1"/>
  <c r="AX5" i="3"/>
  <c r="AX107" i="3" s="1"/>
  <c r="AW19" i="3"/>
  <c r="AA46" i="4" s="1"/>
  <c r="AW37" i="3"/>
  <c r="AA58" i="4" s="1"/>
  <c r="AW41" i="3"/>
  <c r="AA62" i="4" s="1"/>
  <c r="AW88" i="3"/>
  <c r="AA92" i="4" s="1"/>
  <c r="AW101" i="3"/>
  <c r="Y116" i="4"/>
  <c r="AW4" i="3"/>
  <c r="AW27" i="3"/>
  <c r="AA48" i="4" s="1"/>
  <c r="AW70" i="3"/>
  <c r="AA77" i="4" s="1"/>
  <c r="AW8" i="3"/>
  <c r="AW28" i="3"/>
  <c r="AA49" i="4" s="1"/>
  <c r="AW73" i="3"/>
  <c r="AA80" i="4" s="1"/>
  <c r="AW34" i="3"/>
  <c r="AA55" i="4" s="1"/>
  <c r="AW80" i="3"/>
  <c r="AA87" i="4" s="1"/>
  <c r="AW44" i="3"/>
  <c r="AA65" i="4" s="1"/>
  <c r="AW61" i="3"/>
  <c r="AA74" i="4" s="1"/>
  <c r="AW87" i="3"/>
  <c r="AA91" i="4" s="1"/>
  <c r="AW13" i="3"/>
  <c r="AA43" i="4" s="1"/>
  <c r="AW33" i="3"/>
  <c r="AA54" i="4" s="1"/>
  <c r="AW60" i="3"/>
  <c r="AW94" i="3"/>
  <c r="AA98" i="4" s="1"/>
  <c r="AW12" i="3"/>
  <c r="AA42" i="4" s="1"/>
  <c r="AW76" i="3"/>
  <c r="AA83" i="4" s="1"/>
  <c r="AW90" i="3"/>
  <c r="AA94" i="4" s="1"/>
  <c r="AW38" i="3"/>
  <c r="AA59" i="4" s="1"/>
  <c r="AW18" i="3"/>
  <c r="AA45" i="4" s="1"/>
  <c r="AW49" i="3"/>
  <c r="AA70" i="4" s="1"/>
  <c r="AW79" i="3"/>
  <c r="AA86" i="4" s="1"/>
  <c r="AW93" i="3"/>
  <c r="AW17" i="3"/>
  <c r="AW45" i="3"/>
  <c r="AA66" i="4" s="1"/>
  <c r="AW74" i="3"/>
  <c r="AA81" i="4" s="1"/>
  <c r="AW92" i="3"/>
  <c r="AA96" i="4" s="1"/>
  <c r="AW78" i="3"/>
  <c r="AA85" i="4" s="1"/>
  <c r="AW98" i="3"/>
  <c r="AV58" i="3"/>
  <c r="AV111" i="3" a="1"/>
  <c r="AV111" i="3" s="1"/>
  <c r="Z28" i="4"/>
  <c r="AV106" i="3" a="1"/>
  <c r="AV106" i="3" s="1"/>
  <c r="Z117" i="4"/>
  <c r="Z36" i="4"/>
  <c r="Z33" i="4"/>
  <c r="AV15" i="3"/>
  <c r="AV110" i="3" a="1"/>
  <c r="AV110" i="3" s="1"/>
  <c r="AV108" i="3" a="1"/>
  <c r="AV108" i="3" s="1"/>
  <c r="Z13" i="4" a="1"/>
  <c r="Z13" i="4" s="1"/>
  <c r="Z15" i="4" a="1"/>
  <c r="Z15" i="4" s="1"/>
  <c r="AV114" i="3" a="1"/>
  <c r="AV114" i="3" s="1"/>
  <c r="AV10" i="3"/>
  <c r="Z21" i="4" a="1"/>
  <c r="Z21" i="4" s="1"/>
  <c r="Z20" i="4" a="1"/>
  <c r="Z20" i="4" s="1"/>
  <c r="Z38" i="4"/>
  <c r="Z17" i="4" a="1"/>
  <c r="Z17" i="4" s="1"/>
  <c r="Z18" i="4" a="1"/>
  <c r="Z18" i="4" s="1"/>
  <c r="AV109" i="3" a="1"/>
  <c r="AV109" i="3" s="1"/>
  <c r="AV25" i="3"/>
  <c r="Z34" i="4"/>
  <c r="Z19" i="4" a="1"/>
  <c r="Z19" i="4" s="1"/>
  <c r="AV84" i="3"/>
  <c r="AV71" i="3"/>
  <c r="AV116" i="3" s="1" a="1"/>
  <c r="AV116" i="3" s="1"/>
  <c r="Z37" i="4"/>
  <c r="AV53" i="3"/>
  <c r="Z22" i="4" a="1"/>
  <c r="Z22" i="4" s="1"/>
  <c r="Z110" i="4" s="1"/>
  <c r="AV113" i="3" a="1"/>
  <c r="AV113" i="3" s="1"/>
  <c r="Z71" i="4"/>
  <c r="Z119" i="4" s="1"/>
  <c r="Z35" i="4"/>
  <c r="Z25" i="4" a="1"/>
  <c r="Z25" i="4" s="1"/>
  <c r="Z111" i="4" s="1"/>
  <c r="Z31" i="4"/>
  <c r="AV96" i="3"/>
  <c r="Z30" i="4"/>
  <c r="Z120" i="4"/>
  <c r="Y114" i="4"/>
  <c r="AT51" i="3"/>
  <c r="AT65" i="3" s="1"/>
  <c r="AU68" i="3"/>
  <c r="Y122" i="4"/>
  <c r="AU22" i="3"/>
  <c r="AU51" i="3" s="1"/>
  <c r="AU65" i="3" s="1"/>
  <c r="Y113" i="4"/>
  <c r="Y118" i="4"/>
  <c r="AU116" i="3" a="1"/>
  <c r="AU116" i="3" s="1"/>
  <c r="AU115" i="3"/>
  <c r="AU112" i="3" a="1"/>
  <c r="AU112" i="3" s="1"/>
  <c r="Y109" i="4"/>
  <c r="Y78" i="4"/>
  <c r="Y124" i="4" s="1"/>
  <c r="Y112" i="4"/>
  <c r="AA102" i="4"/>
  <c r="AA60" i="4"/>
  <c r="X121" i="4"/>
  <c r="X112" i="4"/>
  <c r="AA93" i="4"/>
  <c r="AA36" i="4"/>
  <c r="Z118" i="4"/>
  <c r="Z122" i="4"/>
  <c r="Z116" i="4"/>
  <c r="Z123" i="4"/>
  <c r="Y115" i="4"/>
  <c r="AX73" i="3"/>
  <c r="AX70" i="3"/>
  <c r="AB77" i="4" s="1"/>
  <c r="AX81" i="3"/>
  <c r="AB88" i="4" s="1"/>
  <c r="AA8" i="3"/>
  <c r="AB5" i="3"/>
  <c r="AX13" i="3"/>
  <c r="AB43" i="4" s="1"/>
  <c r="AX4" i="3"/>
  <c r="AX6" i="3"/>
  <c r="AA6" i="4"/>
  <c r="AB5" i="4"/>
  <c r="AA3" i="4"/>
  <c r="AA8" i="4"/>
  <c r="G50" i="7" s="1"/>
  <c r="AA7" i="4"/>
  <c r="AA4" i="4"/>
  <c r="AA79" i="4" l="1"/>
  <c r="F66" i="7"/>
  <c r="G64" i="7"/>
  <c r="G61" i="7"/>
  <c r="Z107" i="4"/>
  <c r="F51" i="7"/>
  <c r="F65" i="7" s="1"/>
  <c r="Z108" i="4"/>
  <c r="F52" i="7"/>
  <c r="AX55" i="3"/>
  <c r="AX98" i="3"/>
  <c r="AX8" i="3"/>
  <c r="AX78" i="3"/>
  <c r="AB85" i="4" s="1"/>
  <c r="AX91" i="3"/>
  <c r="AB95" i="4" s="1"/>
  <c r="AX47" i="3"/>
  <c r="AB68" i="4" s="1"/>
  <c r="AX32" i="3"/>
  <c r="AB53" i="4" s="1"/>
  <c r="AX43" i="3"/>
  <c r="AB64" i="4" s="1"/>
  <c r="AX37" i="3"/>
  <c r="AB58" i="4" s="1"/>
  <c r="AX44" i="3"/>
  <c r="AB65" i="4" s="1"/>
  <c r="AX34" i="3"/>
  <c r="AB55" i="4" s="1"/>
  <c r="AX102" i="3"/>
  <c r="AB103" i="4" s="1"/>
  <c r="AX40" i="3"/>
  <c r="AB61" i="4" s="1"/>
  <c r="AX46" i="3"/>
  <c r="AB67" i="4" s="1"/>
  <c r="AX56" i="3"/>
  <c r="AB72" i="4" s="1"/>
  <c r="AA119" i="4"/>
  <c r="AA19" i="4" a="1"/>
  <c r="AA19" i="4" s="1"/>
  <c r="AA22" i="4" a="1"/>
  <c r="AA22" i="4" s="1"/>
  <c r="AA33" i="4"/>
  <c r="AA38" i="4"/>
  <c r="AY5" i="3"/>
  <c r="AY107" i="3" s="1"/>
  <c r="AX35" i="3"/>
  <c r="AB56" i="4" s="1"/>
  <c r="AX101" i="3"/>
  <c r="AB102" i="4" s="1"/>
  <c r="AX12" i="3"/>
  <c r="AX106" i="3" s="1" a="1"/>
  <c r="AX106" i="3" s="1"/>
  <c r="AX30" i="3"/>
  <c r="AB51" i="4" s="1"/>
  <c r="AX99" i="3"/>
  <c r="AB100" i="4" s="1"/>
  <c r="AX36" i="3"/>
  <c r="AB57" i="4" s="1"/>
  <c r="AX60" i="3"/>
  <c r="AX31" i="3"/>
  <c r="AB52" i="4" s="1"/>
  <c r="AX72" i="3"/>
  <c r="AB79" i="4" s="1"/>
  <c r="AX48" i="3"/>
  <c r="AB69" i="4" s="1"/>
  <c r="AX92" i="3"/>
  <c r="AB96" i="4" s="1"/>
  <c r="AX3" i="3"/>
  <c r="AX27" i="3"/>
  <c r="AX88" i="3"/>
  <c r="AB92" i="4" s="1"/>
  <c r="AX7" i="3"/>
  <c r="AX42" i="3"/>
  <c r="AB63" i="4" s="1"/>
  <c r="AX29" i="3"/>
  <c r="AB50" i="4" s="1"/>
  <c r="AX74" i="3"/>
  <c r="AB81" i="4" s="1"/>
  <c r="AX103" i="3"/>
  <c r="AB104" i="4" s="1"/>
  <c r="AX20" i="3"/>
  <c r="AB47" i="4" s="1"/>
  <c r="AX49" i="3"/>
  <c r="AB70" i="4" s="1"/>
  <c r="AX80" i="3"/>
  <c r="AB87" i="4" s="1"/>
  <c r="AX93" i="3"/>
  <c r="AB97" i="4" s="1"/>
  <c r="AX18" i="3"/>
  <c r="AB45" i="4" s="1"/>
  <c r="AX33" i="3"/>
  <c r="AB54" i="4" s="1"/>
  <c r="AX76" i="3"/>
  <c r="AB83" i="4" s="1"/>
  <c r="AX17" i="3"/>
  <c r="AB44" i="4" s="1"/>
  <c r="AX28" i="3"/>
  <c r="AX77" i="3"/>
  <c r="AB84" i="4" s="1"/>
  <c r="AX86" i="3"/>
  <c r="AX38" i="3"/>
  <c r="AB59" i="4" s="1"/>
  <c r="AX79" i="3"/>
  <c r="AB86" i="4" s="1"/>
  <c r="AX90" i="3"/>
  <c r="AB94" i="4" s="1"/>
  <c r="AX39" i="3"/>
  <c r="AB60" i="4" s="1"/>
  <c r="AX82" i="3"/>
  <c r="AB89" i="4" s="1"/>
  <c r="AX89" i="3"/>
  <c r="AB93" i="4" s="1"/>
  <c r="AX61" i="3"/>
  <c r="AB74" i="4" s="1"/>
  <c r="AX87" i="3"/>
  <c r="AB91" i="4" s="1"/>
  <c r="AX94" i="3"/>
  <c r="AB98" i="4" s="1"/>
  <c r="AX19" i="3"/>
  <c r="AB46" i="4" s="1"/>
  <c r="AX41" i="3"/>
  <c r="AB62" i="4" s="1"/>
  <c r="AX45" i="3"/>
  <c r="AB66" i="4" s="1"/>
  <c r="AX75" i="3"/>
  <c r="AB82" i="4" s="1"/>
  <c r="AX100" i="3"/>
  <c r="AB101" i="4" s="1"/>
  <c r="AW15" i="3"/>
  <c r="AW110" i="3" a="1"/>
  <c r="AW110" i="3" s="1"/>
  <c r="AW53" i="3"/>
  <c r="AW96" i="3"/>
  <c r="AA17" i="4" a="1"/>
  <c r="AA17" i="4" s="1"/>
  <c r="AW58" i="3"/>
  <c r="AA20" i="4" a="1"/>
  <c r="AA20" i="4" s="1"/>
  <c r="AA21" i="4" a="1"/>
  <c r="AA21" i="4" s="1"/>
  <c r="AA30" i="4"/>
  <c r="AA116" i="4"/>
  <c r="AW111" i="3" a="1"/>
  <c r="AW111" i="3" s="1"/>
  <c r="AA25" i="4" a="1"/>
  <c r="AA25" i="4" s="1"/>
  <c r="AA111" i="4" s="1"/>
  <c r="AA73" i="4"/>
  <c r="AA120" i="4" s="1"/>
  <c r="AV63" i="3"/>
  <c r="AW106" i="3" a="1"/>
  <c r="AW106" i="3" s="1"/>
  <c r="AW10" i="3"/>
  <c r="AA13" i="4" a="1"/>
  <c r="AA13" i="4" s="1"/>
  <c r="AW113" i="3" a="1"/>
  <c r="AW113" i="3" s="1"/>
  <c r="AW25" i="3"/>
  <c r="AA34" i="4"/>
  <c r="AA31" i="4"/>
  <c r="AA97" i="4"/>
  <c r="AW84" i="3"/>
  <c r="AW71" i="3"/>
  <c r="AW115" i="3" s="1"/>
  <c r="AA35" i="4"/>
  <c r="AA18" i="4" a="1"/>
  <c r="AA18" i="4" s="1"/>
  <c r="AA37" i="4"/>
  <c r="AA114" i="4" s="1"/>
  <c r="AA99" i="4"/>
  <c r="AA123" i="4" s="1"/>
  <c r="AW114" i="3" a="1"/>
  <c r="AW114" i="3" s="1"/>
  <c r="AA15" i="4" a="1"/>
  <c r="AA15" i="4" s="1"/>
  <c r="AW108" i="3" a="1"/>
  <c r="AW108" i="3" s="1"/>
  <c r="AA44" i="4"/>
  <c r="AA117" i="4" s="1"/>
  <c r="AW109" i="3" a="1"/>
  <c r="AW109" i="3" s="1"/>
  <c r="AV22" i="3"/>
  <c r="AV23" i="3" s="1"/>
  <c r="Z114" i="4"/>
  <c r="Z109" i="4"/>
  <c r="Z29" i="4"/>
  <c r="AV112" i="3" a="1"/>
  <c r="AV112" i="3" s="1"/>
  <c r="AV115" i="3"/>
  <c r="Z78" i="4"/>
  <c r="Z124" i="4" s="1"/>
  <c r="AV68" i="3"/>
  <c r="Z113" i="4"/>
  <c r="AU23" i="3"/>
  <c r="Y121" i="4"/>
  <c r="AB99" i="4"/>
  <c r="AB48" i="4"/>
  <c r="AB80" i="4"/>
  <c r="AA118" i="4"/>
  <c r="AA110" i="4"/>
  <c r="Y78" i="3"/>
  <c r="Y73" i="3"/>
  <c r="AY101" i="3"/>
  <c r="AY103" i="3"/>
  <c r="AC104" i="4" s="1"/>
  <c r="AY89" i="3"/>
  <c r="AY73" i="3"/>
  <c r="AY78" i="3"/>
  <c r="AC85" i="4" s="1"/>
  <c r="AY74" i="3"/>
  <c r="AC81" i="4" s="1"/>
  <c r="AY75" i="3"/>
  <c r="AC82" i="4" s="1"/>
  <c r="AY39" i="3"/>
  <c r="AY28" i="3"/>
  <c r="AY49" i="3"/>
  <c r="AC70" i="4" s="1"/>
  <c r="AY38" i="3"/>
  <c r="AC59" i="4" s="1"/>
  <c r="AY46" i="3"/>
  <c r="AC67" i="4" s="1"/>
  <c r="AY17" i="3"/>
  <c r="AY20" i="3"/>
  <c r="AC47" i="4" s="1"/>
  <c r="AY12" i="3"/>
  <c r="AB6" i="3"/>
  <c r="AB7" i="3"/>
  <c r="AC4" i="3"/>
  <c r="AB3" i="3"/>
  <c r="AC5" i="4"/>
  <c r="AB4" i="4"/>
  <c r="AB3" i="4"/>
  <c r="AB8" i="4"/>
  <c r="H50" i="7" s="1"/>
  <c r="AB7" i="4"/>
  <c r="AB6" i="4"/>
  <c r="AY8" i="3"/>
  <c r="AY7" i="3" l="1"/>
  <c r="AY41" i="3"/>
  <c r="AC62" i="4" s="1"/>
  <c r="AY29" i="3"/>
  <c r="AC50" i="4" s="1"/>
  <c r="AY88" i="3"/>
  <c r="AC92" i="4" s="1"/>
  <c r="AY6" i="3"/>
  <c r="AY31" i="3"/>
  <c r="AC52" i="4" s="1"/>
  <c r="AY56" i="3"/>
  <c r="AC72" i="4" s="1"/>
  <c r="AY90" i="3"/>
  <c r="AC94" i="4" s="1"/>
  <c r="Y91" i="3"/>
  <c r="AY30" i="3"/>
  <c r="AC51" i="4" s="1"/>
  <c r="AY79" i="3"/>
  <c r="AC86" i="4" s="1"/>
  <c r="AY93" i="3"/>
  <c r="AY33" i="3"/>
  <c r="AC54" i="4" s="1"/>
  <c r="AY82" i="3"/>
  <c r="AC89" i="4" s="1"/>
  <c r="AY86" i="3"/>
  <c r="AY37" i="3"/>
  <c r="AC58" i="4" s="1"/>
  <c r="AY60" i="3"/>
  <c r="AY92" i="3"/>
  <c r="AC96" i="4" s="1"/>
  <c r="AB17" i="4" a="1"/>
  <c r="AB17" i="4" s="1"/>
  <c r="Y103" i="3"/>
  <c r="AY43" i="3"/>
  <c r="AC64" i="4" s="1"/>
  <c r="AY35" i="3"/>
  <c r="AC56" i="4" s="1"/>
  <c r="AY70" i="3"/>
  <c r="AC77" i="4" s="1"/>
  <c r="AY100" i="3"/>
  <c r="AC101" i="4" s="1"/>
  <c r="AX110" i="3" a="1"/>
  <c r="AX110" i="3" s="1"/>
  <c r="AB22" i="4" a="1"/>
  <c r="AB22" i="4" s="1"/>
  <c r="AB110" i="4" s="1"/>
  <c r="AX53" i="3"/>
  <c r="AB71" i="4"/>
  <c r="AB119" i="4" s="1"/>
  <c r="AX10" i="3"/>
  <c r="AB42" i="4"/>
  <c r="AB116" i="4" s="1"/>
  <c r="AB13" i="4" a="1"/>
  <c r="AB13" i="4" s="1"/>
  <c r="H51" i="7" s="1"/>
  <c r="H65" i="7" s="1"/>
  <c r="AA107" i="4"/>
  <c r="G51" i="7"/>
  <c r="G65" i="7" s="1"/>
  <c r="AA108" i="4"/>
  <c r="G52" i="7"/>
  <c r="Z115" i="4"/>
  <c r="F62" i="7"/>
  <c r="G66" i="7"/>
  <c r="H64" i="7"/>
  <c r="H61" i="7"/>
  <c r="AX58" i="3"/>
  <c r="Y80" i="3"/>
  <c r="AW63" i="3"/>
  <c r="AB38" i="4"/>
  <c r="AB36" i="4"/>
  <c r="AX111" i="3" a="1"/>
  <c r="AX111" i="3" s="1"/>
  <c r="AY36" i="3"/>
  <c r="AC57" i="4" s="1"/>
  <c r="AY45" i="3"/>
  <c r="AC66" i="4" s="1"/>
  <c r="AY81" i="3"/>
  <c r="AC88" i="4" s="1"/>
  <c r="AY98" i="3"/>
  <c r="AC99" i="4" s="1"/>
  <c r="AA109" i="4"/>
  <c r="AY42" i="3"/>
  <c r="AC63" i="4" s="1"/>
  <c r="AY34" i="3"/>
  <c r="AC55" i="4" s="1"/>
  <c r="AY80" i="3"/>
  <c r="AC87" i="4" s="1"/>
  <c r="AY99" i="3"/>
  <c r="AC100" i="4" s="1"/>
  <c r="AY47" i="3"/>
  <c r="AC68" i="4" s="1"/>
  <c r="AY40" i="3"/>
  <c r="AC61" i="4" s="1"/>
  <c r="AY77" i="3"/>
  <c r="AC84" i="4" s="1"/>
  <c r="AY102" i="3"/>
  <c r="AC103" i="4" s="1"/>
  <c r="AY32" i="3"/>
  <c r="AC53" i="4" s="1"/>
  <c r="AY55" i="3"/>
  <c r="AY110" i="3" s="1" a="1"/>
  <c r="AY110" i="3" s="1"/>
  <c r="AZ5" i="3"/>
  <c r="AZ107" i="3" s="1"/>
  <c r="AY13" i="3"/>
  <c r="AC43" i="4" s="1"/>
  <c r="AY48" i="3"/>
  <c r="AC69" i="4" s="1"/>
  <c r="AY61" i="3"/>
  <c r="AC74" i="4" s="1"/>
  <c r="AY91" i="3"/>
  <c r="AC95" i="4" s="1"/>
  <c r="AB28" i="4"/>
  <c r="AY3" i="3"/>
  <c r="AY18" i="3"/>
  <c r="AC45" i="4" s="1"/>
  <c r="AY27" i="3"/>
  <c r="AC17" i="4" s="1" a="1"/>
  <c r="AC17" i="4" s="1"/>
  <c r="AY72" i="3"/>
  <c r="AC28" i="4" s="1"/>
  <c r="AY87" i="3"/>
  <c r="AC91" i="4" s="1"/>
  <c r="AY4" i="3"/>
  <c r="AY19" i="3"/>
  <c r="AC46" i="4" s="1"/>
  <c r="AY44" i="3"/>
  <c r="AC65" i="4" s="1"/>
  <c r="AY76" i="3"/>
  <c r="AC83" i="4" s="1"/>
  <c r="AY94" i="3"/>
  <c r="AC98" i="4" s="1"/>
  <c r="AW22" i="3"/>
  <c r="AW51" i="3" s="1"/>
  <c r="AB25" i="4" a="1"/>
  <c r="AB25" i="4" s="1"/>
  <c r="AB111" i="4" s="1"/>
  <c r="AB34" i="4"/>
  <c r="AX25" i="3"/>
  <c r="AB73" i="4"/>
  <c r="AB120" i="4" s="1"/>
  <c r="Y94" i="3"/>
  <c r="AB20" i="4" a="1"/>
  <c r="AB20" i="4" s="1"/>
  <c r="AX84" i="3"/>
  <c r="AB15" i="4" a="1"/>
  <c r="AB15" i="4" s="1"/>
  <c r="AX15" i="3"/>
  <c r="Y76" i="3"/>
  <c r="AX71" i="3"/>
  <c r="AX115" i="3" s="1"/>
  <c r="AB49" i="4"/>
  <c r="AB118" i="4" s="1"/>
  <c r="AB21" i="4" a="1"/>
  <c r="AB21" i="4" s="1"/>
  <c r="AX113" i="3" a="1"/>
  <c r="AX113" i="3" s="1"/>
  <c r="AB30" i="4"/>
  <c r="Y75" i="3"/>
  <c r="AB90" i="4"/>
  <c r="AB122" i="4" s="1"/>
  <c r="AB35" i="4"/>
  <c r="AB33" i="4"/>
  <c r="AX109" i="3" a="1"/>
  <c r="AX109" i="3" s="1"/>
  <c r="AX108" i="3" a="1"/>
  <c r="AX108" i="3" s="1"/>
  <c r="AB37" i="4"/>
  <c r="AB114" i="4" s="1"/>
  <c r="Y77" i="3"/>
  <c r="AB18" i="4" a="1"/>
  <c r="AB18" i="4" s="1"/>
  <c r="AB19" i="4" a="1"/>
  <c r="AB19" i="4" s="1"/>
  <c r="AX114" i="3" a="1"/>
  <c r="AX114" i="3" s="1"/>
  <c r="AB31" i="4"/>
  <c r="AX96" i="3"/>
  <c r="AA122" i="4"/>
  <c r="AW116" i="3" a="1"/>
  <c r="AW116" i="3" s="1"/>
  <c r="AA113" i="4"/>
  <c r="AW112" i="3" a="1"/>
  <c r="AW112" i="3" s="1"/>
  <c r="AA78" i="4"/>
  <c r="AA121" i="4" s="1"/>
  <c r="AW68" i="3"/>
  <c r="AA29" i="4"/>
  <c r="AV51" i="3"/>
  <c r="AV65" i="3" s="1"/>
  <c r="Z112" i="4"/>
  <c r="Z121" i="4"/>
  <c r="AC102" i="4"/>
  <c r="AC73" i="4"/>
  <c r="AC44" i="4"/>
  <c r="AC42" i="4"/>
  <c r="AC49" i="4"/>
  <c r="AC97" i="4"/>
  <c r="AC90" i="4"/>
  <c r="AC80" i="4"/>
  <c r="AC93" i="4"/>
  <c r="AC36" i="4"/>
  <c r="AC60" i="4"/>
  <c r="AB123" i="4"/>
  <c r="AB117" i="4"/>
  <c r="AY58" i="3"/>
  <c r="AB8" i="3"/>
  <c r="AC5" i="3"/>
  <c r="AC7" i="4"/>
  <c r="AC6" i="4"/>
  <c r="AC4" i="4"/>
  <c r="AC3" i="4"/>
  <c r="AC8" i="4"/>
  <c r="I50" i="7" s="1"/>
  <c r="AD5" i="4"/>
  <c r="AZ4" i="3" l="1"/>
  <c r="AZ93" i="3"/>
  <c r="AZ77" i="3"/>
  <c r="AC20" i="4" a="1"/>
  <c r="AC20" i="4" s="1"/>
  <c r="AZ82" i="3"/>
  <c r="AD89" i="4" s="1"/>
  <c r="AZ20" i="3"/>
  <c r="AD47" i="4" s="1"/>
  <c r="AB107" i="4"/>
  <c r="AZ44" i="3"/>
  <c r="AD65" i="4" s="1"/>
  <c r="AC48" i="4"/>
  <c r="AX22" i="3"/>
  <c r="AX51" i="3" s="1"/>
  <c r="AY53" i="3"/>
  <c r="AZ89" i="3"/>
  <c r="AZ17" i="3"/>
  <c r="AZ41" i="3"/>
  <c r="AD62" i="4" s="1"/>
  <c r="AZ91" i="3"/>
  <c r="AD95" i="4" s="1"/>
  <c r="AZ33" i="3"/>
  <c r="AD54" i="4" s="1"/>
  <c r="AC33" i="4"/>
  <c r="AZ45" i="3"/>
  <c r="AD66" i="4" s="1"/>
  <c r="AX63" i="3"/>
  <c r="AY10" i="3"/>
  <c r="AY106" i="3" a="1"/>
  <c r="AY106" i="3" s="1"/>
  <c r="AC13" i="4" a="1"/>
  <c r="AC13" i="4" s="1"/>
  <c r="I51" i="7" s="1"/>
  <c r="I65" i="7" s="1"/>
  <c r="AW65" i="3"/>
  <c r="AC38" i="4"/>
  <c r="H66" i="7"/>
  <c r="AB113" i="4"/>
  <c r="AA115" i="4"/>
  <c r="G62" i="7"/>
  <c r="I64" i="7"/>
  <c r="I61" i="7"/>
  <c r="AB108" i="4"/>
  <c r="H52" i="7"/>
  <c r="AY114" i="3" a="1"/>
  <c r="AY114" i="3" s="1"/>
  <c r="AC25" i="4" a="1"/>
  <c r="AC25" i="4" s="1"/>
  <c r="AC111" i="4" s="1"/>
  <c r="AY84" i="3"/>
  <c r="AC21" i="4" a="1"/>
  <c r="AC21" i="4" s="1"/>
  <c r="AY71" i="3"/>
  <c r="AY112" i="3" s="1" a="1"/>
  <c r="AY112" i="3" s="1"/>
  <c r="AC34" i="4"/>
  <c r="AC37" i="4"/>
  <c r="AY96" i="3"/>
  <c r="AY15" i="3"/>
  <c r="AC19" i="4" a="1"/>
  <c r="AC19" i="4" s="1"/>
  <c r="AC79" i="4"/>
  <c r="AY108" i="3" a="1"/>
  <c r="AY108" i="3" s="1"/>
  <c r="AC15" i="4" a="1"/>
  <c r="AC15" i="4" s="1"/>
  <c r="AC120" i="4"/>
  <c r="AZ42" i="3"/>
  <c r="AD63" i="4" s="1"/>
  <c r="BA5" i="3"/>
  <c r="BA107" i="3" s="1"/>
  <c r="AZ40" i="3"/>
  <c r="AD61" i="4" s="1"/>
  <c r="AZ100" i="3"/>
  <c r="AD101" i="4" s="1"/>
  <c r="AZ12" i="3"/>
  <c r="AD42" i="4" s="1"/>
  <c r="AZ47" i="3"/>
  <c r="AD68" i="4" s="1"/>
  <c r="AZ81" i="3"/>
  <c r="AD88" i="4" s="1"/>
  <c r="AZ99" i="3"/>
  <c r="AD100" i="4" s="1"/>
  <c r="AC31" i="4"/>
  <c r="AC35" i="4"/>
  <c r="AC22" i="4" a="1"/>
  <c r="AC22" i="4" s="1"/>
  <c r="AC110" i="4" s="1"/>
  <c r="AZ8" i="3"/>
  <c r="AZ36" i="3"/>
  <c r="AD57" i="4" s="1"/>
  <c r="AZ75" i="3"/>
  <c r="AD82" i="4" s="1"/>
  <c r="AZ88" i="3"/>
  <c r="AD92" i="4" s="1"/>
  <c r="AZ6" i="3"/>
  <c r="AZ29" i="3"/>
  <c r="AD50" i="4" s="1"/>
  <c r="AZ74" i="3"/>
  <c r="AD81" i="4" s="1"/>
  <c r="AY113" i="3" a="1"/>
  <c r="AY113" i="3" s="1"/>
  <c r="AZ31" i="3"/>
  <c r="AD52" i="4" s="1"/>
  <c r="AZ78" i="3"/>
  <c r="AD85" i="4" s="1"/>
  <c r="AZ13" i="3"/>
  <c r="AD43" i="4" s="1"/>
  <c r="AZ32" i="3"/>
  <c r="AD53" i="4" s="1"/>
  <c r="AY25" i="3"/>
  <c r="AZ70" i="3"/>
  <c r="AD77" i="4" s="1"/>
  <c r="AZ103" i="3"/>
  <c r="AD104" i="4" s="1"/>
  <c r="AC71" i="4"/>
  <c r="AC119" i="4" s="1"/>
  <c r="AZ43" i="3"/>
  <c r="AD64" i="4" s="1"/>
  <c r="AZ55" i="3"/>
  <c r="AD71" i="4" s="1"/>
  <c r="AZ73" i="3"/>
  <c r="AD80" i="4" s="1"/>
  <c r="AZ102" i="3"/>
  <c r="AD103" i="4" s="1"/>
  <c r="AC18" i="4" a="1"/>
  <c r="AC18" i="4" s="1"/>
  <c r="AZ37" i="3"/>
  <c r="AD58" i="4" s="1"/>
  <c r="AZ56" i="3"/>
  <c r="AD72" i="4" s="1"/>
  <c r="AZ101" i="3"/>
  <c r="AZ34" i="3"/>
  <c r="AD55" i="4" s="1"/>
  <c r="AZ18" i="3"/>
  <c r="AD45" i="4" s="1"/>
  <c r="AZ48" i="3"/>
  <c r="AD69" i="4" s="1"/>
  <c r="AZ60" i="3"/>
  <c r="AD73" i="4" s="1"/>
  <c r="AZ98" i="3"/>
  <c r="AD99" i="4" s="1"/>
  <c r="AZ19" i="3"/>
  <c r="AD46" i="4" s="1"/>
  <c r="AZ27" i="3"/>
  <c r="AZ61" i="3"/>
  <c r="AD74" i="4" s="1"/>
  <c r="AZ86" i="3"/>
  <c r="AD90" i="4" s="1"/>
  <c r="AY109" i="3" a="1"/>
  <c r="AY109" i="3" s="1"/>
  <c r="AZ38" i="3"/>
  <c r="AD59" i="4" s="1"/>
  <c r="AZ80" i="3"/>
  <c r="AD87" i="4" s="1"/>
  <c r="AZ87" i="3"/>
  <c r="AD91" i="4" s="1"/>
  <c r="AZ30" i="3"/>
  <c r="AD51" i="4" s="1"/>
  <c r="AZ49" i="3"/>
  <c r="AD70" i="4" s="1"/>
  <c r="AZ72" i="3"/>
  <c r="AD28" i="4" s="1"/>
  <c r="AZ94" i="3"/>
  <c r="AD98" i="4" s="1"/>
  <c r="AZ3" i="3"/>
  <c r="AZ46" i="3"/>
  <c r="AD67" i="4" s="1"/>
  <c r="AZ28" i="3"/>
  <c r="AD49" i="4" s="1"/>
  <c r="AZ76" i="3"/>
  <c r="AD83" i="4" s="1"/>
  <c r="AZ92" i="3"/>
  <c r="AD96" i="4" s="1"/>
  <c r="AW23" i="3"/>
  <c r="AC30" i="4"/>
  <c r="AZ7" i="3"/>
  <c r="AZ35" i="3"/>
  <c r="AD56" i="4" s="1"/>
  <c r="AZ39" i="3"/>
  <c r="AD60" i="4" s="1"/>
  <c r="AZ79" i="3"/>
  <c r="AD86" i="4" s="1"/>
  <c r="AZ90" i="3"/>
  <c r="AD94" i="4" s="1"/>
  <c r="AY111" i="3" a="1"/>
  <c r="AY111" i="3" s="1"/>
  <c r="AX68" i="3"/>
  <c r="AB78" i="4"/>
  <c r="AB124" i="4" s="1"/>
  <c r="AB29" i="4"/>
  <c r="AX116" i="3" a="1"/>
  <c r="AX116" i="3" s="1"/>
  <c r="AX112" i="3" a="1"/>
  <c r="AX112" i="3" s="1"/>
  <c r="AB109" i="4"/>
  <c r="AA112" i="4"/>
  <c r="AA124" i="4"/>
  <c r="AD48" i="4"/>
  <c r="AY68" i="3"/>
  <c r="AC29" i="4"/>
  <c r="I62" i="7" s="1"/>
  <c r="AC78" i="4"/>
  <c r="AD44" i="4"/>
  <c r="AD84" i="4"/>
  <c r="AD93" i="4"/>
  <c r="AD36" i="4"/>
  <c r="AD97" i="4"/>
  <c r="AC117" i="4"/>
  <c r="AX23" i="3"/>
  <c r="AC118" i="4"/>
  <c r="AY63" i="3"/>
  <c r="AC107" i="4"/>
  <c r="AC116" i="4"/>
  <c r="AC123" i="4"/>
  <c r="AY115" i="3"/>
  <c r="AC113" i="4"/>
  <c r="AC122" i="4"/>
  <c r="AY116" i="3" a="1"/>
  <c r="AY116" i="3" s="1"/>
  <c r="BA94" i="3"/>
  <c r="AE98" i="4" s="1"/>
  <c r="BA87" i="3"/>
  <c r="BA80" i="3"/>
  <c r="AE87" i="4" s="1"/>
  <c r="BA77" i="3"/>
  <c r="BA61" i="3"/>
  <c r="AE74" i="4" s="1"/>
  <c r="BA48" i="3"/>
  <c r="AE69" i="4" s="1"/>
  <c r="BA37" i="3"/>
  <c r="AE58" i="4" s="1"/>
  <c r="BA32" i="3"/>
  <c r="AE53" i="4" s="1"/>
  <c r="BA13" i="3"/>
  <c r="AE43" i="4" s="1"/>
  <c r="AC7" i="3"/>
  <c r="AD4" i="3"/>
  <c r="AC3" i="3"/>
  <c r="AC6" i="3"/>
  <c r="AD7" i="4"/>
  <c r="AD6" i="4"/>
  <c r="AE5" i="4"/>
  <c r="AD4" i="4"/>
  <c r="AD3" i="4"/>
  <c r="AD8" i="4"/>
  <c r="J50" i="7" s="1"/>
  <c r="BA3" i="3"/>
  <c r="BA6" i="3"/>
  <c r="BA4" i="3"/>
  <c r="BA20" i="3" l="1"/>
  <c r="AE47" i="4" s="1"/>
  <c r="BA86" i="3"/>
  <c r="BA47" i="3"/>
  <c r="AE68" i="4" s="1"/>
  <c r="BA89" i="3"/>
  <c r="BA18" i="3"/>
  <c r="AE45" i="4" s="1"/>
  <c r="BA27" i="3"/>
  <c r="AE48" i="4" s="1"/>
  <c r="BA88" i="3"/>
  <c r="AE92" i="4" s="1"/>
  <c r="BA19" i="3"/>
  <c r="AE46" i="4" s="1"/>
  <c r="BA60" i="3"/>
  <c r="AE73" i="4" s="1"/>
  <c r="AE120" i="4" s="1"/>
  <c r="BA91" i="3"/>
  <c r="AE95" i="4" s="1"/>
  <c r="BA43" i="3"/>
  <c r="AE64" i="4" s="1"/>
  <c r="BA72" i="3"/>
  <c r="Z72" i="3" s="1"/>
  <c r="AY22" i="3"/>
  <c r="AY23" i="3" s="1"/>
  <c r="AC114" i="4"/>
  <c r="AX65" i="3"/>
  <c r="AD37" i="4"/>
  <c r="AD33" i="4"/>
  <c r="AZ53" i="3"/>
  <c r="I66" i="7"/>
  <c r="AZ111" i="3" a="1"/>
  <c r="AZ111" i="3" s="1"/>
  <c r="J64" i="7"/>
  <c r="J61" i="7"/>
  <c r="AC109" i="4"/>
  <c r="AC108" i="4"/>
  <c r="I52" i="7"/>
  <c r="AB115" i="4"/>
  <c r="H62" i="7"/>
  <c r="AD120" i="4"/>
  <c r="AD25" i="4" a="1"/>
  <c r="AD25" i="4" s="1"/>
  <c r="AD111" i="4" s="1"/>
  <c r="AZ58" i="3"/>
  <c r="AD79" i="4"/>
  <c r="AD31" i="4"/>
  <c r="AD117" i="4"/>
  <c r="AZ108" i="3" a="1"/>
  <c r="AZ108" i="3" s="1"/>
  <c r="AB121" i="4"/>
  <c r="AD15" i="4" a="1"/>
  <c r="AD15" i="4" s="1"/>
  <c r="AD17" i="4" a="1"/>
  <c r="AD17" i="4" s="1"/>
  <c r="AZ15" i="3"/>
  <c r="BA38" i="3"/>
  <c r="AE59" i="4" s="1"/>
  <c r="BA92" i="3"/>
  <c r="AE96" i="4" s="1"/>
  <c r="BA40" i="3"/>
  <c r="AE61" i="4" s="1"/>
  <c r="BA49" i="3"/>
  <c r="AE70" i="4" s="1"/>
  <c r="AD13" i="4" a="1"/>
  <c r="AD13" i="4" s="1"/>
  <c r="BA41" i="3"/>
  <c r="AE62" i="4" s="1"/>
  <c r="BA8" i="3"/>
  <c r="BA42" i="3"/>
  <c r="AE63" i="4" s="1"/>
  <c r="BA7" i="3"/>
  <c r="BA12" i="3"/>
  <c r="AE42" i="4" s="1"/>
  <c r="BA31" i="3"/>
  <c r="AE52" i="4" s="1"/>
  <c r="BA56" i="3"/>
  <c r="AE72" i="4" s="1"/>
  <c r="BA102" i="3"/>
  <c r="AE103" i="4" s="1"/>
  <c r="AB112" i="4"/>
  <c r="AZ96" i="3"/>
  <c r="AD38" i="4"/>
  <c r="BA44" i="3"/>
  <c r="AE65" i="4" s="1"/>
  <c r="BA90" i="3"/>
  <c r="AE94" i="4" s="1"/>
  <c r="AD102" i="4"/>
  <c r="AD123" i="4" s="1"/>
  <c r="BA29" i="3"/>
  <c r="AE50" i="4" s="1"/>
  <c r="BA33" i="3"/>
  <c r="AE54" i="4" s="1"/>
  <c r="BA79" i="3"/>
  <c r="AE86" i="4" s="1"/>
  <c r="BA93" i="3"/>
  <c r="AE35" i="4" s="1"/>
  <c r="AD22" i="4" a="1"/>
  <c r="AD22" i="4" s="1"/>
  <c r="AD110" i="4" s="1"/>
  <c r="AD119" i="4"/>
  <c r="BA73" i="3"/>
  <c r="AE80" i="4" s="1"/>
  <c r="BA30" i="3"/>
  <c r="AE51" i="4" s="1"/>
  <c r="BA28" i="3"/>
  <c r="AE49" i="4" s="1"/>
  <c r="BA75" i="3"/>
  <c r="AE82" i="4" s="1"/>
  <c r="BA101" i="3"/>
  <c r="AE102" i="4" s="1"/>
  <c r="BA46" i="3"/>
  <c r="AE67" i="4" s="1"/>
  <c r="BA39" i="3"/>
  <c r="AE60" i="4" s="1"/>
  <c r="BA74" i="3"/>
  <c r="AE81" i="4" s="1"/>
  <c r="BA98" i="3"/>
  <c r="AE99" i="4" s="1"/>
  <c r="AD35" i="4"/>
  <c r="AZ84" i="3"/>
  <c r="BA35" i="3"/>
  <c r="AZ110" i="3" a="1"/>
  <c r="AZ110" i="3" s="1"/>
  <c r="BA78" i="3"/>
  <c r="AE85" i="4" s="1"/>
  <c r="BB5" i="3"/>
  <c r="BB107" i="3" s="1"/>
  <c r="BA36" i="3"/>
  <c r="AE57" i="4" s="1"/>
  <c r="BA34" i="3"/>
  <c r="AE55" i="4" s="1"/>
  <c r="BA81" i="3"/>
  <c r="AE88" i="4" s="1"/>
  <c r="BA103" i="3"/>
  <c r="AE104" i="4" s="1"/>
  <c r="AD21" i="4" a="1"/>
  <c r="AD21" i="4" s="1"/>
  <c r="BA17" i="3"/>
  <c r="BA76" i="3"/>
  <c r="AE83" i="4" s="1"/>
  <c r="AZ10" i="3"/>
  <c r="AZ22" i="3" s="1"/>
  <c r="BA82" i="3"/>
  <c r="AE89" i="4" s="1"/>
  <c r="BA45" i="3"/>
  <c r="AE66" i="4" s="1"/>
  <c r="BA99" i="3"/>
  <c r="AE100" i="4" s="1"/>
  <c r="AZ106" i="3" a="1"/>
  <c r="AZ106" i="3" s="1"/>
  <c r="BA55" i="3"/>
  <c r="AE71" i="4" s="1"/>
  <c r="BA70" i="3"/>
  <c r="AE77" i="4" s="1"/>
  <c r="BA100" i="3"/>
  <c r="AE101" i="4" s="1"/>
  <c r="AD19" i="4" a="1"/>
  <c r="AD19" i="4" s="1"/>
  <c r="AD30" i="4"/>
  <c r="AD34" i="4"/>
  <c r="AZ109" i="3" a="1"/>
  <c r="AZ109" i="3" s="1"/>
  <c r="AZ113" i="3" a="1"/>
  <c r="AZ113" i="3" s="1"/>
  <c r="AD18" i="4" a="1"/>
  <c r="AD18" i="4" s="1"/>
  <c r="AZ114" i="3" a="1"/>
  <c r="AZ114" i="3" s="1"/>
  <c r="AD20" i="4" a="1"/>
  <c r="AD20" i="4" s="1"/>
  <c r="AZ71" i="3"/>
  <c r="AD78" i="4" s="1"/>
  <c r="AZ25" i="3"/>
  <c r="AY51" i="3"/>
  <c r="AY65" i="3" s="1"/>
  <c r="AE91" i="4"/>
  <c r="AE79" i="4"/>
  <c r="AE90" i="4"/>
  <c r="AE84" i="4"/>
  <c r="AE25" i="4" a="1"/>
  <c r="AE25" i="4" s="1"/>
  <c r="AE93" i="4"/>
  <c r="AE36" i="4"/>
  <c r="AD118" i="4"/>
  <c r="AC112" i="4"/>
  <c r="AD116" i="4"/>
  <c r="AD122" i="4"/>
  <c r="AC115" i="4"/>
  <c r="BA111" i="3" a="1"/>
  <c r="BA111" i="3" s="1"/>
  <c r="AC124" i="4"/>
  <c r="AC121" i="4"/>
  <c r="Z87" i="3"/>
  <c r="BA58" i="3"/>
  <c r="AD5" i="3"/>
  <c r="AC8" i="3"/>
  <c r="AE6" i="4"/>
  <c r="AF5" i="4"/>
  <c r="AE4" i="4"/>
  <c r="AE8" i="4"/>
  <c r="K50" i="7" s="1"/>
  <c r="AE7" i="4"/>
  <c r="AE3" i="4"/>
  <c r="AE15" i="4" l="1" a="1"/>
  <c r="AE15" i="4" s="1"/>
  <c r="K52" i="7" s="1"/>
  <c r="AE33" i="4"/>
  <c r="AE28" i="4"/>
  <c r="BB20" i="3"/>
  <c r="AF47" i="4" s="1"/>
  <c r="AZ63" i="3"/>
  <c r="BB86" i="3"/>
  <c r="BB3" i="3"/>
  <c r="BB55" i="3"/>
  <c r="AF71" i="4" s="1"/>
  <c r="AE97" i="4"/>
  <c r="AE122" i="4" s="1"/>
  <c r="BB77" i="3"/>
  <c r="BB7" i="3"/>
  <c r="AD114" i="4"/>
  <c r="BB92" i="3"/>
  <c r="AF96" i="4" s="1"/>
  <c r="BB37" i="3"/>
  <c r="AF58" i="4" s="1"/>
  <c r="BB31" i="3"/>
  <c r="AF52" i="4" s="1"/>
  <c r="AZ112" i="3" a="1"/>
  <c r="AZ112" i="3" s="1"/>
  <c r="BB27" i="3"/>
  <c r="AF48" i="4" s="1"/>
  <c r="AZ116" i="3" a="1"/>
  <c r="AZ116" i="3" s="1"/>
  <c r="AE34" i="4"/>
  <c r="AE113" i="4" s="1"/>
  <c r="AZ68" i="3"/>
  <c r="AZ115" i="3"/>
  <c r="BB6" i="3"/>
  <c r="BA106" i="3" a="1"/>
  <c r="BA106" i="3" s="1"/>
  <c r="AE38" i="4"/>
  <c r="BA108" i="3" a="1"/>
  <c r="BA108" i="3" s="1"/>
  <c r="BA15" i="3"/>
  <c r="AD108" i="4"/>
  <c r="J52" i="7"/>
  <c r="AE20" i="4" a="1"/>
  <c r="AE20" i="4" s="1"/>
  <c r="AD107" i="4"/>
  <c r="J51" i="7"/>
  <c r="J65" i="7" s="1"/>
  <c r="K64" i="7"/>
  <c r="K61" i="7"/>
  <c r="J66" i="7"/>
  <c r="AE37" i="4"/>
  <c r="AZ51" i="3"/>
  <c r="AE21" i="4" a="1"/>
  <c r="AE21" i="4" s="1"/>
  <c r="Z99" i="3"/>
  <c r="Z79" i="3"/>
  <c r="AD113" i="4"/>
  <c r="BA113" i="3" a="1"/>
  <c r="BA113" i="3" s="1"/>
  <c r="AE56" i="4"/>
  <c r="AE118" i="4" s="1"/>
  <c r="AD109" i="4"/>
  <c r="BA84" i="3"/>
  <c r="AE44" i="4"/>
  <c r="AE117" i="4" s="1"/>
  <c r="BC5" i="3"/>
  <c r="BC107" i="3" s="1"/>
  <c r="BB17" i="3"/>
  <c r="BB48" i="3"/>
  <c r="AF69" i="4" s="1"/>
  <c r="BB80" i="3"/>
  <c r="AF87" i="4" s="1"/>
  <c r="BB94" i="3"/>
  <c r="AF98" i="4" s="1"/>
  <c r="BB34" i="3"/>
  <c r="AF55" i="4" s="1"/>
  <c r="BB44" i="3"/>
  <c r="AF65" i="4" s="1"/>
  <c r="BB70" i="3"/>
  <c r="AF77" i="4" s="1"/>
  <c r="BB93" i="3"/>
  <c r="BB33" i="3"/>
  <c r="AF54" i="4" s="1"/>
  <c r="BB101" i="3"/>
  <c r="AF102" i="4" s="1"/>
  <c r="BB76" i="3"/>
  <c r="AF83" i="4" s="1"/>
  <c r="BB35" i="3"/>
  <c r="AF56" i="4" s="1"/>
  <c r="BB79" i="3"/>
  <c r="AF86" i="4" s="1"/>
  <c r="BB72" i="3"/>
  <c r="AF79" i="4" s="1"/>
  <c r="BB90" i="3"/>
  <c r="AF94" i="4" s="1"/>
  <c r="BB40" i="3"/>
  <c r="AF61" i="4" s="1"/>
  <c r="BB38" i="3"/>
  <c r="AF59" i="4" s="1"/>
  <c r="BB49" i="3"/>
  <c r="AF70" i="4" s="1"/>
  <c r="BB30" i="3"/>
  <c r="AF51" i="4" s="1"/>
  <c r="BB28" i="3"/>
  <c r="BB82" i="3"/>
  <c r="AF89" i="4" s="1"/>
  <c r="BB99" i="3"/>
  <c r="AF100" i="4" s="1"/>
  <c r="BB46" i="3"/>
  <c r="AF67" i="4" s="1"/>
  <c r="BB39" i="3"/>
  <c r="AF60" i="4" s="1"/>
  <c r="BB75" i="3"/>
  <c r="AF82" i="4" s="1"/>
  <c r="BB100" i="3"/>
  <c r="AF101" i="4" s="1"/>
  <c r="AE19" i="4" a="1"/>
  <c r="AE19" i="4" s="1"/>
  <c r="BB12" i="3"/>
  <c r="AF42" i="4" s="1"/>
  <c r="BB41" i="3"/>
  <c r="AF62" i="4" s="1"/>
  <c r="BB45" i="3"/>
  <c r="AF66" i="4" s="1"/>
  <c r="BB74" i="3"/>
  <c r="AF81" i="4" s="1"/>
  <c r="BB103" i="3"/>
  <c r="AF104" i="4" s="1"/>
  <c r="BB29" i="3"/>
  <c r="AF50" i="4" s="1"/>
  <c r="BB73" i="3"/>
  <c r="AF80" i="4" s="1"/>
  <c r="BB89" i="3"/>
  <c r="AF36" i="4" s="1"/>
  <c r="BB13" i="3"/>
  <c r="AF43" i="4" s="1"/>
  <c r="BB36" i="3"/>
  <c r="AF57" i="4" s="1"/>
  <c r="BB78" i="3"/>
  <c r="AF85" i="4" s="1"/>
  <c r="BB98" i="3"/>
  <c r="AF99" i="4" s="1"/>
  <c r="BB42" i="3"/>
  <c r="AF63" i="4" s="1"/>
  <c r="BB56" i="3"/>
  <c r="AF72" i="4" s="1"/>
  <c r="BB81" i="3"/>
  <c r="AF88" i="4" s="1"/>
  <c r="BB102" i="3"/>
  <c r="AF103" i="4" s="1"/>
  <c r="BB47" i="3"/>
  <c r="AF68" i="4" s="1"/>
  <c r="BB60" i="3"/>
  <c r="AF73" i="4" s="1"/>
  <c r="BB88" i="3"/>
  <c r="AF92" i="4" s="1"/>
  <c r="BB4" i="3"/>
  <c r="BB18" i="3"/>
  <c r="AF45" i="4" s="1"/>
  <c r="BB32" i="3"/>
  <c r="AF53" i="4" s="1"/>
  <c r="BB61" i="3"/>
  <c r="AF74" i="4" s="1"/>
  <c r="BB91" i="3"/>
  <c r="AF95" i="4" s="1"/>
  <c r="BB8" i="3"/>
  <c r="BB19" i="3"/>
  <c r="AF46" i="4" s="1"/>
  <c r="BB43" i="3"/>
  <c r="AF64" i="4" s="1"/>
  <c r="BB87" i="3"/>
  <c r="AF91" i="4" s="1"/>
  <c r="BA25" i="3"/>
  <c r="BA96" i="3"/>
  <c r="AE18" i="4" a="1"/>
  <c r="AE18" i="4" s="1"/>
  <c r="AE22" i="4" a="1"/>
  <c r="AE22" i="4" s="1"/>
  <c r="AE110" i="4" s="1"/>
  <c r="AE30" i="4"/>
  <c r="BA10" i="3"/>
  <c r="BA22" i="3" s="1"/>
  <c r="BA23" i="3" s="1"/>
  <c r="AE119" i="4"/>
  <c r="AE13" i="4" a="1"/>
  <c r="AE13" i="4" s="1"/>
  <c r="AE17" i="4" a="1"/>
  <c r="AE17" i="4" s="1"/>
  <c r="BA114" i="3" a="1"/>
  <c r="BA114" i="3" s="1"/>
  <c r="BA110" i="3" a="1"/>
  <c r="BA110" i="3" s="1"/>
  <c r="BA71" i="3"/>
  <c r="BA116" i="3" s="1" a="1"/>
  <c r="BA116" i="3" s="1"/>
  <c r="BA109" i="3" a="1"/>
  <c r="BA109" i="3" s="1"/>
  <c r="AE31" i="4"/>
  <c r="BA53" i="3"/>
  <c r="BA63" i="3" s="1"/>
  <c r="AD29" i="4"/>
  <c r="AD115" i="4" s="1"/>
  <c r="AF44" i="4"/>
  <c r="AF97" i="4"/>
  <c r="AF13" i="4" a="1"/>
  <c r="AF13" i="4" s="1"/>
  <c r="AF90" i="4"/>
  <c r="AF84" i="4"/>
  <c r="AE116" i="4"/>
  <c r="AE108" i="4"/>
  <c r="AE111" i="4"/>
  <c r="AE123" i="4"/>
  <c r="AD124" i="4"/>
  <c r="AD121" i="4"/>
  <c r="BC103" i="3"/>
  <c r="AG104" i="4" s="1"/>
  <c r="BC99" i="3"/>
  <c r="AG100" i="4" s="1"/>
  <c r="BC101" i="3"/>
  <c r="BC93" i="3"/>
  <c r="BC90" i="3"/>
  <c r="AG94" i="4" s="1"/>
  <c r="BC94" i="3"/>
  <c r="AG98" i="4" s="1"/>
  <c r="BC89" i="3"/>
  <c r="BC86" i="3"/>
  <c r="BC92" i="3"/>
  <c r="AG96" i="4" s="1"/>
  <c r="BC81" i="3"/>
  <c r="AG88" i="4" s="1"/>
  <c r="BC78" i="3"/>
  <c r="AG85" i="4" s="1"/>
  <c r="BC74" i="3"/>
  <c r="AG81" i="4" s="1"/>
  <c r="BC79" i="3"/>
  <c r="AG86" i="4" s="1"/>
  <c r="BC76" i="3"/>
  <c r="AG83" i="4" s="1"/>
  <c r="BC72" i="3"/>
  <c r="BC80" i="3"/>
  <c r="AG87" i="4" s="1"/>
  <c r="BC77" i="3"/>
  <c r="BC55" i="3"/>
  <c r="BC56" i="3"/>
  <c r="AG72" i="4" s="1"/>
  <c r="BC28" i="3"/>
  <c r="BC49" i="3"/>
  <c r="AG70" i="4" s="1"/>
  <c r="BC38" i="3"/>
  <c r="AG59" i="4" s="1"/>
  <c r="BC48" i="3"/>
  <c r="AG69" i="4" s="1"/>
  <c r="BC37" i="3"/>
  <c r="AG58" i="4" s="1"/>
  <c r="BC43" i="3"/>
  <c r="AG64" i="4" s="1"/>
  <c r="BC32" i="3"/>
  <c r="AG53" i="4" s="1"/>
  <c r="BC47" i="3"/>
  <c r="AG68" i="4" s="1"/>
  <c r="BC41" i="3"/>
  <c r="AG62" i="4" s="1"/>
  <c r="BC46" i="3"/>
  <c r="AG67" i="4" s="1"/>
  <c r="BC30" i="3"/>
  <c r="AG51" i="4" s="1"/>
  <c r="BC35" i="3"/>
  <c r="BC40" i="3"/>
  <c r="AG61" i="4" s="1"/>
  <c r="BC39" i="3"/>
  <c r="AZ23" i="3"/>
  <c r="BC17" i="3"/>
  <c r="BC20" i="3"/>
  <c r="AG47" i="4" s="1"/>
  <c r="BC19" i="3"/>
  <c r="AG46" i="4" s="1"/>
  <c r="AE4" i="3"/>
  <c r="AD3" i="3"/>
  <c r="AD6" i="3"/>
  <c r="AD7" i="3"/>
  <c r="BC7" i="3"/>
  <c r="BD5" i="3"/>
  <c r="BC4" i="3"/>
  <c r="AF8" i="4"/>
  <c r="L50" i="7" s="1"/>
  <c r="AF7" i="4"/>
  <c r="AF6" i="4"/>
  <c r="AG5" i="4"/>
  <c r="AF4" i="4"/>
  <c r="AF3" i="4"/>
  <c r="AZ65" i="3" l="1"/>
  <c r="AE114" i="4"/>
  <c r="AF28" i="4"/>
  <c r="AF21" i="4" a="1"/>
  <c r="AF21" i="4" s="1"/>
  <c r="BB110" i="3" a="1"/>
  <c r="BB110" i="3" s="1"/>
  <c r="BC12" i="3"/>
  <c r="BC27" i="3"/>
  <c r="BC60" i="3"/>
  <c r="AG73" i="4" s="1"/>
  <c r="BC88" i="3"/>
  <c r="AG92" i="4" s="1"/>
  <c r="BC100" i="3"/>
  <c r="AG101" i="4" s="1"/>
  <c r="BC6" i="3"/>
  <c r="BC45" i="3"/>
  <c r="AG66" i="4" s="1"/>
  <c r="BC82" i="3"/>
  <c r="AG89" i="4" s="1"/>
  <c r="BC3" i="3"/>
  <c r="BC13" i="3"/>
  <c r="AG43" i="4" s="1"/>
  <c r="BC34" i="3"/>
  <c r="AG55" i="4" s="1"/>
  <c r="BC42" i="3"/>
  <c r="AG63" i="4" s="1"/>
  <c r="BC44" i="3"/>
  <c r="AG65" i="4" s="1"/>
  <c r="BC61" i="3"/>
  <c r="AG74" i="4" s="1"/>
  <c r="BC75" i="3"/>
  <c r="AG82" i="4" s="1"/>
  <c r="BC91" i="3"/>
  <c r="AG95" i="4" s="1"/>
  <c r="BC98" i="3"/>
  <c r="BC36" i="3"/>
  <c r="AG57" i="4" s="1"/>
  <c r="BC8" i="3"/>
  <c r="BC18" i="3"/>
  <c r="AG45" i="4" s="1"/>
  <c r="BC29" i="3"/>
  <c r="AG50" i="4" s="1"/>
  <c r="BC31" i="3"/>
  <c r="AG52" i="4" s="1"/>
  <c r="BC33" i="3"/>
  <c r="AG54" i="4" s="1"/>
  <c r="BC73" i="3"/>
  <c r="AG80" i="4" s="1"/>
  <c r="BC70" i="3"/>
  <c r="AG77" i="4" s="1"/>
  <c r="BC87" i="3"/>
  <c r="AG91" i="4" s="1"/>
  <c r="BC102" i="3"/>
  <c r="AG103" i="4" s="1"/>
  <c r="AF22" i="4" a="1"/>
  <c r="AF22" i="4" s="1"/>
  <c r="AF110" i="4" s="1"/>
  <c r="AF119" i="4"/>
  <c r="BB53" i="3"/>
  <c r="AF107" i="4"/>
  <c r="L51" i="7"/>
  <c r="L65" i="7" s="1"/>
  <c r="L64" i="7"/>
  <c r="L61" i="7"/>
  <c r="K66" i="7"/>
  <c r="BB111" i="3" a="1"/>
  <c r="BB111" i="3" s="1"/>
  <c r="AD112" i="4"/>
  <c r="J62" i="7"/>
  <c r="AE107" i="4"/>
  <c r="K51" i="7"/>
  <c r="K65" i="7" s="1"/>
  <c r="AF116" i="4"/>
  <c r="AF18" i="4" a="1"/>
  <c r="AF18" i="4" s="1"/>
  <c r="AF38" i="4"/>
  <c r="BB58" i="3"/>
  <c r="AE109" i="4"/>
  <c r="BB109" i="3" a="1"/>
  <c r="BB109" i="3" s="1"/>
  <c r="AF49" i="4"/>
  <c r="AF118" i="4" s="1"/>
  <c r="AF37" i="4"/>
  <c r="AF93" i="4"/>
  <c r="AF31" i="4"/>
  <c r="AF35" i="4"/>
  <c r="AF20" i="4" a="1"/>
  <c r="AF20" i="4" s="1"/>
  <c r="AF120" i="4"/>
  <c r="BB114" i="3" a="1"/>
  <c r="BB114" i="3" s="1"/>
  <c r="BB106" i="3" a="1"/>
  <c r="BB106" i="3" s="1"/>
  <c r="AF33" i="4"/>
  <c r="BB10" i="3"/>
  <c r="AF117" i="4"/>
  <c r="BB108" i="3" a="1"/>
  <c r="BB108" i="3" s="1"/>
  <c r="BB96" i="3"/>
  <c r="AF25" i="4" a="1"/>
  <c r="AF25" i="4" s="1"/>
  <c r="AF111" i="4" s="1"/>
  <c r="AF17" i="4" a="1"/>
  <c r="AF17" i="4" s="1"/>
  <c r="BB15" i="3"/>
  <c r="AF19" i="4" a="1"/>
  <c r="AF19" i="4" s="1"/>
  <c r="BB25" i="3"/>
  <c r="BB71" i="3"/>
  <c r="BB115" i="3" s="1"/>
  <c r="AF15" i="4" a="1"/>
  <c r="AF15" i="4" s="1"/>
  <c r="BB84" i="3"/>
  <c r="BB113" i="3" a="1"/>
  <c r="BB113" i="3" s="1"/>
  <c r="AF34" i="4"/>
  <c r="AF30" i="4"/>
  <c r="BA112" i="3" a="1"/>
  <c r="BA112" i="3" s="1"/>
  <c r="AE78" i="4"/>
  <c r="AE121" i="4" s="1"/>
  <c r="BA115" i="3"/>
  <c r="AE29" i="4"/>
  <c r="BA68" i="3"/>
  <c r="AG97" i="4"/>
  <c r="AG35" i="4"/>
  <c r="AG102" i="4"/>
  <c r="AG42" i="4"/>
  <c r="AG56" i="4"/>
  <c r="AG99" i="4"/>
  <c r="AG60" i="4"/>
  <c r="AG49" i="4"/>
  <c r="AG71" i="4"/>
  <c r="AG119" i="4" s="1"/>
  <c r="AG22" i="4" a="1"/>
  <c r="AG22" i="4" s="1"/>
  <c r="AG90" i="4"/>
  <c r="AG79" i="4"/>
  <c r="AG28" i="4"/>
  <c r="AG48" i="4"/>
  <c r="AG44" i="4"/>
  <c r="AG84" i="4"/>
  <c r="AG93" i="4"/>
  <c r="AG36" i="4"/>
  <c r="BD107" i="3"/>
  <c r="BE5" i="3"/>
  <c r="AF123" i="4"/>
  <c r="BA51" i="3"/>
  <c r="BA65" i="3" s="1"/>
  <c r="AF122" i="4"/>
  <c r="BC110" i="3" a="1"/>
  <c r="BC110" i="3" s="1"/>
  <c r="BD103" i="3"/>
  <c r="AH104" i="4" s="1"/>
  <c r="BD99" i="3"/>
  <c r="AH100" i="4" s="1"/>
  <c r="BD101" i="3"/>
  <c r="BD102" i="3"/>
  <c r="AH103" i="4" s="1"/>
  <c r="BD98" i="3"/>
  <c r="BD100" i="3"/>
  <c r="BC53" i="3"/>
  <c r="BD90" i="3"/>
  <c r="BD94" i="3"/>
  <c r="AH98" i="4" s="1"/>
  <c r="BD87" i="3"/>
  <c r="BD91" i="3"/>
  <c r="BD88" i="3"/>
  <c r="BD92" i="3"/>
  <c r="AH96" i="4" s="1"/>
  <c r="BD89" i="3"/>
  <c r="BE89" i="3" s="1"/>
  <c r="BD86" i="3"/>
  <c r="BD93" i="3"/>
  <c r="BD75" i="3"/>
  <c r="AH82" i="4" s="1"/>
  <c r="BD81" i="3"/>
  <c r="BD82" i="3"/>
  <c r="AH89" i="4" s="1"/>
  <c r="BD79" i="3"/>
  <c r="AH86" i="4" s="1"/>
  <c r="BD76" i="3"/>
  <c r="AH83" i="4" s="1"/>
  <c r="BD72" i="3"/>
  <c r="BE72" i="3" s="1"/>
  <c r="BD80" i="3"/>
  <c r="BD77" i="3"/>
  <c r="BD73" i="3"/>
  <c r="BD74" i="3"/>
  <c r="AH81" i="4" s="1"/>
  <c r="BD70" i="3"/>
  <c r="AH77" i="4" s="1"/>
  <c r="BD78" i="3"/>
  <c r="BD61" i="3"/>
  <c r="AH74" i="4" s="1"/>
  <c r="BD60" i="3"/>
  <c r="BD56" i="3"/>
  <c r="AH72" i="4" s="1"/>
  <c r="BD55" i="3"/>
  <c r="BD49" i="3"/>
  <c r="AH70" i="4" s="1"/>
  <c r="BD38" i="3"/>
  <c r="AH59" i="4" s="1"/>
  <c r="BD33" i="3"/>
  <c r="AH54" i="4" s="1"/>
  <c r="BD44" i="3"/>
  <c r="AH65" i="4" s="1"/>
  <c r="BD27" i="3"/>
  <c r="BD48" i="3"/>
  <c r="AH69" i="4" s="1"/>
  <c r="BD37" i="3"/>
  <c r="AH58" i="4" s="1"/>
  <c r="BD43" i="3"/>
  <c r="AH64" i="4" s="1"/>
  <c r="BD32" i="3"/>
  <c r="AH53" i="4" s="1"/>
  <c r="BD47" i="3"/>
  <c r="AH68" i="4" s="1"/>
  <c r="BD31" i="3"/>
  <c r="AH52" i="4" s="1"/>
  <c r="BD42" i="3"/>
  <c r="AH63" i="4" s="1"/>
  <c r="BD36" i="3"/>
  <c r="AH57" i="4" s="1"/>
  <c r="BD41" i="3"/>
  <c r="AH62" i="4" s="1"/>
  <c r="BD46" i="3"/>
  <c r="AH67" i="4" s="1"/>
  <c r="BD30" i="3"/>
  <c r="AH51" i="4" s="1"/>
  <c r="BD28" i="3"/>
  <c r="BD35" i="3"/>
  <c r="BD40" i="3"/>
  <c r="AH61" i="4" s="1"/>
  <c r="BD29" i="3"/>
  <c r="AH50" i="4" s="1"/>
  <c r="BD34" i="3"/>
  <c r="AH55" i="4" s="1"/>
  <c r="BD45" i="3"/>
  <c r="BD39" i="3"/>
  <c r="BD17" i="3"/>
  <c r="BD20" i="3"/>
  <c r="AH47" i="4" s="1"/>
  <c r="BD19" i="3"/>
  <c r="AH46" i="4" s="1"/>
  <c r="BD18" i="3"/>
  <c r="AH45" i="4" s="1"/>
  <c r="AE5" i="3"/>
  <c r="BD13" i="3"/>
  <c r="AH43" i="4" s="1"/>
  <c r="BD12" i="3"/>
  <c r="AD8" i="3"/>
  <c r="AG3" i="4"/>
  <c r="AG8" i="4"/>
  <c r="M50" i="7" s="1"/>
  <c r="AG7" i="4"/>
  <c r="AH5" i="4"/>
  <c r="AG4" i="4"/>
  <c r="AG6" i="4"/>
  <c r="BD6" i="3"/>
  <c r="BD3" i="3"/>
  <c r="BD8" i="3"/>
  <c r="BD4" i="3"/>
  <c r="BD7" i="3"/>
  <c r="L66" i="7" l="1"/>
  <c r="BC106" i="3" a="1"/>
  <c r="BC106" i="3" s="1"/>
  <c r="BC10" i="3"/>
  <c r="AG20" i="4" a="1"/>
  <c r="AG20" i="4" s="1"/>
  <c r="AG13" i="4" a="1"/>
  <c r="AG13" i="4" s="1"/>
  <c r="M51" i="7" s="1"/>
  <c r="M65" i="7" s="1"/>
  <c r="AF114" i="4"/>
  <c r="BB63" i="3"/>
  <c r="AG120" i="4"/>
  <c r="AG15" i="4" a="1"/>
  <c r="AG15" i="4" s="1"/>
  <c r="M52" i="7" s="1"/>
  <c r="BC15" i="3"/>
  <c r="AG34" i="4"/>
  <c r="BC108" i="3" a="1"/>
  <c r="BC108" i="3" s="1"/>
  <c r="AG19" i="4" a="1"/>
  <c r="AG19" i="4" s="1"/>
  <c r="BC111" i="3" a="1"/>
  <c r="BC111" i="3" s="1"/>
  <c r="BC58" i="3"/>
  <c r="BC63" i="3" s="1"/>
  <c r="BC71" i="3"/>
  <c r="AG29" i="4" s="1"/>
  <c r="M62" i="7" s="1"/>
  <c r="BC114" i="3" a="1"/>
  <c r="BC114" i="3" s="1"/>
  <c r="AG25" i="4" a="1"/>
  <c r="AG25" i="4" s="1"/>
  <c r="AG38" i="4"/>
  <c r="AG18" i="4" a="1"/>
  <c r="AG18" i="4" s="1"/>
  <c r="AG21" i="4" a="1"/>
  <c r="AG21" i="4" s="1"/>
  <c r="AG30" i="4"/>
  <c r="BB112" i="3" a="1"/>
  <c r="BB112" i="3" s="1"/>
  <c r="BC113" i="3" a="1"/>
  <c r="BC113" i="3" s="1"/>
  <c r="AG31" i="4"/>
  <c r="AG37" i="4"/>
  <c r="BC25" i="3"/>
  <c r="BC96" i="3"/>
  <c r="AG17" i="4" a="1"/>
  <c r="AG17" i="4" s="1"/>
  <c r="BC109" i="3" a="1"/>
  <c r="BC109" i="3" s="1"/>
  <c r="BC84" i="3"/>
  <c r="AG33" i="4"/>
  <c r="AG113" i="4" s="1"/>
  <c r="AF109" i="4"/>
  <c r="AE112" i="4"/>
  <c r="K62" i="7"/>
  <c r="AF108" i="4"/>
  <c r="L52" i="7"/>
  <c r="M64" i="7"/>
  <c r="M61" i="7"/>
  <c r="BB22" i="3"/>
  <c r="BB51" i="3" s="1"/>
  <c r="AF113" i="4"/>
  <c r="BB68" i="3"/>
  <c r="BB116" i="3" a="1"/>
  <c r="BB116" i="3" s="1"/>
  <c r="AF78" i="4"/>
  <c r="AF124" i="4" s="1"/>
  <c r="AE124" i="4"/>
  <c r="AF29" i="4"/>
  <c r="L62" i="7" s="1"/>
  <c r="AE115" i="4"/>
  <c r="AH101" i="4"/>
  <c r="BE100" i="3"/>
  <c r="AI101" i="4" s="1"/>
  <c r="AG111" i="4"/>
  <c r="AH87" i="4"/>
  <c r="AV83" i="3"/>
  <c r="AG107" i="4"/>
  <c r="BE98" i="3"/>
  <c r="AH99" i="4"/>
  <c r="AH37" i="4"/>
  <c r="BE93" i="3"/>
  <c r="AH97" i="4"/>
  <c r="AH35" i="4"/>
  <c r="K7" i="7" s="1"/>
  <c r="BE86" i="3"/>
  <c r="AH90" i="4"/>
  <c r="AH33" i="4"/>
  <c r="AH102" i="4"/>
  <c r="AH38" i="4"/>
  <c r="BE91" i="3"/>
  <c r="AI95" i="4" s="1"/>
  <c r="AH95" i="4"/>
  <c r="BE87" i="3"/>
  <c r="AH91" i="4"/>
  <c r="AH34" i="4"/>
  <c r="BE81" i="3"/>
  <c r="AI88" i="4" s="1"/>
  <c r="AH88" i="4"/>
  <c r="BE55" i="3"/>
  <c r="AH71" i="4"/>
  <c r="AH119" i="4" s="1"/>
  <c r="AH22" i="4" a="1"/>
  <c r="AH22" i="4" s="1"/>
  <c r="BE78" i="3"/>
  <c r="AI85" i="4" s="1"/>
  <c r="AH85" i="4"/>
  <c r="AH60" i="4"/>
  <c r="AH19" i="4" a="1"/>
  <c r="AH19" i="4" s="1"/>
  <c r="BE73" i="3"/>
  <c r="AH80" i="4"/>
  <c r="AH30" i="4"/>
  <c r="AH93" i="4"/>
  <c r="AH36" i="4"/>
  <c r="BE17" i="3"/>
  <c r="AH44" i="4"/>
  <c r="AH15" i="4" a="1"/>
  <c r="AH15" i="4" s="1"/>
  <c r="BE77" i="3"/>
  <c r="AH84" i="4"/>
  <c r="AH31" i="4"/>
  <c r="BE90" i="3"/>
  <c r="AI94" i="4" s="1"/>
  <c r="AH94" i="4"/>
  <c r="BE60" i="3"/>
  <c r="AH73" i="4"/>
  <c r="AH120" i="4" s="1"/>
  <c r="AH25" i="4" a="1"/>
  <c r="AH25" i="4" s="1"/>
  <c r="K11" i="7" s="1"/>
  <c r="AH48" i="4"/>
  <c r="AH17" i="4" a="1"/>
  <c r="AH17" i="4" s="1"/>
  <c r="BE88" i="3"/>
  <c r="AI92" i="4" s="1"/>
  <c r="AH92" i="4"/>
  <c r="AH79" i="4"/>
  <c r="AH28" i="4"/>
  <c r="I7" i="7" s="1"/>
  <c r="AH66" i="4"/>
  <c r="AH21" i="4" a="1"/>
  <c r="AH21" i="4" s="1"/>
  <c r="AH56" i="4"/>
  <c r="AH20" i="4" a="1"/>
  <c r="AH20" i="4" s="1"/>
  <c r="BE12" i="3"/>
  <c r="AH42" i="4"/>
  <c r="AH13" i="4" a="1"/>
  <c r="AH13" i="4" s="1"/>
  <c r="AH49" i="4"/>
  <c r="AH18" i="4" a="1"/>
  <c r="AH18" i="4" s="1"/>
  <c r="BE7" i="3"/>
  <c r="BE8" i="3"/>
  <c r="BE6" i="3"/>
  <c r="BE3" i="3"/>
  <c r="BE4" i="3"/>
  <c r="BE82" i="3"/>
  <c r="AI89" i="4" s="1"/>
  <c r="BE101" i="3"/>
  <c r="BE99" i="3"/>
  <c r="AI100" i="4" s="1"/>
  <c r="BE92" i="3"/>
  <c r="AI96" i="4" s="1"/>
  <c r="BE103" i="3"/>
  <c r="AI104" i="4" s="1"/>
  <c r="BE76" i="3"/>
  <c r="AI83" i="4" s="1"/>
  <c r="BE75" i="3"/>
  <c r="AI82" i="4" s="1"/>
  <c r="BE74" i="3"/>
  <c r="AI81" i="4" s="1"/>
  <c r="BE94" i="3"/>
  <c r="AI98" i="4" s="1"/>
  <c r="BE80" i="3"/>
  <c r="AI87" i="4" s="1"/>
  <c r="BE79" i="3"/>
  <c r="AI86" i="4" s="1"/>
  <c r="BE29" i="3"/>
  <c r="AI50" i="4" s="1"/>
  <c r="AG118" i="4"/>
  <c r="BE44" i="3"/>
  <c r="AI65" i="4" s="1"/>
  <c r="AG117" i="4"/>
  <c r="BE30" i="3"/>
  <c r="AI51" i="4" s="1"/>
  <c r="BE31" i="3"/>
  <c r="AI52" i="4" s="1"/>
  <c r="BE41" i="3"/>
  <c r="AI62" i="4" s="1"/>
  <c r="BE38" i="3"/>
  <c r="AI59" i="4" s="1"/>
  <c r="BE36" i="3"/>
  <c r="AI57" i="4" s="1"/>
  <c r="BE56" i="3"/>
  <c r="AI72" i="4" s="1"/>
  <c r="BE19" i="3"/>
  <c r="AI46" i="4" s="1"/>
  <c r="BE20" i="3"/>
  <c r="AI47" i="4" s="1"/>
  <c r="BE42" i="3"/>
  <c r="AI63" i="4" s="1"/>
  <c r="BE43" i="3"/>
  <c r="AI64" i="4" s="1"/>
  <c r="BE46" i="3"/>
  <c r="AI67" i="4" s="1"/>
  <c r="BE39" i="3"/>
  <c r="BE47" i="3"/>
  <c r="AI68" i="4" s="1"/>
  <c r="BE61" i="3"/>
  <c r="BE49" i="3"/>
  <c r="AI70" i="4" s="1"/>
  <c r="BE34" i="3"/>
  <c r="AI55" i="4" s="1"/>
  <c r="BE27" i="3"/>
  <c r="BE18" i="3"/>
  <c r="BE48" i="3"/>
  <c r="AI69" i="4" s="1"/>
  <c r="BE32" i="3"/>
  <c r="AI53" i="4" s="1"/>
  <c r="BE40" i="3"/>
  <c r="AI61" i="4" s="1"/>
  <c r="BE35" i="3"/>
  <c r="BE33" i="3"/>
  <c r="AI54" i="4" s="1"/>
  <c r="BE37" i="3"/>
  <c r="AI58" i="4" s="1"/>
  <c r="BE13" i="3"/>
  <c r="BE28" i="3"/>
  <c r="BE45" i="3"/>
  <c r="AG108" i="4"/>
  <c r="AG116" i="4"/>
  <c r="AG110" i="4"/>
  <c r="BC112" i="3" a="1"/>
  <c r="BC112" i="3" s="1"/>
  <c r="AG123" i="4"/>
  <c r="AG122" i="4"/>
  <c r="BD106" i="3" a="1"/>
  <c r="BD106" i="3" s="1"/>
  <c r="AA78" i="3"/>
  <c r="AA93" i="3"/>
  <c r="AA102" i="3"/>
  <c r="AA73" i="3"/>
  <c r="AA88" i="3"/>
  <c r="AA91" i="3"/>
  <c r="AA90" i="3"/>
  <c r="BD110" i="3" a="1"/>
  <c r="BD110" i="3" s="1"/>
  <c r="BD111" i="3" a="1"/>
  <c r="BD111" i="3" s="1"/>
  <c r="AA81" i="3"/>
  <c r="BD58" i="3"/>
  <c r="BD114" i="3" a="1"/>
  <c r="BD114" i="3" s="1"/>
  <c r="BC22" i="3"/>
  <c r="BC51" i="3" s="1"/>
  <c r="BD71" i="3"/>
  <c r="BD53" i="3"/>
  <c r="BD96" i="3"/>
  <c r="BD84" i="3"/>
  <c r="BD113" i="3" a="1"/>
  <c r="BD113" i="3" s="1"/>
  <c r="BD25" i="3"/>
  <c r="BD109" i="3" a="1"/>
  <c r="BD109" i="3" s="1"/>
  <c r="BD15" i="3"/>
  <c r="BD108" i="3" a="1"/>
  <c r="BD108" i="3" s="1"/>
  <c r="AE3" i="3"/>
  <c r="AE6" i="3"/>
  <c r="AF4" i="3"/>
  <c r="AE7" i="3"/>
  <c r="BD10" i="3"/>
  <c r="AH3" i="4"/>
  <c r="AH7" i="4"/>
  <c r="AH6" i="4"/>
  <c r="AI5" i="4"/>
  <c r="AH4" i="4"/>
  <c r="AH8" i="4"/>
  <c r="BF5" i="3"/>
  <c r="BB65" i="3" l="1"/>
  <c r="AG114" i="4"/>
  <c r="BC68" i="3"/>
  <c r="BC116" i="3" a="1"/>
  <c r="BC116" i="3" s="1"/>
  <c r="BC115" i="3"/>
  <c r="AG78" i="4"/>
  <c r="M66" i="7"/>
  <c r="BB23" i="3"/>
  <c r="AG109" i="4"/>
  <c r="AF112" i="4"/>
  <c r="AF121" i="4"/>
  <c r="AF115" i="4"/>
  <c r="N51" i="7"/>
  <c r="N65" i="7" s="1"/>
  <c r="C11" i="7"/>
  <c r="C58" i="7"/>
  <c r="H11" i="7"/>
  <c r="D11" i="7"/>
  <c r="N66" i="7"/>
  <c r="C55" i="7"/>
  <c r="F11" i="7"/>
  <c r="C59" i="7"/>
  <c r="J11" i="7"/>
  <c r="M11" i="7"/>
  <c r="N52" i="7"/>
  <c r="C57" i="7"/>
  <c r="E11" i="7"/>
  <c r="M12" i="7"/>
  <c r="K12" i="7"/>
  <c r="F12" i="7"/>
  <c r="O4" i="7"/>
  <c r="J12" i="7"/>
  <c r="E12" i="7"/>
  <c r="I12" i="7"/>
  <c r="D12" i="7"/>
  <c r="H12" i="7"/>
  <c r="C12" i="7"/>
  <c r="N50" i="7"/>
  <c r="N12" i="7"/>
  <c r="I11" i="7"/>
  <c r="C56" i="7"/>
  <c r="BE111" i="3" a="1"/>
  <c r="BE111" i="3" s="1"/>
  <c r="BE113" i="3" a="1"/>
  <c r="BE113" i="3" s="1"/>
  <c r="BE106" i="3" a="1"/>
  <c r="BE106" i="3" s="1"/>
  <c r="BE108" i="3" a="1"/>
  <c r="BE108" i="3" s="1"/>
  <c r="BE109" i="3" a="1"/>
  <c r="BE109" i="3" s="1"/>
  <c r="BE110" i="3" a="1"/>
  <c r="BE110" i="3" s="1"/>
  <c r="AH116" i="4"/>
  <c r="AH107" i="4"/>
  <c r="BE53" i="3"/>
  <c r="AI48" i="4"/>
  <c r="AI17" i="4" a="1"/>
  <c r="AI17" i="4" s="1"/>
  <c r="AI80" i="4"/>
  <c r="AI30" i="4"/>
  <c r="AI102" i="4"/>
  <c r="BE58" i="3"/>
  <c r="AI74" i="4"/>
  <c r="AI73" i="4"/>
  <c r="AI25" i="4" a="1"/>
  <c r="AI25" i="4" s="1"/>
  <c r="AI66" i="4"/>
  <c r="AI21" i="4" a="1"/>
  <c r="AI21" i="4" s="1"/>
  <c r="AI60" i="4"/>
  <c r="AI19" i="4" a="1"/>
  <c r="AI19" i="4" s="1"/>
  <c r="AI42" i="4"/>
  <c r="AI13" i="4" a="1"/>
  <c r="AI13" i="4" s="1"/>
  <c r="AI90" i="4"/>
  <c r="AI33" i="4"/>
  <c r="BE15" i="3"/>
  <c r="AI45" i="4"/>
  <c r="AI71" i="4"/>
  <c r="AI119" i="4" s="1"/>
  <c r="AI22" i="4" a="1"/>
  <c r="AI22" i="4" s="1"/>
  <c r="AI110" i="4" s="1"/>
  <c r="AI49" i="4"/>
  <c r="AI18" i="4" a="1"/>
  <c r="AI18" i="4" s="1"/>
  <c r="BE10" i="3"/>
  <c r="AI43" i="4"/>
  <c r="AI84" i="4"/>
  <c r="AI31" i="4"/>
  <c r="BD115" i="3"/>
  <c r="AH29" i="4"/>
  <c r="AH78" i="4"/>
  <c r="AI97" i="4"/>
  <c r="AI35" i="4"/>
  <c r="AI56" i="4"/>
  <c r="AI20" i="4" a="1"/>
  <c r="AI20" i="4" s="1"/>
  <c r="AI93" i="4"/>
  <c r="AI36" i="4"/>
  <c r="AI44" i="4"/>
  <c r="AI15" i="4" a="1"/>
  <c r="AI15" i="4" s="1"/>
  <c r="AI79" i="4"/>
  <c r="AI28" i="4"/>
  <c r="AI91" i="4"/>
  <c r="AI34" i="4"/>
  <c r="AI99" i="4"/>
  <c r="AI37" i="4"/>
  <c r="BD63" i="3"/>
  <c r="BE84" i="3"/>
  <c r="AH114" i="4"/>
  <c r="AH117" i="4"/>
  <c r="BE25" i="3"/>
  <c r="AH109" i="4"/>
  <c r="AH118" i="4"/>
  <c r="BC23" i="3"/>
  <c r="AH110" i="4"/>
  <c r="AH111" i="4"/>
  <c r="BD112" i="3" a="1"/>
  <c r="BD112" i="3" s="1"/>
  <c r="AH108" i="4"/>
  <c r="AG112" i="4"/>
  <c r="AH122" i="4"/>
  <c r="AH113" i="4"/>
  <c r="AH123" i="4"/>
  <c r="BC65" i="3"/>
  <c r="BF44" i="3"/>
  <c r="AJ65" i="4" s="1"/>
  <c r="BF82" i="3"/>
  <c r="AJ89" i="4" s="1"/>
  <c r="W101" i="3"/>
  <c r="BF99" i="3"/>
  <c r="AJ100" i="4" s="1"/>
  <c r="BF90" i="3"/>
  <c r="AJ94" i="4" s="1"/>
  <c r="BF93" i="3"/>
  <c r="BG93" i="3" s="1"/>
  <c r="BF103" i="3"/>
  <c r="AJ104" i="4" s="1"/>
  <c r="BF13" i="3"/>
  <c r="AJ43" i="4" s="1"/>
  <c r="BF89" i="3"/>
  <c r="BF92" i="3"/>
  <c r="AJ96" i="4" s="1"/>
  <c r="Y70" i="3"/>
  <c r="BF42" i="3"/>
  <c r="AJ63" i="4" s="1"/>
  <c r="BF74" i="3"/>
  <c r="AJ81" i="4" s="1"/>
  <c r="BF81" i="3"/>
  <c r="AJ88" i="4" s="1"/>
  <c r="BF91" i="3"/>
  <c r="AJ95" i="4" s="1"/>
  <c r="BD116" i="3" a="1"/>
  <c r="BD116" i="3" s="1"/>
  <c r="AG124" i="4"/>
  <c r="AG121" i="4"/>
  <c r="BF77" i="3"/>
  <c r="BF87" i="3"/>
  <c r="AG115" i="4"/>
  <c r="BF94" i="3"/>
  <c r="AJ98" i="4" s="1"/>
  <c r="BF43" i="3"/>
  <c r="AJ64" i="4" s="1"/>
  <c r="AE8" i="3"/>
  <c r="BF60" i="3"/>
  <c r="BF76" i="3"/>
  <c r="AJ83" i="4" s="1"/>
  <c r="BD68" i="3"/>
  <c r="BF61" i="3"/>
  <c r="AJ74" i="4" s="1"/>
  <c r="BF79" i="3"/>
  <c r="AJ86" i="4" s="1"/>
  <c r="BF80" i="3"/>
  <c r="AJ87" i="4" s="1"/>
  <c r="BF75" i="3"/>
  <c r="AJ82" i="4" s="1"/>
  <c r="BF100" i="3"/>
  <c r="AJ101" i="4" s="1"/>
  <c r="BF98" i="3"/>
  <c r="V103" i="3"/>
  <c r="X103" i="3"/>
  <c r="BF86" i="3"/>
  <c r="X89" i="3"/>
  <c r="Y89" i="3"/>
  <c r="BF88" i="3"/>
  <c r="AJ92" i="4" s="1"/>
  <c r="X87" i="3"/>
  <c r="Y87" i="3"/>
  <c r="V94" i="3"/>
  <c r="V84" i="3" s="1"/>
  <c r="X94" i="3"/>
  <c r="BF78" i="3"/>
  <c r="AJ85" i="4" s="1"/>
  <c r="BF73" i="3"/>
  <c r="BF72" i="3"/>
  <c r="X82" i="3"/>
  <c r="Y82" i="3"/>
  <c r="BF55" i="3"/>
  <c r="BF56" i="3"/>
  <c r="AJ72" i="4" s="1"/>
  <c r="BF46" i="3"/>
  <c r="AJ67" i="4" s="1"/>
  <c r="BF28" i="3"/>
  <c r="BF45" i="3"/>
  <c r="BF29" i="3"/>
  <c r="AJ50" i="4" s="1"/>
  <c r="BF38" i="3"/>
  <c r="AJ59" i="4" s="1"/>
  <c r="BF35" i="3"/>
  <c r="BF49" i="3"/>
  <c r="AJ70" i="4" s="1"/>
  <c r="BF31" i="3"/>
  <c r="AJ52" i="4" s="1"/>
  <c r="BF27" i="3"/>
  <c r="BF34" i="3"/>
  <c r="AJ55" i="4" s="1"/>
  <c r="BF39" i="3"/>
  <c r="BF41" i="3"/>
  <c r="AJ62" i="4" s="1"/>
  <c r="BF33" i="3"/>
  <c r="AJ54" i="4" s="1"/>
  <c r="BF37" i="3"/>
  <c r="AJ58" i="4" s="1"/>
  <c r="BF36" i="3"/>
  <c r="AJ57" i="4" s="1"/>
  <c r="BF40" i="3"/>
  <c r="AJ61" i="4" s="1"/>
  <c r="BF32" i="3"/>
  <c r="AJ53" i="4" s="1"/>
  <c r="BF47" i="3"/>
  <c r="AJ68" i="4" s="1"/>
  <c r="BF48" i="3"/>
  <c r="AJ69" i="4" s="1"/>
  <c r="BF30" i="3"/>
  <c r="AJ51" i="4" s="1"/>
  <c r="BF18" i="3"/>
  <c r="AJ45" i="4" s="1"/>
  <c r="BF19" i="3"/>
  <c r="AJ46" i="4" s="1"/>
  <c r="BD22" i="3"/>
  <c r="BD51" i="3" s="1"/>
  <c r="BF17" i="3"/>
  <c r="BF20" i="3"/>
  <c r="AJ47" i="4" s="1"/>
  <c r="AF5" i="3"/>
  <c r="BF12" i="3"/>
  <c r="BF106" i="3" s="1" a="1"/>
  <c r="BF106" i="3" s="1"/>
  <c r="BF111" i="3" a="1"/>
  <c r="BF111" i="3" s="1"/>
  <c r="BF109" i="3" a="1"/>
  <c r="BF109" i="3" s="1"/>
  <c r="BF110" i="3" a="1"/>
  <c r="BF110" i="3" s="1"/>
  <c r="BG5" i="3"/>
  <c r="BF6" i="3"/>
  <c r="BF3" i="3"/>
  <c r="BF7" i="3"/>
  <c r="BF8" i="3"/>
  <c r="BF4" i="3"/>
  <c r="AI8" i="4"/>
  <c r="AI7" i="4"/>
  <c r="AI6" i="4"/>
  <c r="AJ5" i="4"/>
  <c r="AI4" i="4"/>
  <c r="AI3" i="4"/>
  <c r="N11" i="7" l="1"/>
  <c r="M7" i="7"/>
  <c r="H7" i="7"/>
  <c r="N62" i="7"/>
  <c r="N64" i="7"/>
  <c r="N61" i="7"/>
  <c r="BF108" i="3" a="1"/>
  <c r="BF108" i="3" s="1"/>
  <c r="BF113" i="3" a="1"/>
  <c r="BF113" i="3" s="1"/>
  <c r="BE22" i="3"/>
  <c r="BE23" i="3" s="1"/>
  <c r="BE63" i="3"/>
  <c r="AI117" i="4"/>
  <c r="BG60" i="3"/>
  <c r="BH60" i="3" s="1"/>
  <c r="AJ73" i="4"/>
  <c r="AJ120" i="4" s="1"/>
  <c r="AJ25" i="4" a="1"/>
  <c r="AJ25" i="4" s="1"/>
  <c r="AJ93" i="4"/>
  <c r="AJ36" i="4"/>
  <c r="AJ56" i="4"/>
  <c r="AJ20" i="4" a="1"/>
  <c r="AJ20" i="4" s="1"/>
  <c r="AJ97" i="4"/>
  <c r="AJ35" i="4"/>
  <c r="AJ66" i="4"/>
  <c r="AJ21" i="4" a="1"/>
  <c r="AJ21" i="4" s="1"/>
  <c r="AJ49" i="4"/>
  <c r="AJ18" i="4" a="1"/>
  <c r="AJ18" i="4" s="1"/>
  <c r="AJ90" i="4"/>
  <c r="AJ33" i="4"/>
  <c r="AJ71" i="4"/>
  <c r="AJ22" i="4" a="1"/>
  <c r="AJ22" i="4" s="1"/>
  <c r="AJ99" i="4"/>
  <c r="AJ37" i="4"/>
  <c r="AJ84" i="4"/>
  <c r="AJ31" i="4"/>
  <c r="AJ79" i="4"/>
  <c r="AJ28" i="4"/>
  <c r="AJ42" i="4"/>
  <c r="AJ13" i="4" a="1"/>
  <c r="AJ13" i="4" s="1"/>
  <c r="AJ107" i="4" s="1"/>
  <c r="AJ60" i="4"/>
  <c r="AJ19" i="4" a="1"/>
  <c r="AJ19" i="4" s="1"/>
  <c r="AJ80" i="4"/>
  <c r="AJ30" i="4"/>
  <c r="AJ91" i="4"/>
  <c r="AJ34" i="4"/>
  <c r="AJ48" i="4"/>
  <c r="AJ17" i="4" a="1"/>
  <c r="AJ17" i="4" s="1"/>
  <c r="AJ44" i="4"/>
  <c r="AJ15" i="4" a="1"/>
  <c r="AJ15" i="4" s="1"/>
  <c r="BD65" i="3"/>
  <c r="BG44" i="3"/>
  <c r="AK65" i="4" s="1"/>
  <c r="AI111" i="4"/>
  <c r="AH112" i="4"/>
  <c r="AI109" i="4"/>
  <c r="AI107" i="4"/>
  <c r="AI108" i="4"/>
  <c r="AI118" i="4"/>
  <c r="AI116" i="4"/>
  <c r="AI113" i="4"/>
  <c r="BG13" i="3"/>
  <c r="AK43" i="4" s="1"/>
  <c r="BF58" i="3"/>
  <c r="AI120" i="4"/>
  <c r="AI122" i="4"/>
  <c r="BG33" i="3"/>
  <c r="AK54" i="4" s="1"/>
  <c r="BG56" i="3"/>
  <c r="AK72" i="4" s="1"/>
  <c r="BG73" i="3"/>
  <c r="BG100" i="3"/>
  <c r="AK101" i="4" s="1"/>
  <c r="BG77" i="3"/>
  <c r="BG76" i="3"/>
  <c r="AK83" i="4" s="1"/>
  <c r="BG75" i="3"/>
  <c r="BG90" i="3"/>
  <c r="AK94" i="4" s="1"/>
  <c r="BG34" i="3"/>
  <c r="AK55" i="4" s="1"/>
  <c r="AH124" i="4"/>
  <c r="AH121" i="4"/>
  <c r="BG92" i="3"/>
  <c r="AK96" i="4" s="1"/>
  <c r="BG80" i="3"/>
  <c r="AK87" i="4" s="1"/>
  <c r="BG99" i="3"/>
  <c r="AK100" i="4" s="1"/>
  <c r="BG43" i="3"/>
  <c r="AK64" i="4" s="1"/>
  <c r="BG91" i="3"/>
  <c r="AK95" i="4" s="1"/>
  <c r="BG89" i="3"/>
  <c r="BG31" i="3"/>
  <c r="AK52" i="4" s="1"/>
  <c r="BG49" i="3"/>
  <c r="AK70" i="4" s="1"/>
  <c r="BG88" i="3"/>
  <c r="AK92" i="4" s="1"/>
  <c r="BG79" i="3"/>
  <c r="AK86" i="4" s="1"/>
  <c r="BG94" i="3"/>
  <c r="AK98" i="4" s="1"/>
  <c r="BG81" i="3"/>
  <c r="AK88" i="4" s="1"/>
  <c r="BG47" i="3"/>
  <c r="AK68" i="4" s="1"/>
  <c r="BG38" i="3"/>
  <c r="AK59" i="4" s="1"/>
  <c r="BF10" i="3"/>
  <c r="BG78" i="3"/>
  <c r="AK85" i="4" s="1"/>
  <c r="BG20" i="3"/>
  <c r="AK47" i="4" s="1"/>
  <c r="BG36" i="3"/>
  <c r="AK57" i="4" s="1"/>
  <c r="BG45" i="3"/>
  <c r="BG87" i="3"/>
  <c r="BG74" i="3"/>
  <c r="AK81" i="4" s="1"/>
  <c r="BG103" i="3"/>
  <c r="AK104" i="4" s="1"/>
  <c r="BG82" i="3"/>
  <c r="AK89" i="4" s="1"/>
  <c r="BG28" i="3"/>
  <c r="AH115" i="4"/>
  <c r="BG37" i="3"/>
  <c r="AK58" i="4" s="1"/>
  <c r="BG46" i="3"/>
  <c r="AK67" i="4" s="1"/>
  <c r="BG61" i="3"/>
  <c r="BG42" i="3"/>
  <c r="AK63" i="4" s="1"/>
  <c r="BF84" i="3"/>
  <c r="BG98" i="3"/>
  <c r="BF53" i="3"/>
  <c r="BG35" i="3"/>
  <c r="BG86" i="3"/>
  <c r="BG72" i="3"/>
  <c r="BF25" i="3"/>
  <c r="BF15" i="3"/>
  <c r="BG55" i="3"/>
  <c r="BG39" i="3"/>
  <c r="BG27" i="3"/>
  <c r="BG32" i="3"/>
  <c r="AK53" i="4" s="1"/>
  <c r="BG41" i="3"/>
  <c r="AK62" i="4" s="1"/>
  <c r="BG30" i="3"/>
  <c r="AK51" i="4" s="1"/>
  <c r="BG48" i="3"/>
  <c r="AK69" i="4" s="1"/>
  <c r="BG40" i="3"/>
  <c r="AK61" i="4" s="1"/>
  <c r="BG29" i="3"/>
  <c r="AK50" i="4" s="1"/>
  <c r="BD23" i="3"/>
  <c r="BG18" i="3"/>
  <c r="AK45" i="4" s="1"/>
  <c r="BG19" i="3"/>
  <c r="AK46" i="4" s="1"/>
  <c r="BG17" i="3"/>
  <c r="BG12" i="3"/>
  <c r="AF3" i="3"/>
  <c r="AF7" i="3"/>
  <c r="AF6" i="3"/>
  <c r="BG114" i="3" a="1"/>
  <c r="BG114" i="3" s="1"/>
  <c r="BG112" i="3" a="1"/>
  <c r="BG112" i="3" s="1"/>
  <c r="BG116" i="3" a="1"/>
  <c r="BG116" i="3" s="1"/>
  <c r="BG106" i="3" a="1"/>
  <c r="BG106" i="3" s="1"/>
  <c r="BG113" i="3" a="1"/>
  <c r="BG113" i="3" s="1"/>
  <c r="BG108" i="3" a="1"/>
  <c r="BG108" i="3" s="1"/>
  <c r="BG110" i="3" a="1"/>
  <c r="BG110" i="3" s="1"/>
  <c r="BG109" i="3" a="1"/>
  <c r="BG109" i="3" s="1"/>
  <c r="BG111" i="3" a="1"/>
  <c r="BG111" i="3" s="1"/>
  <c r="AJ4" i="4"/>
  <c r="AJ3" i="4"/>
  <c r="AJ8" i="4"/>
  <c r="AJ6" i="4"/>
  <c r="AJ7" i="4"/>
  <c r="AK5" i="4"/>
  <c r="BG8" i="3"/>
  <c r="BG4" i="3"/>
  <c r="BG6" i="3"/>
  <c r="BG3" i="3"/>
  <c r="BG7" i="3"/>
  <c r="BH5" i="3"/>
  <c r="N7" i="7" l="1"/>
  <c r="BE51" i="3"/>
  <c r="BE65" i="3" s="1"/>
  <c r="BE102" i="3" s="1"/>
  <c r="BH44" i="3"/>
  <c r="AL65" i="4" s="1"/>
  <c r="AK97" i="4"/>
  <c r="AK35" i="4"/>
  <c r="AK74" i="4"/>
  <c r="AK84" i="4"/>
  <c r="AK31" i="4"/>
  <c r="AK49" i="4"/>
  <c r="AK18" i="4" a="1"/>
  <c r="AK18" i="4" s="1"/>
  <c r="AL73" i="4"/>
  <c r="AK93" i="4"/>
  <c r="AK36" i="4"/>
  <c r="AK80" i="4"/>
  <c r="AK30" i="4"/>
  <c r="AK48" i="4"/>
  <c r="AK17" i="4" a="1"/>
  <c r="AK17" i="4" s="1"/>
  <c r="AK91" i="4"/>
  <c r="AK34" i="4"/>
  <c r="AK60" i="4"/>
  <c r="AK19" i="4" a="1"/>
  <c r="AK19" i="4" s="1"/>
  <c r="AK79" i="4"/>
  <c r="AK28" i="4"/>
  <c r="AK66" i="4"/>
  <c r="AK21" i="4" a="1"/>
  <c r="AK21" i="4" s="1"/>
  <c r="BH37" i="3"/>
  <c r="AL58" i="4" s="1"/>
  <c r="AK42" i="4"/>
  <c r="AK13" i="4" a="1"/>
  <c r="AK13" i="4" s="1"/>
  <c r="AK90" i="4"/>
  <c r="AK33" i="4"/>
  <c r="AK56" i="4"/>
  <c r="AK20" i="4" a="1"/>
  <c r="AK20" i="4" s="1"/>
  <c r="AK44" i="4"/>
  <c r="AK117" i="4" s="1"/>
  <c r="AK15" i="4" a="1"/>
  <c r="AK15" i="4" s="1"/>
  <c r="AK108" i="4" s="1"/>
  <c r="AB75" i="3"/>
  <c r="AK82" i="4"/>
  <c r="AK71" i="4"/>
  <c r="AK119" i="4" s="1"/>
  <c r="AK22" i="4" a="1"/>
  <c r="AK22" i="4" s="1"/>
  <c r="AK99" i="4"/>
  <c r="AK37" i="4"/>
  <c r="AK73" i="4"/>
  <c r="AK25" i="4" a="1"/>
  <c r="AK25" i="4" s="1"/>
  <c r="BH56" i="3"/>
  <c r="AL72" i="4" s="1"/>
  <c r="BF63" i="3"/>
  <c r="BH33" i="3"/>
  <c r="AL54" i="4" s="1"/>
  <c r="AJ108" i="4"/>
  <c r="AJ111" i="4"/>
  <c r="AJ109" i="4"/>
  <c r="AJ110" i="4"/>
  <c r="AJ116" i="4"/>
  <c r="BH13" i="3"/>
  <c r="AL43" i="4" s="1"/>
  <c r="BF22" i="3"/>
  <c r="BF23" i="3" s="1"/>
  <c r="BH45" i="3"/>
  <c r="BH38" i="3"/>
  <c r="AL59" i="4" s="1"/>
  <c r="BH46" i="3"/>
  <c r="AL67" i="4" s="1"/>
  <c r="BG58" i="3"/>
  <c r="BH20" i="3"/>
  <c r="AL47" i="4" s="1"/>
  <c r="BH34" i="3"/>
  <c r="AL55" i="4" s="1"/>
  <c r="AJ117" i="4"/>
  <c r="AJ119" i="4"/>
  <c r="BH31" i="3"/>
  <c r="AL52" i="4" s="1"/>
  <c r="BH29" i="3"/>
  <c r="AL50" i="4" s="1"/>
  <c r="AJ118" i="4"/>
  <c r="AJ113" i="4"/>
  <c r="AJ122" i="4"/>
  <c r="BH28" i="3"/>
  <c r="BH93" i="3"/>
  <c r="BH82" i="3"/>
  <c r="AL89" i="4" s="1"/>
  <c r="BH89" i="3"/>
  <c r="BH92" i="3"/>
  <c r="AL96" i="4" s="1"/>
  <c r="BH81" i="3"/>
  <c r="AL88" i="4" s="1"/>
  <c r="BH36" i="3"/>
  <c r="AL57" i="4" s="1"/>
  <c r="BI60" i="3"/>
  <c r="BH42" i="3"/>
  <c r="AL63" i="4" s="1"/>
  <c r="BH103" i="3"/>
  <c r="AL104" i="4" s="1"/>
  <c r="BH91" i="3"/>
  <c r="AL95" i="4" s="1"/>
  <c r="BH77" i="3"/>
  <c r="BH61" i="3"/>
  <c r="AL25" i="4" s="1" a="1"/>
  <c r="AL25" i="4" s="1"/>
  <c r="BH78" i="3"/>
  <c r="AL85" i="4" s="1"/>
  <c r="BH94" i="3"/>
  <c r="AL98" i="4" s="1"/>
  <c r="BH49" i="3"/>
  <c r="AL70" i="4" s="1"/>
  <c r="BH74" i="3"/>
  <c r="AL81" i="4" s="1"/>
  <c r="BH43" i="3"/>
  <c r="AL64" i="4" s="1"/>
  <c r="BH100" i="3"/>
  <c r="AL101" i="4" s="1"/>
  <c r="BH99" i="3"/>
  <c r="AL100" i="4" s="1"/>
  <c r="BH90" i="3"/>
  <c r="AL94" i="4" s="1"/>
  <c r="BH47" i="3"/>
  <c r="AL68" i="4" s="1"/>
  <c r="BH87" i="3"/>
  <c r="BH73" i="3"/>
  <c r="BH79" i="3"/>
  <c r="AL86" i="4" s="1"/>
  <c r="BH80" i="3"/>
  <c r="AL87" i="4" s="1"/>
  <c r="BH75" i="3"/>
  <c r="AL82" i="4" s="1"/>
  <c r="BH27" i="3"/>
  <c r="BH88" i="3"/>
  <c r="AL92" i="4" s="1"/>
  <c r="BH76" i="3"/>
  <c r="AL83" i="4" s="1"/>
  <c r="BH55" i="3"/>
  <c r="BH35" i="3"/>
  <c r="BH98" i="3"/>
  <c r="BH86" i="3"/>
  <c r="BG84" i="3"/>
  <c r="BH72" i="3"/>
  <c r="BG53" i="3"/>
  <c r="BH32" i="3"/>
  <c r="AL53" i="4" s="1"/>
  <c r="BH39" i="3"/>
  <c r="BG25" i="3"/>
  <c r="BH40" i="3"/>
  <c r="AL61" i="4" s="1"/>
  <c r="BH30" i="3"/>
  <c r="AL51" i="4" s="1"/>
  <c r="BH48" i="3"/>
  <c r="AL69" i="4" s="1"/>
  <c r="BH41" i="3"/>
  <c r="AL62" i="4" s="1"/>
  <c r="BH18" i="3"/>
  <c r="AL45" i="4" s="1"/>
  <c r="BH19" i="3"/>
  <c r="AL46" i="4" s="1"/>
  <c r="BH17" i="3"/>
  <c r="BG15" i="3"/>
  <c r="AF8" i="3"/>
  <c r="BH12" i="3"/>
  <c r="BG10" i="3"/>
  <c r="BH114" i="3" a="1"/>
  <c r="BH114" i="3" s="1"/>
  <c r="BH109" i="3" a="1"/>
  <c r="BH109" i="3" s="1"/>
  <c r="BH112" i="3" a="1"/>
  <c r="BH112" i="3" s="1"/>
  <c r="BH116" i="3" a="1"/>
  <c r="BH116" i="3" s="1"/>
  <c r="BH106" i="3" a="1"/>
  <c r="BH106" i="3" s="1"/>
  <c r="BH110" i="3" a="1"/>
  <c r="BH110" i="3" s="1"/>
  <c r="BH113" i="3" a="1"/>
  <c r="BH113" i="3" s="1"/>
  <c r="BH108" i="3" a="1"/>
  <c r="BH108" i="3" s="1"/>
  <c r="BH111" i="3" a="1"/>
  <c r="BH111" i="3" s="1"/>
  <c r="AK4" i="4"/>
  <c r="AK3" i="4"/>
  <c r="AK8" i="4"/>
  <c r="AK7" i="4"/>
  <c r="AK6" i="4"/>
  <c r="AL5" i="4"/>
  <c r="BI5" i="3"/>
  <c r="BH3" i="3"/>
  <c r="BH8" i="3"/>
  <c r="BH4" i="3"/>
  <c r="BH7" i="3"/>
  <c r="BH6" i="3"/>
  <c r="AK111" i="4" l="1"/>
  <c r="AK110" i="4"/>
  <c r="BE107" i="3"/>
  <c r="BE114" i="3" a="1"/>
  <c r="BE114" i="3" s="1"/>
  <c r="BI44" i="3"/>
  <c r="AM65" i="4" s="1"/>
  <c r="BI56" i="3"/>
  <c r="AM72" i="4" s="1"/>
  <c r="AK120" i="4"/>
  <c r="BI37" i="3"/>
  <c r="AM58" i="4" s="1"/>
  <c r="BI36" i="3"/>
  <c r="AM57" i="4" s="1"/>
  <c r="AL91" i="4"/>
  <c r="AL34" i="4"/>
  <c r="AL42" i="4"/>
  <c r="AL13" i="4" a="1"/>
  <c r="AL13" i="4" s="1"/>
  <c r="AL84" i="4"/>
  <c r="AL31" i="4"/>
  <c r="AL66" i="4"/>
  <c r="AL21" i="4" a="1"/>
  <c r="AL21" i="4" s="1"/>
  <c r="AI103" i="4"/>
  <c r="AI123" i="4" s="1"/>
  <c r="AI38" i="4"/>
  <c r="AI114" i="4" s="1"/>
  <c r="AL80" i="4"/>
  <c r="AL30" i="4"/>
  <c r="AL99" i="4"/>
  <c r="AL37" i="4"/>
  <c r="AL56" i="4"/>
  <c r="AL20" i="4" a="1"/>
  <c r="AL20" i="4" s="1"/>
  <c r="BI38" i="3"/>
  <c r="AM59" i="4" s="1"/>
  <c r="AL93" i="4"/>
  <c r="AL36" i="4"/>
  <c r="AL90" i="4"/>
  <c r="AL33" i="4"/>
  <c r="BH53" i="3"/>
  <c r="AL71" i="4"/>
  <c r="AL119" i="4" s="1"/>
  <c r="AL22" i="4" a="1"/>
  <c r="AL22" i="4" s="1"/>
  <c r="AL97" i="4"/>
  <c r="AL35" i="4"/>
  <c r="BJ60" i="3"/>
  <c r="AM73" i="4"/>
  <c r="AL49" i="4"/>
  <c r="AL18" i="4" a="1"/>
  <c r="AL18" i="4" s="1"/>
  <c r="AL79" i="4"/>
  <c r="AL28" i="4"/>
  <c r="AL44" i="4"/>
  <c r="AL15" i="4" a="1"/>
  <c r="AL15" i="4" s="1"/>
  <c r="AL108" i="4" s="1"/>
  <c r="AL60" i="4"/>
  <c r="AL19" i="4" a="1"/>
  <c r="AL19" i="4" s="1"/>
  <c r="AL48" i="4"/>
  <c r="AL17" i="4" a="1"/>
  <c r="AL17" i="4" s="1"/>
  <c r="BH58" i="3"/>
  <c r="AL74" i="4"/>
  <c r="AL120" i="4" s="1"/>
  <c r="BI33" i="3"/>
  <c r="AM54" i="4" s="1"/>
  <c r="AK109" i="4"/>
  <c r="BI48" i="3"/>
  <c r="AM69" i="4" s="1"/>
  <c r="BE71" i="3"/>
  <c r="BE96" i="3"/>
  <c r="BF101" i="3"/>
  <c r="BF114" i="3" s="1" a="1"/>
  <c r="BF114" i="3" s="1"/>
  <c r="BI27" i="3"/>
  <c r="BJ27" i="3" s="1"/>
  <c r="BF51" i="3"/>
  <c r="BF65" i="3" s="1"/>
  <c r="BF102" i="3" s="1"/>
  <c r="BG63" i="3"/>
  <c r="BI45" i="3"/>
  <c r="BJ45" i="3" s="1"/>
  <c r="BI46" i="3"/>
  <c r="AM67" i="4" s="1"/>
  <c r="BI34" i="3"/>
  <c r="AM55" i="4" s="1"/>
  <c r="AK107" i="4"/>
  <c r="AK116" i="4"/>
  <c r="BI13" i="3"/>
  <c r="AM43" i="4" s="1"/>
  <c r="BI20" i="3"/>
  <c r="AM47" i="4" s="1"/>
  <c r="BI39" i="3"/>
  <c r="BI28" i="3"/>
  <c r="BI29" i="3"/>
  <c r="BI31" i="3"/>
  <c r="AM52" i="4" s="1"/>
  <c r="AK113" i="4"/>
  <c r="AK118" i="4"/>
  <c r="AK122" i="4"/>
  <c r="BI49" i="3"/>
  <c r="AM70" i="4" s="1"/>
  <c r="BI78" i="3"/>
  <c r="AM85" i="4" s="1"/>
  <c r="BI80" i="3"/>
  <c r="AM87" i="4" s="1"/>
  <c r="BI90" i="3"/>
  <c r="AM94" i="4" s="1"/>
  <c r="BI61" i="3"/>
  <c r="AM74" i="4" s="1"/>
  <c r="BI79" i="3"/>
  <c r="AM86" i="4" s="1"/>
  <c r="BI99" i="3"/>
  <c r="AM100" i="4" s="1"/>
  <c r="BI81" i="3"/>
  <c r="AM88" i="4" s="1"/>
  <c r="BI76" i="3"/>
  <c r="AM83" i="4" s="1"/>
  <c r="BI100" i="3"/>
  <c r="AM101" i="4" s="1"/>
  <c r="BI92" i="3"/>
  <c r="AM96" i="4" s="1"/>
  <c r="BI88" i="3"/>
  <c r="AM92" i="4" s="1"/>
  <c r="BI43" i="3"/>
  <c r="AM64" i="4" s="1"/>
  <c r="BI77" i="3"/>
  <c r="BI89" i="3"/>
  <c r="BI73" i="3"/>
  <c r="BI91" i="3"/>
  <c r="AM95" i="4" s="1"/>
  <c r="BI82" i="3"/>
  <c r="AM89" i="4" s="1"/>
  <c r="BI55" i="3"/>
  <c r="BI30" i="3"/>
  <c r="AM51" i="4" s="1"/>
  <c r="BI74" i="3"/>
  <c r="AM81" i="4" s="1"/>
  <c r="BI103" i="3"/>
  <c r="AM104" i="4" s="1"/>
  <c r="BI87" i="3"/>
  <c r="BI42" i="3"/>
  <c r="AM63" i="4" s="1"/>
  <c r="BI93" i="3"/>
  <c r="BI35" i="3"/>
  <c r="BI75" i="3"/>
  <c r="AM82" i="4" s="1"/>
  <c r="BI94" i="3"/>
  <c r="AM98" i="4" s="1"/>
  <c r="BI18" i="3"/>
  <c r="AM45" i="4" s="1"/>
  <c r="BI12" i="3"/>
  <c r="BI47" i="3"/>
  <c r="AM68" i="4" s="1"/>
  <c r="BH84" i="3"/>
  <c r="BI98" i="3"/>
  <c r="BG22" i="3"/>
  <c r="BG51" i="3" s="1"/>
  <c r="BI86" i="3"/>
  <c r="BI72" i="3"/>
  <c r="BH25" i="3"/>
  <c r="BI32" i="3"/>
  <c r="AM53" i="4" s="1"/>
  <c r="BI41" i="3"/>
  <c r="AM62" i="4" s="1"/>
  <c r="BI40" i="3"/>
  <c r="AM61" i="4" s="1"/>
  <c r="BI17" i="3"/>
  <c r="BI19" i="3"/>
  <c r="AM46" i="4" s="1"/>
  <c r="BH15" i="3"/>
  <c r="BH10" i="3"/>
  <c r="BI112" i="3" a="1"/>
  <c r="BI112" i="3" s="1"/>
  <c r="BI116" i="3" a="1"/>
  <c r="BI116" i="3" s="1"/>
  <c r="BI110" i="3" a="1"/>
  <c r="BI110" i="3" s="1"/>
  <c r="BI113" i="3" a="1"/>
  <c r="BI113" i="3" s="1"/>
  <c r="BI111" i="3" a="1"/>
  <c r="BI111" i="3" s="1"/>
  <c r="BI114" i="3" a="1"/>
  <c r="BI114" i="3" s="1"/>
  <c r="BI108" i="3" a="1"/>
  <c r="BI108" i="3" s="1"/>
  <c r="BI109" i="3" a="1"/>
  <c r="BI109" i="3" s="1"/>
  <c r="BI106" i="3" a="1"/>
  <c r="BI106" i="3" s="1"/>
  <c r="BI6" i="3"/>
  <c r="BI7" i="3"/>
  <c r="BI4" i="3"/>
  <c r="BJ5" i="3"/>
  <c r="BI3" i="3"/>
  <c r="BI8" i="3"/>
  <c r="AM5" i="4"/>
  <c r="AL3" i="4"/>
  <c r="AL8" i="4"/>
  <c r="AL7" i="4"/>
  <c r="AL6" i="4"/>
  <c r="AL4" i="4"/>
  <c r="BJ44" i="3" l="1"/>
  <c r="AN65" i="4" s="1"/>
  <c r="BJ37" i="3"/>
  <c r="BK37" i="3" s="1"/>
  <c r="AO58" i="4" s="1"/>
  <c r="AL110" i="4"/>
  <c r="BE112" i="3" a="1"/>
  <c r="BE112" i="3" s="1"/>
  <c r="BE116" i="3" a="1"/>
  <c r="BE116" i="3" s="1"/>
  <c r="BJ56" i="3"/>
  <c r="AN72" i="4" s="1"/>
  <c r="BJ38" i="3"/>
  <c r="AN59" i="4" s="1"/>
  <c r="BH63" i="3"/>
  <c r="BJ36" i="3"/>
  <c r="AN57" i="4" s="1"/>
  <c r="BJ29" i="3"/>
  <c r="AN50" i="4" s="1"/>
  <c r="AM50" i="4"/>
  <c r="AM99" i="4"/>
  <c r="AM37" i="4"/>
  <c r="AM49" i="4"/>
  <c r="AM18" i="4" a="1"/>
  <c r="AM18" i="4" s="1"/>
  <c r="AI29" i="4"/>
  <c r="AI78" i="4"/>
  <c r="AM25" i="4" a="1"/>
  <c r="AM25" i="4" s="1"/>
  <c r="AM80" i="4"/>
  <c r="AM30" i="4"/>
  <c r="AM84" i="4"/>
  <c r="AM31" i="4"/>
  <c r="BJ12" i="3"/>
  <c r="AM42" i="4"/>
  <c r="AM13" i="4" a="1"/>
  <c r="AM13" i="4" s="1"/>
  <c r="AM107" i="4" s="1"/>
  <c r="BJ39" i="3"/>
  <c r="BK39" i="3" s="1"/>
  <c r="AM60" i="4"/>
  <c r="AM19" i="4" a="1"/>
  <c r="AM19" i="4" s="1"/>
  <c r="BJ48" i="3"/>
  <c r="AN69" i="4" s="1"/>
  <c r="AN48" i="4"/>
  <c r="BJ49" i="3"/>
  <c r="AN70" i="4" s="1"/>
  <c r="AM97" i="4"/>
  <c r="AM35" i="4"/>
  <c r="BJ33" i="3"/>
  <c r="AN54" i="4" s="1"/>
  <c r="AM66" i="4"/>
  <c r="AM21" i="4" a="1"/>
  <c r="AM21" i="4" s="1"/>
  <c r="BI53" i="3"/>
  <c r="AM71" i="4"/>
  <c r="AM119" i="4" s="1"/>
  <c r="AM22" i="4" a="1"/>
  <c r="AM22" i="4" s="1"/>
  <c r="BF107" i="3"/>
  <c r="AJ103" i="4"/>
  <c r="AN73" i="4"/>
  <c r="AM93" i="4"/>
  <c r="AM36" i="4"/>
  <c r="BK60" i="3"/>
  <c r="BL60" i="3" s="1"/>
  <c r="AN66" i="4"/>
  <c r="AM56" i="4"/>
  <c r="AM20" i="4" a="1"/>
  <c r="AM20" i="4" s="1"/>
  <c r="AM91" i="4"/>
  <c r="AM34" i="4"/>
  <c r="AM90" i="4"/>
  <c r="AM33" i="4"/>
  <c r="AM48" i="4"/>
  <c r="AM17" i="4" a="1"/>
  <c r="AM17" i="4" s="1"/>
  <c r="AM44" i="4"/>
  <c r="AM15" i="4" a="1"/>
  <c r="AM15" i="4" s="1"/>
  <c r="AM79" i="4"/>
  <c r="AM28" i="4"/>
  <c r="AJ102" i="4"/>
  <c r="AJ38" i="4"/>
  <c r="BE115" i="3"/>
  <c r="BE68" i="3"/>
  <c r="BG65" i="3"/>
  <c r="BG102" i="3" s="1"/>
  <c r="AK103" i="4" s="1"/>
  <c r="BJ13" i="3"/>
  <c r="AN43" i="4" s="1"/>
  <c r="BK27" i="3"/>
  <c r="BL27" i="3" s="1"/>
  <c r="BJ46" i="3"/>
  <c r="AN67" i="4" s="1"/>
  <c r="BJ28" i="3"/>
  <c r="BJ20" i="3"/>
  <c r="BJ31" i="3"/>
  <c r="BI10" i="3"/>
  <c r="AL109" i="4"/>
  <c r="AL111" i="4"/>
  <c r="AL107" i="4"/>
  <c r="AL116" i="4"/>
  <c r="BJ34" i="3"/>
  <c r="AN55" i="4" s="1"/>
  <c r="BJ18" i="3"/>
  <c r="BJ43" i="3"/>
  <c r="BJ30" i="3"/>
  <c r="AN51" i="4" s="1"/>
  <c r="AL118" i="4"/>
  <c r="BI58" i="3"/>
  <c r="BJ61" i="3"/>
  <c r="AL117" i="4"/>
  <c r="AL113" i="4"/>
  <c r="AL122" i="4"/>
  <c r="BG101" i="3"/>
  <c r="BJ89" i="3"/>
  <c r="BJ79" i="3"/>
  <c r="AN86" i="4" s="1"/>
  <c r="BJ42" i="3"/>
  <c r="AN63" i="4" s="1"/>
  <c r="BJ82" i="3"/>
  <c r="AN89" i="4" s="1"/>
  <c r="BJ77" i="3"/>
  <c r="BJ47" i="3"/>
  <c r="AN68" i="4" s="1"/>
  <c r="BJ87" i="3"/>
  <c r="BJ92" i="3"/>
  <c r="AN96" i="4" s="1"/>
  <c r="BJ91" i="3"/>
  <c r="AN95" i="4" s="1"/>
  <c r="BJ103" i="3"/>
  <c r="AN104" i="4" s="1"/>
  <c r="BJ100" i="3"/>
  <c r="AN101" i="4" s="1"/>
  <c r="BJ90" i="3"/>
  <c r="AN94" i="4" s="1"/>
  <c r="BJ35" i="3"/>
  <c r="BJ74" i="3"/>
  <c r="AN81" i="4" s="1"/>
  <c r="BJ80" i="3"/>
  <c r="AN87" i="4" s="1"/>
  <c r="BJ19" i="3"/>
  <c r="AN46" i="4" s="1"/>
  <c r="BJ76" i="3"/>
  <c r="AN83" i="4" s="1"/>
  <c r="AM120" i="4"/>
  <c r="BJ73" i="3"/>
  <c r="BJ81" i="3"/>
  <c r="AN88" i="4" s="1"/>
  <c r="BK45" i="3"/>
  <c r="BJ94" i="3"/>
  <c r="AN98" i="4" s="1"/>
  <c r="BJ55" i="3"/>
  <c r="BJ78" i="3"/>
  <c r="AN85" i="4" s="1"/>
  <c r="BF71" i="3"/>
  <c r="BJ93" i="3"/>
  <c r="BJ88" i="3"/>
  <c r="AN92" i="4" s="1"/>
  <c r="BJ99" i="3"/>
  <c r="AN100" i="4" s="1"/>
  <c r="BF96" i="3"/>
  <c r="BJ75" i="3"/>
  <c r="AN82" i="4" s="1"/>
  <c r="BI84" i="3"/>
  <c r="BG23" i="3"/>
  <c r="BJ98" i="3"/>
  <c r="BJ86" i="3"/>
  <c r="BJ72" i="3"/>
  <c r="BH22" i="3"/>
  <c r="BH51" i="3" s="1"/>
  <c r="BJ40" i="3"/>
  <c r="AN61" i="4" s="1"/>
  <c r="BK44" i="3"/>
  <c r="AO65" i="4" s="1"/>
  <c r="BI25" i="3"/>
  <c r="BJ32" i="3"/>
  <c r="AN53" i="4" s="1"/>
  <c r="BJ41" i="3"/>
  <c r="AN62" i="4" s="1"/>
  <c r="BJ17" i="3"/>
  <c r="BI15" i="3"/>
  <c r="BJ112" i="3" a="1"/>
  <c r="BJ112" i="3" s="1"/>
  <c r="BJ116" i="3" a="1"/>
  <c r="BJ116" i="3" s="1"/>
  <c r="BJ113" i="3" a="1"/>
  <c r="BJ113" i="3" s="1"/>
  <c r="BJ108" i="3" a="1"/>
  <c r="BJ108" i="3" s="1"/>
  <c r="BJ114" i="3" a="1"/>
  <c r="BJ114" i="3" s="1"/>
  <c r="BJ109" i="3" a="1"/>
  <c r="BJ109" i="3" s="1"/>
  <c r="BJ110" i="3" a="1"/>
  <c r="BJ110" i="3" s="1"/>
  <c r="BJ111" i="3" a="1"/>
  <c r="BJ111" i="3" s="1"/>
  <c r="BJ106" i="3" a="1"/>
  <c r="BJ106" i="3" s="1"/>
  <c r="BJ7" i="3"/>
  <c r="BJ4" i="3"/>
  <c r="BJ6" i="3"/>
  <c r="BK5" i="3"/>
  <c r="BJ3" i="3"/>
  <c r="BJ8" i="3"/>
  <c r="AN5" i="4"/>
  <c r="AM4" i="4"/>
  <c r="AM3" i="4"/>
  <c r="AM7" i="4"/>
  <c r="AM6" i="4"/>
  <c r="AM8" i="4"/>
  <c r="AN58" i="4" l="1"/>
  <c r="BK48" i="3"/>
  <c r="AO69" i="4" s="1"/>
  <c r="BK38" i="3"/>
  <c r="AO59" i="4" s="1"/>
  <c r="AM111" i="4"/>
  <c r="BF116" i="3" a="1"/>
  <c r="BF116" i="3" s="1"/>
  <c r="BF112" i="3" a="1"/>
  <c r="BF112" i="3" s="1"/>
  <c r="BK56" i="3"/>
  <c r="AO72" i="4" s="1"/>
  <c r="BK36" i="3"/>
  <c r="AO57" i="4" s="1"/>
  <c r="BH65" i="3"/>
  <c r="BH102" i="3" s="1"/>
  <c r="AL103" i="4" s="1"/>
  <c r="AN17" i="4" a="1"/>
  <c r="AN17" i="4" s="1"/>
  <c r="BI22" i="3"/>
  <c r="BI51" i="3" s="1"/>
  <c r="BK29" i="3"/>
  <c r="AO50" i="4" s="1"/>
  <c r="BL37" i="3"/>
  <c r="AP58" i="4" s="1"/>
  <c r="AJ123" i="4"/>
  <c r="BK49" i="3"/>
  <c r="AO70" i="4" s="1"/>
  <c r="BI63" i="3"/>
  <c r="AN80" i="4"/>
  <c r="AN30" i="4"/>
  <c r="AN74" i="4"/>
  <c r="AN120" i="4" s="1"/>
  <c r="BK20" i="3"/>
  <c r="AO47" i="4" s="1"/>
  <c r="AN47" i="4"/>
  <c r="BK28" i="3"/>
  <c r="AN49" i="4"/>
  <c r="AN18" i="4" a="1"/>
  <c r="AN18" i="4" s="1"/>
  <c r="AO48" i="4"/>
  <c r="AN84" i="4"/>
  <c r="AN31" i="4"/>
  <c r="BK43" i="3"/>
  <c r="AO64" i="4" s="1"/>
  <c r="AN64" i="4"/>
  <c r="BF68" i="3"/>
  <c r="AJ29" i="4"/>
  <c r="AJ78" i="4"/>
  <c r="AN21" i="4" a="1"/>
  <c r="AN21" i="4" s="1"/>
  <c r="AP48" i="4"/>
  <c r="AN97" i="4"/>
  <c r="AN35" i="4"/>
  <c r="AP73" i="4"/>
  <c r="AN93" i="4"/>
  <c r="AN36" i="4"/>
  <c r="AO73" i="4"/>
  <c r="AN91" i="4"/>
  <c r="AN34" i="4"/>
  <c r="AN42" i="4"/>
  <c r="AN13" i="4" a="1"/>
  <c r="AN13" i="4" s="1"/>
  <c r="AN107" i="4" s="1"/>
  <c r="AK102" i="4"/>
  <c r="AK38" i="4"/>
  <c r="AK114" i="4" s="1"/>
  <c r="AN56" i="4"/>
  <c r="AN20" i="4" a="1"/>
  <c r="AN20" i="4" s="1"/>
  <c r="AN99" i="4"/>
  <c r="AN37" i="4"/>
  <c r="AN25" i="4" a="1"/>
  <c r="AN25" i="4" s="1"/>
  <c r="AN90" i="4"/>
  <c r="AN33" i="4"/>
  <c r="BJ10" i="3"/>
  <c r="BK12" i="3"/>
  <c r="BL12" i="3" s="1"/>
  <c r="AO66" i="4"/>
  <c r="BK13" i="3"/>
  <c r="AO43" i="4" s="1"/>
  <c r="AO60" i="4"/>
  <c r="BK33" i="3"/>
  <c r="AO54" i="4" s="1"/>
  <c r="BK31" i="3"/>
  <c r="AO52" i="4" s="1"/>
  <c r="AN52" i="4"/>
  <c r="AN44" i="4"/>
  <c r="AN15" i="4" a="1"/>
  <c r="AN15" i="4" s="1"/>
  <c r="BK18" i="3"/>
  <c r="AO45" i="4" s="1"/>
  <c r="AN45" i="4"/>
  <c r="AN79" i="4"/>
  <c r="AN28" i="4"/>
  <c r="BJ53" i="3"/>
  <c r="AN71" i="4"/>
  <c r="AN119" i="4" s="1"/>
  <c r="AN22" i="4" a="1"/>
  <c r="AN22" i="4" s="1"/>
  <c r="AN60" i="4"/>
  <c r="AN19" i="4" a="1"/>
  <c r="AN19" i="4" s="1"/>
  <c r="BK46" i="3"/>
  <c r="AO67" i="4" s="1"/>
  <c r="AI115" i="4"/>
  <c r="AI112" i="4"/>
  <c r="AI124" i="4"/>
  <c r="AI121" i="4"/>
  <c r="AM109" i="4"/>
  <c r="BK35" i="3"/>
  <c r="BJ58" i="3"/>
  <c r="BK61" i="3"/>
  <c r="AO25" i="4" s="1" a="1"/>
  <c r="AO25" i="4" s="1"/>
  <c r="AM110" i="4"/>
  <c r="AM108" i="4"/>
  <c r="AM116" i="4"/>
  <c r="BK34" i="3"/>
  <c r="AO55" i="4" s="1"/>
  <c r="AJ114" i="4"/>
  <c r="BK30" i="3"/>
  <c r="AO51" i="4" s="1"/>
  <c r="BG71" i="3"/>
  <c r="BK42" i="3"/>
  <c r="AO63" i="4" s="1"/>
  <c r="AM117" i="4"/>
  <c r="AM113" i="4"/>
  <c r="BL45" i="3"/>
  <c r="BM45" i="3" s="1"/>
  <c r="AM118" i="4"/>
  <c r="AM122" i="4"/>
  <c r="BG96" i="3"/>
  <c r="BH101" i="3"/>
  <c r="BF115" i="3"/>
  <c r="BK78" i="3"/>
  <c r="AO85" i="4" s="1"/>
  <c r="BK76" i="3"/>
  <c r="AO83" i="4" s="1"/>
  <c r="BK74" i="3"/>
  <c r="AO81" i="4" s="1"/>
  <c r="BK103" i="3"/>
  <c r="AO104" i="4" s="1"/>
  <c r="BK82" i="3"/>
  <c r="AO89" i="4" s="1"/>
  <c r="BK81" i="3"/>
  <c r="AO88" i="4" s="1"/>
  <c r="BK91" i="3"/>
  <c r="AO95" i="4" s="1"/>
  <c r="BK55" i="3"/>
  <c r="BK73" i="3"/>
  <c r="BK92" i="3"/>
  <c r="AO96" i="4" s="1"/>
  <c r="BK88" i="3"/>
  <c r="AO92" i="4" s="1"/>
  <c r="BK99" i="3"/>
  <c r="AO100" i="4" s="1"/>
  <c r="BK87" i="3"/>
  <c r="BK79" i="3"/>
  <c r="AO86" i="4" s="1"/>
  <c r="BJ84" i="3"/>
  <c r="BG107" i="3"/>
  <c r="BK80" i="3"/>
  <c r="AO87" i="4" s="1"/>
  <c r="BK47" i="3"/>
  <c r="AO68" i="4" s="1"/>
  <c r="BK90" i="3"/>
  <c r="AO94" i="4" s="1"/>
  <c r="BK40" i="3"/>
  <c r="AO61" i="4" s="1"/>
  <c r="BK93" i="3"/>
  <c r="BK19" i="3"/>
  <c r="AO46" i="4" s="1"/>
  <c r="BM60" i="3"/>
  <c r="BK89" i="3"/>
  <c r="BK94" i="3"/>
  <c r="AO98" i="4" s="1"/>
  <c r="BK75" i="3"/>
  <c r="AO82" i="4" s="1"/>
  <c r="BJ15" i="3"/>
  <c r="BL39" i="3"/>
  <c r="BK100" i="3"/>
  <c r="AO101" i="4" s="1"/>
  <c r="BK77" i="3"/>
  <c r="BK98" i="3"/>
  <c r="AC86" i="3"/>
  <c r="BK86" i="3"/>
  <c r="BK72" i="3"/>
  <c r="BJ25" i="3"/>
  <c r="BH23" i="3"/>
  <c r="BK41" i="3"/>
  <c r="AO62" i="4" s="1"/>
  <c r="BL44" i="3"/>
  <c r="AP65" i="4" s="1"/>
  <c r="BM27" i="3"/>
  <c r="BK32" i="3"/>
  <c r="BK17" i="3"/>
  <c r="BK116" i="3" a="1"/>
  <c r="BK116" i="3" s="1"/>
  <c r="BK110" i="3" a="1"/>
  <c r="BK110" i="3" s="1"/>
  <c r="BK113" i="3" a="1"/>
  <c r="BK113" i="3" s="1"/>
  <c r="BK108" i="3" a="1"/>
  <c r="BK108" i="3" s="1"/>
  <c r="BK111" i="3" a="1"/>
  <c r="BK111" i="3" s="1"/>
  <c r="BK114" i="3" a="1"/>
  <c r="BK114" i="3" s="1"/>
  <c r="BK109" i="3" a="1"/>
  <c r="BK109" i="3" s="1"/>
  <c r="BK112" i="3" a="1"/>
  <c r="BK112" i="3" s="1"/>
  <c r="BK106" i="3" a="1"/>
  <c r="BK106" i="3" s="1"/>
  <c r="AN4" i="4"/>
  <c r="AN8" i="4"/>
  <c r="AN7" i="4"/>
  <c r="AN3" i="4"/>
  <c r="AN6" i="4"/>
  <c r="AO5" i="4"/>
  <c r="BK3" i="3"/>
  <c r="BK4" i="3"/>
  <c r="BK7" i="3"/>
  <c r="BL5" i="3"/>
  <c r="BK6" i="3"/>
  <c r="BK8" i="3"/>
  <c r="BL48" i="3" l="1"/>
  <c r="AP69" i="4" s="1"/>
  <c r="BL38" i="3"/>
  <c r="AP59" i="4" s="1"/>
  <c r="BM37" i="3"/>
  <c r="AQ58" i="4" s="1"/>
  <c r="BL56" i="3"/>
  <c r="AP72" i="4" s="1"/>
  <c r="AN110" i="4"/>
  <c r="AN116" i="4"/>
  <c r="BI65" i="3"/>
  <c r="BI102" i="3" s="1"/>
  <c r="AM103" i="4" s="1"/>
  <c r="BI23" i="3"/>
  <c r="BL49" i="3"/>
  <c r="BL36" i="3"/>
  <c r="AP57" i="4" s="1"/>
  <c r="BJ63" i="3"/>
  <c r="BL29" i="3"/>
  <c r="AP50" i="4" s="1"/>
  <c r="AO17" i="4" a="1"/>
  <c r="AO17" i="4" s="1"/>
  <c r="BL18" i="3"/>
  <c r="AP45" i="4" s="1"/>
  <c r="BL13" i="3"/>
  <c r="AP43" i="4" s="1"/>
  <c r="BL20" i="3"/>
  <c r="AP47" i="4" s="1"/>
  <c r="BK10" i="3"/>
  <c r="AO21" i="4" a="1"/>
  <c r="AO21" i="4" s="1"/>
  <c r="BL31" i="3"/>
  <c r="AP52" i="4" s="1"/>
  <c r="BL33" i="3"/>
  <c r="AO79" i="4"/>
  <c r="AO28" i="4"/>
  <c r="AO90" i="4"/>
  <c r="AO33" i="4"/>
  <c r="AL102" i="4"/>
  <c r="AL123" i="4" s="1"/>
  <c r="AL38" i="4"/>
  <c r="AL114" i="4" s="1"/>
  <c r="BL32" i="3"/>
  <c r="AP53" i="4" s="1"/>
  <c r="AO53" i="4"/>
  <c r="AO80" i="4"/>
  <c r="AO30" i="4"/>
  <c r="AO42" i="4"/>
  <c r="AO13" i="4" a="1"/>
  <c r="AO13" i="4" s="1"/>
  <c r="AO107" i="4" s="1"/>
  <c r="AQ73" i="4"/>
  <c r="AO97" i="4"/>
  <c r="AO35" i="4"/>
  <c r="AP66" i="4"/>
  <c r="AO111" i="4"/>
  <c r="AO74" i="4"/>
  <c r="AO120" i="4" s="1"/>
  <c r="BK53" i="3"/>
  <c r="AO71" i="4"/>
  <c r="AO119" i="4" s="1"/>
  <c r="AO22" i="4" a="1"/>
  <c r="AO22" i="4" s="1"/>
  <c r="AO84" i="4"/>
  <c r="AO31" i="4"/>
  <c r="BL35" i="3"/>
  <c r="BM35" i="3" s="1"/>
  <c r="AO56" i="4"/>
  <c r="AO20" i="4" a="1"/>
  <c r="AO20" i="4" s="1"/>
  <c r="BL28" i="3"/>
  <c r="AO49" i="4"/>
  <c r="AO18" i="4" a="1"/>
  <c r="AO18" i="4" s="1"/>
  <c r="AO44" i="4"/>
  <c r="AO15" i="4" a="1"/>
  <c r="AO15" i="4" s="1"/>
  <c r="AO108" i="4" s="1"/>
  <c r="AP60" i="4"/>
  <c r="BL43" i="3"/>
  <c r="AP64" i="4" s="1"/>
  <c r="AP42" i="4"/>
  <c r="AO93" i="4"/>
  <c r="AO36" i="4"/>
  <c r="AQ66" i="4"/>
  <c r="BJ22" i="3"/>
  <c r="BJ23" i="3" s="1"/>
  <c r="AO99" i="4"/>
  <c r="AO37" i="4"/>
  <c r="AQ48" i="4"/>
  <c r="BL30" i="3"/>
  <c r="AP51" i="4" s="1"/>
  <c r="BL46" i="3"/>
  <c r="AP67" i="4" s="1"/>
  <c r="AO91" i="4"/>
  <c r="AO34" i="4"/>
  <c r="AK29" i="4"/>
  <c r="AK112" i="4" s="1"/>
  <c r="AK78" i="4"/>
  <c r="AO19" i="4" a="1"/>
  <c r="AO19" i="4" s="1"/>
  <c r="BL42" i="3"/>
  <c r="AP63" i="4" s="1"/>
  <c r="BK58" i="3"/>
  <c r="AB71" i="3"/>
  <c r="BG68" i="3"/>
  <c r="Q71" i="3"/>
  <c r="BL34" i="3"/>
  <c r="AP55" i="4" s="1"/>
  <c r="AN108" i="4"/>
  <c r="BG115" i="3"/>
  <c r="AN117" i="4"/>
  <c r="BL61" i="3"/>
  <c r="AN111" i="4"/>
  <c r="AK123" i="4"/>
  <c r="AN109" i="4"/>
  <c r="BL40" i="3"/>
  <c r="BH107" i="3"/>
  <c r="AN118" i="4"/>
  <c r="AN113" i="4"/>
  <c r="BL55" i="3"/>
  <c r="AN122" i="4"/>
  <c r="AJ115" i="4"/>
  <c r="AJ112" i="4"/>
  <c r="BL19" i="3"/>
  <c r="AP46" i="4" s="1"/>
  <c r="BL87" i="3"/>
  <c r="BL73" i="3"/>
  <c r="BL81" i="3"/>
  <c r="AP88" i="4" s="1"/>
  <c r="BM39" i="3"/>
  <c r="BL94" i="3"/>
  <c r="AP98" i="4" s="1"/>
  <c r="BL82" i="3"/>
  <c r="AP89" i="4" s="1"/>
  <c r="BL93" i="3"/>
  <c r="BM38" i="3"/>
  <c r="AQ59" i="4" s="1"/>
  <c r="BL89" i="3"/>
  <c r="BL90" i="3"/>
  <c r="AP94" i="4" s="1"/>
  <c r="BL103" i="3"/>
  <c r="AP104" i="4" s="1"/>
  <c r="BL75" i="3"/>
  <c r="AP82" i="4" s="1"/>
  <c r="BL99" i="3"/>
  <c r="AP100" i="4" s="1"/>
  <c r="AJ124" i="4"/>
  <c r="AJ121" i="4"/>
  <c r="BN45" i="3"/>
  <c r="BL47" i="3"/>
  <c r="AP68" i="4" s="1"/>
  <c r="BL74" i="3"/>
  <c r="AP81" i="4" s="1"/>
  <c r="BN60" i="3"/>
  <c r="BL80" i="3"/>
  <c r="AP87" i="4" s="1"/>
  <c r="BL76" i="3"/>
  <c r="AP83" i="4" s="1"/>
  <c r="BH96" i="3"/>
  <c r="BL88" i="3"/>
  <c r="AP92" i="4" s="1"/>
  <c r="BL77" i="3"/>
  <c r="BL78" i="3"/>
  <c r="AP85" i="4" s="1"/>
  <c r="BK15" i="3"/>
  <c r="BL91" i="3"/>
  <c r="AP95" i="4" s="1"/>
  <c r="BM12" i="3"/>
  <c r="BK25" i="3"/>
  <c r="BH71" i="3"/>
  <c r="BL100" i="3"/>
  <c r="AP101" i="4" s="1"/>
  <c r="BI101" i="3"/>
  <c r="BL79" i="3"/>
  <c r="AP86" i="4" s="1"/>
  <c r="BL92" i="3"/>
  <c r="AP96" i="4" s="1"/>
  <c r="BK84" i="3"/>
  <c r="BL98" i="3"/>
  <c r="BL86" i="3"/>
  <c r="BL72" i="3"/>
  <c r="BL41" i="3"/>
  <c r="AP62" i="4" s="1"/>
  <c r="BN27" i="3"/>
  <c r="BM44" i="3"/>
  <c r="AQ65" i="4" s="1"/>
  <c r="BL17" i="3"/>
  <c r="BL113" i="3" a="1"/>
  <c r="BL113" i="3" s="1"/>
  <c r="BL111" i="3" a="1"/>
  <c r="BL111" i="3" s="1"/>
  <c r="BL114" i="3" a="1"/>
  <c r="BL114" i="3" s="1"/>
  <c r="BL112" i="3" a="1"/>
  <c r="BL112" i="3" s="1"/>
  <c r="BL116" i="3" a="1"/>
  <c r="BL116" i="3" s="1"/>
  <c r="BL109" i="3" a="1"/>
  <c r="BL109" i="3" s="1"/>
  <c r="BL108" i="3" a="1"/>
  <c r="BL108" i="3" s="1"/>
  <c r="BL110" i="3" a="1"/>
  <c r="BL110" i="3" s="1"/>
  <c r="BL106" i="3" a="1"/>
  <c r="BL106" i="3" s="1"/>
  <c r="AP5" i="4"/>
  <c r="AO4" i="4"/>
  <c r="AO3" i="4"/>
  <c r="AO8" i="4"/>
  <c r="AO7" i="4"/>
  <c r="AO6" i="4"/>
  <c r="BL4" i="3"/>
  <c r="BL7" i="3"/>
  <c r="BM5" i="3"/>
  <c r="BL8" i="3"/>
  <c r="BL3" i="3"/>
  <c r="BL6" i="3"/>
  <c r="BM48" i="3" l="1"/>
  <c r="AQ69" i="4" s="1"/>
  <c r="BN37" i="3"/>
  <c r="AR58" i="4" s="1"/>
  <c r="BM56" i="3"/>
  <c r="AQ72" i="4" s="1"/>
  <c r="BM18" i="3"/>
  <c r="AQ45" i="4" s="1"/>
  <c r="BM36" i="3"/>
  <c r="AQ57" i="4" s="1"/>
  <c r="AK124" i="4"/>
  <c r="AO116" i="4"/>
  <c r="BL10" i="3"/>
  <c r="BM13" i="3"/>
  <c r="AQ43" i="4" s="1"/>
  <c r="BM20" i="3"/>
  <c r="AQ47" i="4" s="1"/>
  <c r="BK22" i="3"/>
  <c r="BK23" i="3" s="1"/>
  <c r="BM29" i="3"/>
  <c r="AQ50" i="4" s="1"/>
  <c r="AP17" i="4" a="1"/>
  <c r="AP17" i="4" s="1"/>
  <c r="AP70" i="4"/>
  <c r="BM49" i="3"/>
  <c r="AP13" i="4" a="1"/>
  <c r="AP13" i="4" s="1"/>
  <c r="AP107" i="4" s="1"/>
  <c r="BM31" i="3"/>
  <c r="AQ52" i="4" s="1"/>
  <c r="AP116" i="4"/>
  <c r="BM46" i="3"/>
  <c r="AQ67" i="4" s="1"/>
  <c r="AK115" i="4"/>
  <c r="BK63" i="3"/>
  <c r="AK121" i="4"/>
  <c r="BM32" i="3"/>
  <c r="AQ53" i="4" s="1"/>
  <c r="BM43" i="3"/>
  <c r="AQ64" i="4" s="1"/>
  <c r="BM30" i="3"/>
  <c r="AQ51" i="4" s="1"/>
  <c r="AO109" i="4"/>
  <c r="BM42" i="3"/>
  <c r="AQ63" i="4" s="1"/>
  <c r="AP54" i="4"/>
  <c r="BM33" i="3"/>
  <c r="AQ60" i="4"/>
  <c r="AQ56" i="4"/>
  <c r="AP49" i="4"/>
  <c r="AP18" i="4" a="1"/>
  <c r="AP18" i="4" s="1"/>
  <c r="BM28" i="3"/>
  <c r="BM40" i="3"/>
  <c r="AQ61" i="4" s="1"/>
  <c r="AP61" i="4"/>
  <c r="AP44" i="4"/>
  <c r="AP15" i="4" a="1"/>
  <c r="AP15" i="4" s="1"/>
  <c r="AP108" i="4" s="1"/>
  <c r="AR66" i="4"/>
  <c r="AM102" i="4"/>
  <c r="AM38" i="4"/>
  <c r="AP84" i="4"/>
  <c r="AP31" i="4"/>
  <c r="AP80" i="4"/>
  <c r="AP30" i="4"/>
  <c r="AP56" i="4"/>
  <c r="AP20" i="4" a="1"/>
  <c r="AP20" i="4" s="1"/>
  <c r="AR48" i="4"/>
  <c r="AP91" i="4"/>
  <c r="AP34" i="4"/>
  <c r="BL58" i="3"/>
  <c r="AP74" i="4"/>
  <c r="AP120" i="4" s="1"/>
  <c r="AP25" i="4" a="1"/>
  <c r="AP25" i="4" s="1"/>
  <c r="BJ51" i="3"/>
  <c r="BJ65" i="3" s="1"/>
  <c r="BJ102" i="3" s="1"/>
  <c r="AN103" i="4" s="1"/>
  <c r="AQ42" i="4"/>
  <c r="BH115" i="3"/>
  <c r="AL29" i="4"/>
  <c r="AL78" i="4"/>
  <c r="AP93" i="4"/>
  <c r="AP36" i="4"/>
  <c r="AP90" i="4"/>
  <c r="AP33" i="4"/>
  <c r="BO60" i="3"/>
  <c r="BP60" i="3" s="1"/>
  <c r="AR73" i="4"/>
  <c r="AP71" i="4"/>
  <c r="AP119" i="4" s="1"/>
  <c r="AP22" i="4" a="1"/>
  <c r="AP22" i="4" s="1"/>
  <c r="AP19" i="4" a="1"/>
  <c r="AP19" i="4" s="1"/>
  <c r="AP79" i="4"/>
  <c r="AP28" i="4"/>
  <c r="AP21" i="4" a="1"/>
  <c r="AP21" i="4" s="1"/>
  <c r="AP99" i="4"/>
  <c r="AP37" i="4"/>
  <c r="AP97" i="4"/>
  <c r="AP35" i="4"/>
  <c r="BM61" i="3"/>
  <c r="BN61" i="3" s="1"/>
  <c r="AR25" i="4" s="1" a="1"/>
  <c r="AR25" i="4" s="1"/>
  <c r="BO45" i="3"/>
  <c r="AO110" i="4"/>
  <c r="BM34" i="3"/>
  <c r="BM55" i="3"/>
  <c r="BL53" i="3"/>
  <c r="AO118" i="4"/>
  <c r="AO117" i="4"/>
  <c r="BH68" i="3"/>
  <c r="AO113" i="4"/>
  <c r="AO122" i="4"/>
  <c r="BN44" i="3"/>
  <c r="AR65" i="4" s="1"/>
  <c r="BJ101" i="3"/>
  <c r="BM74" i="3"/>
  <c r="AQ81" i="4" s="1"/>
  <c r="BN38" i="3"/>
  <c r="AR59" i="4" s="1"/>
  <c r="BM81" i="3"/>
  <c r="AQ88" i="4" s="1"/>
  <c r="BM91" i="3"/>
  <c r="AQ95" i="4" s="1"/>
  <c r="BM88" i="3"/>
  <c r="AQ92" i="4" s="1"/>
  <c r="BM47" i="3"/>
  <c r="BM75" i="3"/>
  <c r="AQ82" i="4" s="1"/>
  <c r="BM73" i="3"/>
  <c r="BM93" i="3"/>
  <c r="BI107" i="3"/>
  <c r="BM82" i="3"/>
  <c r="AQ89" i="4" s="1"/>
  <c r="BM87" i="3"/>
  <c r="BM103" i="3"/>
  <c r="AQ104" i="4" s="1"/>
  <c r="BM78" i="3"/>
  <c r="AQ85" i="4" s="1"/>
  <c r="BM76" i="3"/>
  <c r="AQ83" i="4" s="1"/>
  <c r="BM94" i="3"/>
  <c r="AQ98" i="4" s="1"/>
  <c r="BM100" i="3"/>
  <c r="AQ101" i="4" s="1"/>
  <c r="BM90" i="3"/>
  <c r="AQ94" i="4" s="1"/>
  <c r="BN39" i="3"/>
  <c r="BL25" i="3"/>
  <c r="BM80" i="3"/>
  <c r="AQ87" i="4" s="1"/>
  <c r="BL15" i="3"/>
  <c r="BM92" i="3"/>
  <c r="AQ96" i="4" s="1"/>
  <c r="BM89" i="3"/>
  <c r="BN35" i="3"/>
  <c r="BM19" i="3"/>
  <c r="AQ46" i="4" s="1"/>
  <c r="BM99" i="3"/>
  <c r="AQ100" i="4" s="1"/>
  <c r="BI71" i="3"/>
  <c r="BM79" i="3"/>
  <c r="AQ86" i="4" s="1"/>
  <c r="BM77" i="3"/>
  <c r="BO27" i="3"/>
  <c r="BI96" i="3"/>
  <c r="BN12" i="3"/>
  <c r="BL84" i="3"/>
  <c r="BM98" i="3"/>
  <c r="BM86" i="3"/>
  <c r="BM72" i="3"/>
  <c r="BM41" i="3"/>
  <c r="AQ62" i="4" s="1"/>
  <c r="BM17" i="3"/>
  <c r="BM113" i="3" a="1"/>
  <c r="BM113" i="3" s="1"/>
  <c r="BM108" i="3" a="1"/>
  <c r="BM108" i="3" s="1"/>
  <c r="BM114" i="3" a="1"/>
  <c r="BM114" i="3" s="1"/>
  <c r="BM109" i="3" a="1"/>
  <c r="BM109" i="3" s="1"/>
  <c r="BM116" i="3" a="1"/>
  <c r="BM116" i="3" s="1"/>
  <c r="BM106" i="3" a="1"/>
  <c r="BM106" i="3" s="1"/>
  <c r="BM112" i="3" a="1"/>
  <c r="BM112" i="3" s="1"/>
  <c r="BM110" i="3" a="1"/>
  <c r="BM110" i="3" s="1"/>
  <c r="BM111" i="3" a="1"/>
  <c r="BM111" i="3" s="1"/>
  <c r="BM8" i="3"/>
  <c r="BM4" i="3"/>
  <c r="BM7" i="3"/>
  <c r="BM6" i="3"/>
  <c r="BM3" i="3"/>
  <c r="BN5" i="3"/>
  <c r="AP6" i="4"/>
  <c r="AQ5" i="4"/>
  <c r="AP4" i="4"/>
  <c r="AP3" i="4"/>
  <c r="AP8" i="4"/>
  <c r="AP7" i="4"/>
  <c r="BN48" i="3" l="1"/>
  <c r="AR69" i="4" s="1"/>
  <c r="BN56" i="3"/>
  <c r="AR72" i="4" s="1"/>
  <c r="BN18" i="3"/>
  <c r="AR45" i="4" s="1"/>
  <c r="AQ17" i="4" a="1"/>
  <c r="AQ17" i="4" s="1"/>
  <c r="BN20" i="3"/>
  <c r="AR47" i="4" s="1"/>
  <c r="BO37" i="3"/>
  <c r="AS58" i="4" s="1"/>
  <c r="AQ20" i="4" a="1"/>
  <c r="AQ20" i="4" s="1"/>
  <c r="BK51" i="3"/>
  <c r="BK65" i="3" s="1"/>
  <c r="BK102" i="3" s="1"/>
  <c r="AO103" i="4" s="1"/>
  <c r="AQ13" i="4" a="1"/>
  <c r="AQ13" i="4" s="1"/>
  <c r="AQ107" i="4" s="1"/>
  <c r="BM10" i="3"/>
  <c r="BL22" i="3"/>
  <c r="BL51" i="3" s="1"/>
  <c r="BN13" i="3"/>
  <c r="AR43" i="4" s="1"/>
  <c r="BN36" i="3"/>
  <c r="AR20" i="4" s="1" a="1"/>
  <c r="AR20" i="4" s="1"/>
  <c r="AP110" i="4"/>
  <c r="AP111" i="4"/>
  <c r="BN29" i="3"/>
  <c r="AR50" i="4" s="1"/>
  <c r="BN32" i="3"/>
  <c r="AR53" i="4" s="1"/>
  <c r="BN31" i="3"/>
  <c r="AR52" i="4" s="1"/>
  <c r="AQ21" i="4" a="1"/>
  <c r="AQ21" i="4" s="1"/>
  <c r="BN46" i="3"/>
  <c r="AR67" i="4" s="1"/>
  <c r="AQ70" i="4"/>
  <c r="BN49" i="3"/>
  <c r="BN30" i="3"/>
  <c r="AR51" i="4" s="1"/>
  <c r="BN43" i="3"/>
  <c r="AR64" i="4" s="1"/>
  <c r="BM58" i="3"/>
  <c r="BN42" i="3"/>
  <c r="AR63" i="4" s="1"/>
  <c r="AP109" i="4"/>
  <c r="BN40" i="3"/>
  <c r="AR61" i="4" s="1"/>
  <c r="AQ54" i="4"/>
  <c r="BN33" i="3"/>
  <c r="AR42" i="4"/>
  <c r="AS66" i="4"/>
  <c r="AN102" i="4"/>
  <c r="AN123" i="4" s="1"/>
  <c r="AN38" i="4"/>
  <c r="AS73" i="4"/>
  <c r="AQ97" i="4"/>
  <c r="AQ35" i="4"/>
  <c r="AQ74" i="4"/>
  <c r="AQ120" i="4" s="1"/>
  <c r="AQ25" i="4" a="1"/>
  <c r="AQ25" i="4" s="1"/>
  <c r="AQ111" i="4" s="1"/>
  <c r="AQ44" i="4"/>
  <c r="AQ15" i="4" a="1"/>
  <c r="AQ15" i="4" s="1"/>
  <c r="BO61" i="3"/>
  <c r="AS74" i="4" s="1"/>
  <c r="AR74" i="4"/>
  <c r="AR120" i="4" s="1"/>
  <c r="AR60" i="4"/>
  <c r="AQ49" i="4"/>
  <c r="AQ18" i="4" a="1"/>
  <c r="AQ18" i="4" s="1"/>
  <c r="BN28" i="3"/>
  <c r="BN55" i="3"/>
  <c r="BO55" i="3" s="1"/>
  <c r="AQ71" i="4"/>
  <c r="AQ119" i="4" s="1"/>
  <c r="AQ22" i="4" a="1"/>
  <c r="AQ22" i="4" s="1"/>
  <c r="AQ110" i="4" s="1"/>
  <c r="AQ91" i="4"/>
  <c r="AQ34" i="4"/>
  <c r="AQ79" i="4"/>
  <c r="AQ28" i="4"/>
  <c r="AQ93" i="4"/>
  <c r="AQ36" i="4"/>
  <c r="BN34" i="3"/>
  <c r="AR55" i="4" s="1"/>
  <c r="AQ55" i="4"/>
  <c r="BI68" i="3"/>
  <c r="AM29" i="4"/>
  <c r="AM78" i="4"/>
  <c r="AS48" i="4"/>
  <c r="AT73" i="4"/>
  <c r="AQ84" i="4"/>
  <c r="AQ31" i="4"/>
  <c r="BN47" i="3"/>
  <c r="AR68" i="4" s="1"/>
  <c r="AQ68" i="4"/>
  <c r="AQ99" i="4"/>
  <c r="AQ37" i="4"/>
  <c r="AQ19" i="4" a="1"/>
  <c r="AQ19" i="4" s="1"/>
  <c r="AQ80" i="4"/>
  <c r="AQ30" i="4"/>
  <c r="AQ90" i="4"/>
  <c r="AQ33" i="4"/>
  <c r="BL63" i="3"/>
  <c r="AR56" i="4"/>
  <c r="BP45" i="3"/>
  <c r="BO44" i="3"/>
  <c r="AS65" i="4" s="1"/>
  <c r="BP27" i="3"/>
  <c r="BO39" i="3"/>
  <c r="BM53" i="3"/>
  <c r="BO35" i="3"/>
  <c r="AM123" i="4"/>
  <c r="AM114" i="4"/>
  <c r="AP118" i="4"/>
  <c r="AQ116" i="4"/>
  <c r="AP122" i="4"/>
  <c r="AP113" i="4"/>
  <c r="AP117" i="4"/>
  <c r="BI115" i="3"/>
  <c r="BN87" i="3"/>
  <c r="BM84" i="3"/>
  <c r="BJ107" i="3"/>
  <c r="BQ60" i="3"/>
  <c r="BJ71" i="3"/>
  <c r="AL124" i="4"/>
  <c r="AL121" i="4"/>
  <c r="BN92" i="3"/>
  <c r="AR96" i="4" s="1"/>
  <c r="BN91" i="3"/>
  <c r="AR95" i="4" s="1"/>
  <c r="BN94" i="3"/>
  <c r="AR98" i="4" s="1"/>
  <c r="BN88" i="3"/>
  <c r="AR92" i="4" s="1"/>
  <c r="BN75" i="3"/>
  <c r="AR82" i="4" s="1"/>
  <c r="BO12" i="3"/>
  <c r="BN78" i="3"/>
  <c r="AR85" i="4" s="1"/>
  <c r="BO48" i="3"/>
  <c r="AS69" i="4" s="1"/>
  <c r="BN99" i="3"/>
  <c r="AR100" i="4" s="1"/>
  <c r="BN19" i="3"/>
  <c r="AR46" i="4" s="1"/>
  <c r="BN81" i="3"/>
  <c r="AR88" i="4" s="1"/>
  <c r="BO38" i="3"/>
  <c r="AS59" i="4" s="1"/>
  <c r="BN77" i="3"/>
  <c r="BN90" i="3"/>
  <c r="AR94" i="4" s="1"/>
  <c r="BN100" i="3"/>
  <c r="AR101" i="4" s="1"/>
  <c r="BN103" i="3"/>
  <c r="AR104" i="4" s="1"/>
  <c r="BN74" i="3"/>
  <c r="AR81" i="4" s="1"/>
  <c r="BN73" i="3"/>
  <c r="AL115" i="4"/>
  <c r="AL112" i="4"/>
  <c r="BK101" i="3"/>
  <c r="BN82" i="3"/>
  <c r="AR89" i="4" s="1"/>
  <c r="BJ96" i="3"/>
  <c r="BN76" i="3"/>
  <c r="AR83" i="4" s="1"/>
  <c r="BN79" i="3"/>
  <c r="AR86" i="4" s="1"/>
  <c r="BN89" i="3"/>
  <c r="BN80" i="3"/>
  <c r="AR87" i="4" s="1"/>
  <c r="BN93" i="3"/>
  <c r="BN98" i="3"/>
  <c r="AD86" i="3"/>
  <c r="BN86" i="3"/>
  <c r="BN72" i="3"/>
  <c r="BN41" i="3"/>
  <c r="AR62" i="4" s="1"/>
  <c r="BM25" i="3"/>
  <c r="BN17" i="3"/>
  <c r="BM15" i="3"/>
  <c r="BN111" i="3" a="1"/>
  <c r="BN111" i="3" s="1"/>
  <c r="BN114" i="3" a="1"/>
  <c r="BN114" i="3" s="1"/>
  <c r="BN109" i="3" a="1"/>
  <c r="BN109" i="3" s="1"/>
  <c r="BN112" i="3" a="1"/>
  <c r="BN112" i="3" s="1"/>
  <c r="BN116" i="3" a="1"/>
  <c r="BN116" i="3" s="1"/>
  <c r="BN110" i="3" a="1"/>
  <c r="BN110" i="3" s="1"/>
  <c r="BN113" i="3" a="1"/>
  <c r="BN113" i="3" s="1"/>
  <c r="BN108" i="3" a="1"/>
  <c r="BN108" i="3" s="1"/>
  <c r="BN106" i="3" a="1"/>
  <c r="BN106" i="3" s="1"/>
  <c r="BO5" i="3"/>
  <c r="BN6" i="3"/>
  <c r="BN3" i="3"/>
  <c r="BN7" i="3"/>
  <c r="BN58" i="3"/>
  <c r="BN4" i="3"/>
  <c r="BN8" i="3"/>
  <c r="AQ6" i="4"/>
  <c r="AR5" i="4"/>
  <c r="AQ3" i="4"/>
  <c r="AQ8" i="4"/>
  <c r="AQ4" i="4"/>
  <c r="AQ7" i="4"/>
  <c r="BO56" i="3" l="1"/>
  <c r="AS72" i="4" s="1"/>
  <c r="BO18" i="3"/>
  <c r="AS45" i="4" s="1"/>
  <c r="BL23" i="3"/>
  <c r="BO20" i="3"/>
  <c r="AS47" i="4" s="1"/>
  <c r="BM22" i="3"/>
  <c r="BM51" i="3" s="1"/>
  <c r="BP37" i="3"/>
  <c r="AT58" i="4" s="1"/>
  <c r="AR13" i="4" a="1"/>
  <c r="AR13" i="4" s="1"/>
  <c r="AR107" i="4" s="1"/>
  <c r="BM63" i="3"/>
  <c r="BN10" i="3"/>
  <c r="BO13" i="3"/>
  <c r="AS43" i="4" s="1"/>
  <c r="BO32" i="3"/>
  <c r="AS53" i="4" s="1"/>
  <c r="BO46" i="3"/>
  <c r="AS67" i="4" s="1"/>
  <c r="AR17" i="4" a="1"/>
  <c r="AR17" i="4" s="1"/>
  <c r="AR57" i="4"/>
  <c r="BO36" i="3"/>
  <c r="AS20" i="4" s="1" a="1"/>
  <c r="AS20" i="4" s="1"/>
  <c r="BO29" i="3"/>
  <c r="AS50" i="4" s="1"/>
  <c r="BO31" i="3"/>
  <c r="AS52" i="4" s="1"/>
  <c r="BO42" i="3"/>
  <c r="AS63" i="4" s="1"/>
  <c r="AR70" i="4"/>
  <c r="BO49" i="3"/>
  <c r="AS120" i="4"/>
  <c r="BO43" i="3"/>
  <c r="AS64" i="4" s="1"/>
  <c r="BO40" i="3"/>
  <c r="AS61" i="4" s="1"/>
  <c r="BO30" i="3"/>
  <c r="AS51" i="4" s="1"/>
  <c r="AS25" i="4" a="1"/>
  <c r="AS25" i="4" s="1"/>
  <c r="BO34" i="3"/>
  <c r="BP61" i="3"/>
  <c r="AT74" i="4" s="1"/>
  <c r="AT120" i="4" s="1"/>
  <c r="BL65" i="3"/>
  <c r="BL102" i="3" s="1"/>
  <c r="AP103" i="4" s="1"/>
  <c r="BP44" i="3"/>
  <c r="AT65" i="4" s="1"/>
  <c r="AR54" i="4"/>
  <c r="BO33" i="3"/>
  <c r="BN53" i="3"/>
  <c r="BN63" i="3" s="1"/>
  <c r="AT48" i="4"/>
  <c r="AS42" i="4"/>
  <c r="AR93" i="4"/>
  <c r="AR36" i="4"/>
  <c r="BO47" i="3"/>
  <c r="AS68" i="4" s="1"/>
  <c r="AT66" i="4"/>
  <c r="AR91" i="4"/>
  <c r="AR34" i="4"/>
  <c r="BP55" i="3"/>
  <c r="BQ55" i="3" s="1"/>
  <c r="AS71" i="4"/>
  <c r="AR71" i="4"/>
  <c r="AR119" i="4" s="1"/>
  <c r="AR22" i="4" a="1"/>
  <c r="AR22" i="4" s="1"/>
  <c r="AR110" i="4" s="1"/>
  <c r="AR49" i="4"/>
  <c r="AR18" i="4" a="1"/>
  <c r="AR18" i="4" s="1"/>
  <c r="BO28" i="3"/>
  <c r="BP28" i="3" s="1"/>
  <c r="BQ28" i="3" s="1"/>
  <c r="AR44" i="4"/>
  <c r="AR117" i="4" s="1"/>
  <c r="AR15" i="4" a="1"/>
  <c r="AR15" i="4" s="1"/>
  <c r="AR108" i="4" s="1"/>
  <c r="AC71" i="3"/>
  <c r="AN29" i="4"/>
  <c r="AN78" i="4"/>
  <c r="AR19" i="4" a="1"/>
  <c r="AR19" i="4" s="1"/>
  <c r="AS60" i="4"/>
  <c r="AR84" i="4"/>
  <c r="AR31" i="4"/>
  <c r="BP39" i="3"/>
  <c r="BQ39" i="3" s="1"/>
  <c r="AR90" i="4"/>
  <c r="AR33" i="4"/>
  <c r="AR80" i="4"/>
  <c r="AR30" i="4"/>
  <c r="AS56" i="4"/>
  <c r="AR21" i="4" a="1"/>
  <c r="AR21" i="4" s="1"/>
  <c r="BQ45" i="3"/>
  <c r="BR45" i="3" s="1"/>
  <c r="AU73" i="4"/>
  <c r="AR79" i="4"/>
  <c r="AR28" i="4"/>
  <c r="AO102" i="4"/>
  <c r="AO38" i="4"/>
  <c r="AO114" i="4" s="1"/>
  <c r="BQ27" i="3"/>
  <c r="BR27" i="3" s="1"/>
  <c r="AR99" i="4"/>
  <c r="AR37" i="4"/>
  <c r="AR97" i="4"/>
  <c r="AR35" i="4"/>
  <c r="AQ109" i="4"/>
  <c r="BP35" i="3"/>
  <c r="BQ35" i="3" s="1"/>
  <c r="AQ118" i="4"/>
  <c r="AN114" i="4"/>
  <c r="AR111" i="4"/>
  <c r="AQ108" i="4"/>
  <c r="AR116" i="4"/>
  <c r="AQ117" i="4"/>
  <c r="AQ122" i="4"/>
  <c r="AQ113" i="4"/>
  <c r="BJ68" i="3"/>
  <c r="BO19" i="3"/>
  <c r="AS46" i="4" s="1"/>
  <c r="BJ115" i="3"/>
  <c r="BO80" i="3"/>
  <c r="AS87" i="4" s="1"/>
  <c r="BP48" i="3"/>
  <c r="AT69" i="4" s="1"/>
  <c r="BO76" i="3"/>
  <c r="AS83" i="4" s="1"/>
  <c r="BK107" i="3"/>
  <c r="BO78" i="3"/>
  <c r="AS85" i="4" s="1"/>
  <c r="BO73" i="3"/>
  <c r="BO82" i="3"/>
  <c r="AS89" i="4" s="1"/>
  <c r="BO94" i="3"/>
  <c r="AS98" i="4" s="1"/>
  <c r="BO87" i="3"/>
  <c r="BO81" i="3"/>
  <c r="AS88" i="4" s="1"/>
  <c r="AM124" i="4"/>
  <c r="AM121" i="4"/>
  <c r="BO90" i="3"/>
  <c r="AS94" i="4" s="1"/>
  <c r="BP12" i="3"/>
  <c r="BO91" i="3"/>
  <c r="AS95" i="4" s="1"/>
  <c r="BO89" i="3"/>
  <c r="AM115" i="4"/>
  <c r="AM112" i="4"/>
  <c r="BO74" i="3"/>
  <c r="AS81" i="4" s="1"/>
  <c r="BN15" i="3"/>
  <c r="BK71" i="3"/>
  <c r="BO93" i="3"/>
  <c r="BO79" i="3"/>
  <c r="AS86" i="4" s="1"/>
  <c r="BR60" i="3"/>
  <c r="BO103" i="3"/>
  <c r="AS104" i="4" s="1"/>
  <c r="BO77" i="3"/>
  <c r="BO92" i="3"/>
  <c r="AS96" i="4" s="1"/>
  <c r="BK96" i="3"/>
  <c r="BO75" i="3"/>
  <c r="AS82" i="4" s="1"/>
  <c r="BO100" i="3"/>
  <c r="AS101" i="4" s="1"/>
  <c r="BL101" i="3"/>
  <c r="BP38" i="3"/>
  <c r="AT59" i="4" s="1"/>
  <c r="BO99" i="3"/>
  <c r="AS100" i="4" s="1"/>
  <c r="BO88" i="3"/>
  <c r="AS92" i="4" s="1"/>
  <c r="BN84" i="3"/>
  <c r="BO98" i="3"/>
  <c r="BN25" i="3"/>
  <c r="BO17" i="3"/>
  <c r="BO86" i="3"/>
  <c r="BO72" i="3"/>
  <c r="BO41" i="3"/>
  <c r="AS62" i="4" s="1"/>
  <c r="BO114" i="3" a="1"/>
  <c r="BO114" i="3" s="1"/>
  <c r="BO112" i="3" a="1"/>
  <c r="BO112" i="3" s="1"/>
  <c r="BO116" i="3" a="1"/>
  <c r="BO116" i="3" s="1"/>
  <c r="BO106" i="3" a="1"/>
  <c r="BO106" i="3" s="1"/>
  <c r="BO113" i="3" a="1"/>
  <c r="BO113" i="3" s="1"/>
  <c r="BO108" i="3" a="1"/>
  <c r="BO108" i="3" s="1"/>
  <c r="BO110" i="3" a="1"/>
  <c r="BO110" i="3" s="1"/>
  <c r="BO109" i="3" a="1"/>
  <c r="BO109" i="3" s="1"/>
  <c r="BO111" i="3" a="1"/>
  <c r="BO111" i="3" s="1"/>
  <c r="AS5" i="4"/>
  <c r="AR4" i="4"/>
  <c r="AR3" i="4"/>
  <c r="AR8" i="4"/>
  <c r="AR7" i="4"/>
  <c r="AR6" i="4"/>
  <c r="BO6" i="3"/>
  <c r="BO4" i="3"/>
  <c r="BP5" i="3"/>
  <c r="BO53" i="3"/>
  <c r="BO7" i="3"/>
  <c r="BO3" i="3"/>
  <c r="BO8" i="3"/>
  <c r="BO58" i="3"/>
  <c r="BP56" i="3" l="1"/>
  <c r="AT72" i="4" s="1"/>
  <c r="AS22" i="4" a="1"/>
  <c r="AS22" i="4" s="1"/>
  <c r="AS110" i="4" s="1"/>
  <c r="AS119" i="4"/>
  <c r="BM23" i="3"/>
  <c r="BP18" i="3"/>
  <c r="AT45" i="4" s="1"/>
  <c r="BM65" i="3"/>
  <c r="BP20" i="3"/>
  <c r="AT47" i="4" s="1"/>
  <c r="BP46" i="3"/>
  <c r="AT67" i="4" s="1"/>
  <c r="BO10" i="3"/>
  <c r="BP13" i="3"/>
  <c r="AT43" i="4" s="1"/>
  <c r="BQ37" i="3"/>
  <c r="AU58" i="4" s="1"/>
  <c r="BN22" i="3"/>
  <c r="BN51" i="3" s="1"/>
  <c r="BN65" i="3" s="1"/>
  <c r="AS13" i="4" a="1"/>
  <c r="AS13" i="4" s="1"/>
  <c r="AS107" i="4" s="1"/>
  <c r="BP32" i="3"/>
  <c r="AT53" i="4" s="1"/>
  <c r="BP31" i="3"/>
  <c r="BQ31" i="3" s="1"/>
  <c r="AU52" i="4" s="1"/>
  <c r="BP43" i="3"/>
  <c r="AT64" i="4" s="1"/>
  <c r="BP29" i="3"/>
  <c r="AT50" i="4" s="1"/>
  <c r="AS17" i="4" a="1"/>
  <c r="AS17" i="4" s="1"/>
  <c r="BP42" i="3"/>
  <c r="AS57" i="4"/>
  <c r="BP36" i="3"/>
  <c r="AT20" i="4" s="1" a="1"/>
  <c r="AT20" i="4" s="1"/>
  <c r="AS111" i="4"/>
  <c r="BP40" i="3"/>
  <c r="AT61" i="4" s="1"/>
  <c r="BQ61" i="3"/>
  <c r="AU25" i="4" s="1" a="1"/>
  <c r="AU25" i="4" s="1"/>
  <c r="AU111" i="4" s="1"/>
  <c r="AR118" i="4"/>
  <c r="BP30" i="3"/>
  <c r="BQ44" i="3"/>
  <c r="AU65" i="4" s="1"/>
  <c r="AS70" i="4"/>
  <c r="BP49" i="3"/>
  <c r="AT25" i="4" a="1"/>
  <c r="AT25" i="4" s="1"/>
  <c r="AS55" i="4"/>
  <c r="BP34" i="3"/>
  <c r="BP47" i="3"/>
  <c r="AT68" i="4" s="1"/>
  <c r="AR109" i="4"/>
  <c r="AS21" i="4" a="1"/>
  <c r="AS21" i="4" s="1"/>
  <c r="AS54" i="4"/>
  <c r="BP33" i="3"/>
  <c r="AU49" i="4"/>
  <c r="AT56" i="4"/>
  <c r="AP102" i="4"/>
  <c r="AP123" i="4" s="1"/>
  <c r="AP38" i="4"/>
  <c r="BK68" i="3"/>
  <c r="AO29" i="4"/>
  <c r="AO78" i="4"/>
  <c r="AT71" i="4"/>
  <c r="AT119" i="4" s="1"/>
  <c r="AU66" i="4"/>
  <c r="AS19" i="4" a="1"/>
  <c r="AS19" i="4" s="1"/>
  <c r="AV66" i="4"/>
  <c r="AS91" i="4"/>
  <c r="AS34" i="4"/>
  <c r="AT49" i="4"/>
  <c r="AU60" i="4"/>
  <c r="BR28" i="3"/>
  <c r="BS28" i="3" s="1"/>
  <c r="BR55" i="3"/>
  <c r="AU71" i="4"/>
  <c r="AS90" i="4"/>
  <c r="AS33" i="4"/>
  <c r="AS97" i="4"/>
  <c r="AS35" i="4"/>
  <c r="AS79" i="4"/>
  <c r="AS28" i="4"/>
  <c r="AS99" i="4"/>
  <c r="AS37" i="4"/>
  <c r="AU56" i="4"/>
  <c r="AU48" i="4"/>
  <c r="BQ12" i="3"/>
  <c r="BR12" i="3" s="1"/>
  <c r="AT42" i="4"/>
  <c r="AS49" i="4"/>
  <c r="AS18" i="4" a="1"/>
  <c r="AS18" i="4" s="1"/>
  <c r="AV73" i="4"/>
  <c r="AS84" i="4"/>
  <c r="AS31" i="4"/>
  <c r="AT60" i="4"/>
  <c r="AS80" i="4"/>
  <c r="AS30" i="4"/>
  <c r="BS27" i="3"/>
  <c r="AV48" i="4"/>
  <c r="AS44" i="4"/>
  <c r="AS117" i="4" s="1"/>
  <c r="AS15" i="4" a="1"/>
  <c r="AS15" i="4" s="1"/>
  <c r="AS93" i="4"/>
  <c r="AS36" i="4"/>
  <c r="BR39" i="3"/>
  <c r="BS45" i="3"/>
  <c r="BO15" i="3"/>
  <c r="BL107" i="3"/>
  <c r="AS116" i="4"/>
  <c r="AO123" i="4"/>
  <c r="BK115" i="3"/>
  <c r="BL71" i="3"/>
  <c r="BP19" i="3"/>
  <c r="AT46" i="4" s="1"/>
  <c r="AR113" i="4"/>
  <c r="BL96" i="3"/>
  <c r="BM101" i="3"/>
  <c r="AR122" i="4"/>
  <c r="BP89" i="3"/>
  <c r="BP103" i="3"/>
  <c r="AT104" i="4" s="1"/>
  <c r="BP76" i="3"/>
  <c r="AT83" i="4" s="1"/>
  <c r="BP99" i="3"/>
  <c r="AT100" i="4" s="1"/>
  <c r="BP91" i="3"/>
  <c r="AT95" i="4" s="1"/>
  <c r="BP100" i="3"/>
  <c r="AT101" i="4" s="1"/>
  <c r="BP78" i="3"/>
  <c r="AT85" i="4" s="1"/>
  <c r="BP77" i="3"/>
  <c r="BQ48" i="3"/>
  <c r="AU69" i="4" s="1"/>
  <c r="BP87" i="3"/>
  <c r="BP94" i="3"/>
  <c r="AT98" i="4" s="1"/>
  <c r="BP73" i="3"/>
  <c r="BP75" i="3"/>
  <c r="AT82" i="4" s="1"/>
  <c r="BR35" i="3"/>
  <c r="BS60" i="3"/>
  <c r="BP90" i="3"/>
  <c r="AT94" i="4" s="1"/>
  <c r="BP93" i="3"/>
  <c r="AN124" i="4"/>
  <c r="AN121" i="4"/>
  <c r="BP80" i="3"/>
  <c r="AT87" i="4" s="1"/>
  <c r="BP82" i="3"/>
  <c r="AT89" i="4" s="1"/>
  <c r="AN115" i="4"/>
  <c r="AN112" i="4"/>
  <c r="BQ38" i="3"/>
  <c r="AU59" i="4" s="1"/>
  <c r="BP92" i="3"/>
  <c r="AT96" i="4" s="1"/>
  <c r="BP79" i="3"/>
  <c r="AT86" i="4" s="1"/>
  <c r="BP74" i="3"/>
  <c r="AT81" i="4" s="1"/>
  <c r="BP88" i="3"/>
  <c r="AT92" i="4" s="1"/>
  <c r="BP81" i="3"/>
  <c r="AT88" i="4" s="1"/>
  <c r="BM102" i="3"/>
  <c r="AQ103" i="4" s="1"/>
  <c r="BO84" i="3"/>
  <c r="BP17" i="3"/>
  <c r="BP98" i="3"/>
  <c r="BP86" i="3"/>
  <c r="BP72" i="3"/>
  <c r="BP41" i="3"/>
  <c r="AT62" i="4" s="1"/>
  <c r="BO25" i="3"/>
  <c r="BP114" i="3" a="1"/>
  <c r="BP114" i="3" s="1"/>
  <c r="BP109" i="3" a="1"/>
  <c r="BP109" i="3" s="1"/>
  <c r="BP112" i="3" a="1"/>
  <c r="BP112" i="3" s="1"/>
  <c r="BP116" i="3" a="1"/>
  <c r="BP116" i="3" s="1"/>
  <c r="BP106" i="3" a="1"/>
  <c r="BP106" i="3" s="1"/>
  <c r="BP110" i="3" a="1"/>
  <c r="BP110" i="3" s="1"/>
  <c r="BP113" i="3" a="1"/>
  <c r="BP113" i="3" s="1"/>
  <c r="BP108" i="3" a="1"/>
  <c r="BP108" i="3" s="1"/>
  <c r="BP111" i="3" a="1"/>
  <c r="BP111" i="3" s="1"/>
  <c r="BP8" i="3"/>
  <c r="BP3" i="3"/>
  <c r="BP4" i="3"/>
  <c r="BP7" i="3"/>
  <c r="BP53" i="3"/>
  <c r="BP58" i="3"/>
  <c r="BQ5" i="3"/>
  <c r="BP6" i="3"/>
  <c r="BO63" i="3"/>
  <c r="AS7" i="4"/>
  <c r="AS6" i="4"/>
  <c r="AS4" i="4"/>
  <c r="AS3" i="4"/>
  <c r="AS8" i="4"/>
  <c r="AT5" i="4"/>
  <c r="AT22" i="4" l="1" a="1"/>
  <c r="AT22" i="4" s="1"/>
  <c r="AT110" i="4" s="1"/>
  <c r="BQ56" i="3"/>
  <c r="AU72" i="4" s="1"/>
  <c r="AU119" i="4" s="1"/>
  <c r="BN23" i="3"/>
  <c r="BQ18" i="3"/>
  <c r="AU45" i="4" s="1"/>
  <c r="BQ20" i="3"/>
  <c r="AU47" i="4" s="1"/>
  <c r="BQ43" i="3"/>
  <c r="AU64" i="4" s="1"/>
  <c r="AU74" i="4"/>
  <c r="AU120" i="4" s="1"/>
  <c r="BQ46" i="3"/>
  <c r="AU67" i="4" s="1"/>
  <c r="BP10" i="3"/>
  <c r="AT13" i="4" a="1"/>
  <c r="AT13" i="4" s="1"/>
  <c r="AT107" i="4" s="1"/>
  <c r="AT52" i="4"/>
  <c r="BQ13" i="3"/>
  <c r="AU43" i="4" s="1"/>
  <c r="BO22" i="3"/>
  <c r="BO23" i="3" s="1"/>
  <c r="BR37" i="3"/>
  <c r="AV58" i="4" s="1"/>
  <c r="BQ32" i="3"/>
  <c r="BR32" i="3" s="1"/>
  <c r="AV53" i="4" s="1"/>
  <c r="BR44" i="3"/>
  <c r="AV65" i="4" s="1"/>
  <c r="BR61" i="3"/>
  <c r="AV74" i="4" s="1"/>
  <c r="AV120" i="4" s="1"/>
  <c r="BQ40" i="3"/>
  <c r="BR40" i="3" s="1"/>
  <c r="AV61" i="4" s="1"/>
  <c r="AT17" i="4" a="1"/>
  <c r="AT17" i="4" s="1"/>
  <c r="BQ29" i="3"/>
  <c r="AU50" i="4" s="1"/>
  <c r="AT57" i="4"/>
  <c r="BQ36" i="3"/>
  <c r="AU20" i="4" s="1" a="1"/>
  <c r="AU20" i="4" s="1"/>
  <c r="AT63" i="4"/>
  <c r="BQ42" i="3"/>
  <c r="AT111" i="4"/>
  <c r="BQ47" i="3"/>
  <c r="AU68" i="4" s="1"/>
  <c r="AT51" i="4"/>
  <c r="BQ30" i="3"/>
  <c r="BQ49" i="3"/>
  <c r="AT70" i="4"/>
  <c r="AT18" i="4" a="1"/>
  <c r="AT18" i="4" s="1"/>
  <c r="AT21" i="4" a="1"/>
  <c r="AT21" i="4" s="1"/>
  <c r="AS118" i="4"/>
  <c r="AT55" i="4"/>
  <c r="BQ34" i="3"/>
  <c r="BR31" i="3"/>
  <c r="AV52" i="4" s="1"/>
  <c r="AT19" i="4" a="1"/>
  <c r="AT19" i="4" s="1"/>
  <c r="AT54" i="4"/>
  <c r="BQ33" i="3"/>
  <c r="AV42" i="4"/>
  <c r="AP29" i="4"/>
  <c r="AP112" i="4" s="1"/>
  <c r="AP78" i="4"/>
  <c r="AP121" i="4" s="1"/>
  <c r="AV71" i="4"/>
  <c r="AT79" i="4"/>
  <c r="AT28" i="4"/>
  <c r="AV49" i="4"/>
  <c r="AT91" i="4"/>
  <c r="AT34" i="4"/>
  <c r="AW48" i="4"/>
  <c r="AT80" i="4"/>
  <c r="AT30" i="4"/>
  <c r="AW66" i="4"/>
  <c r="AT90" i="4"/>
  <c r="AT33" i="4"/>
  <c r="AT99" i="4"/>
  <c r="AT37" i="4"/>
  <c r="AT93" i="4"/>
  <c r="AT36" i="4"/>
  <c r="AW49" i="4"/>
  <c r="AQ102" i="4"/>
  <c r="AQ123" i="4" s="1"/>
  <c r="AQ38" i="4"/>
  <c r="AQ114" i="4" s="1"/>
  <c r="AV60" i="4"/>
  <c r="BS55" i="3"/>
  <c r="AU42" i="4"/>
  <c r="AT84" i="4"/>
  <c r="AT31" i="4"/>
  <c r="AT97" i="4"/>
  <c r="AT35" i="4"/>
  <c r="AT44" i="4"/>
  <c r="AT117" i="4" s="1"/>
  <c r="AT15" i="4" a="1"/>
  <c r="AT15" i="4" s="1"/>
  <c r="AT108" i="4" s="1"/>
  <c r="AW73" i="4"/>
  <c r="AV56" i="4"/>
  <c r="AS109" i="4"/>
  <c r="BS39" i="3"/>
  <c r="BL68" i="3"/>
  <c r="BL115" i="3"/>
  <c r="AS108" i="4"/>
  <c r="AT116" i="4"/>
  <c r="BQ19" i="3"/>
  <c r="AU46" i="4" s="1"/>
  <c r="AP114" i="4"/>
  <c r="BR20" i="3"/>
  <c r="AV47" i="4" s="1"/>
  <c r="BN101" i="3"/>
  <c r="BM96" i="3"/>
  <c r="BM107" i="3"/>
  <c r="AS122" i="4"/>
  <c r="AS113" i="4"/>
  <c r="BQ81" i="3"/>
  <c r="AU88" i="4" s="1"/>
  <c r="BQ103" i="3"/>
  <c r="AU104" i="4" s="1"/>
  <c r="BQ90" i="3"/>
  <c r="AU94" i="4" s="1"/>
  <c r="BR48" i="3"/>
  <c r="AV69" i="4" s="1"/>
  <c r="BQ79" i="3"/>
  <c r="AU86" i="4" s="1"/>
  <c r="BQ73" i="3"/>
  <c r="BQ87" i="3"/>
  <c r="BQ77" i="3"/>
  <c r="BQ100" i="3"/>
  <c r="AU101" i="4" s="1"/>
  <c r="BQ89" i="3"/>
  <c r="BQ94" i="3"/>
  <c r="AU98" i="4" s="1"/>
  <c r="BS12" i="3"/>
  <c r="AO124" i="4"/>
  <c r="AO121" i="4"/>
  <c r="AO115" i="4"/>
  <c r="AO112" i="4"/>
  <c r="BS35" i="3"/>
  <c r="BQ92" i="3"/>
  <c r="AU96" i="4" s="1"/>
  <c r="BQ88" i="3"/>
  <c r="AU92" i="4" s="1"/>
  <c r="BQ91" i="3"/>
  <c r="AU95" i="4" s="1"/>
  <c r="BQ75" i="3"/>
  <c r="AU82" i="4" s="1"/>
  <c r="BQ74" i="3"/>
  <c r="AU81" i="4" s="1"/>
  <c r="BQ78" i="3"/>
  <c r="AU85" i="4" s="1"/>
  <c r="BQ99" i="3"/>
  <c r="AU100" i="4" s="1"/>
  <c r="BQ82" i="3"/>
  <c r="AU89" i="4" s="1"/>
  <c r="BQ17" i="3"/>
  <c r="BQ80" i="3"/>
  <c r="AU87" i="4" s="1"/>
  <c r="BQ93" i="3"/>
  <c r="BM71" i="3"/>
  <c r="BR46" i="3"/>
  <c r="BR38" i="3"/>
  <c r="BQ76" i="3"/>
  <c r="AU83" i="4" s="1"/>
  <c r="BN102" i="3"/>
  <c r="AR103" i="4" s="1"/>
  <c r="BP15" i="3"/>
  <c r="BP84" i="3"/>
  <c r="BQ98" i="3"/>
  <c r="AE86" i="3"/>
  <c r="BQ86" i="3"/>
  <c r="BQ72" i="3"/>
  <c r="BQ41" i="3"/>
  <c r="AU62" i="4" s="1"/>
  <c r="BP25" i="3"/>
  <c r="BQ112" i="3" a="1"/>
  <c r="BQ112" i="3" s="1"/>
  <c r="BQ116" i="3" a="1"/>
  <c r="BQ116" i="3" s="1"/>
  <c r="BQ110" i="3" a="1"/>
  <c r="BQ110" i="3" s="1"/>
  <c r="BQ113" i="3" a="1"/>
  <c r="BQ113" i="3" s="1"/>
  <c r="BQ111" i="3" a="1"/>
  <c r="BQ111" i="3" s="1"/>
  <c r="BQ114" i="3" a="1"/>
  <c r="BQ114" i="3" s="1"/>
  <c r="BQ108" i="3" a="1"/>
  <c r="BQ108" i="3" s="1"/>
  <c r="BQ109" i="3" a="1"/>
  <c r="BQ109" i="3" s="1"/>
  <c r="BQ106" i="3" a="1"/>
  <c r="BQ106" i="3" s="1"/>
  <c r="BP63" i="3"/>
  <c r="AT7" i="4"/>
  <c r="AT6" i="4"/>
  <c r="AU5" i="4"/>
  <c r="AT4" i="4"/>
  <c r="AT3" i="4"/>
  <c r="AT8" i="4"/>
  <c r="BQ3" i="3"/>
  <c r="BQ6" i="3"/>
  <c r="BQ10" i="3"/>
  <c r="BQ4" i="3"/>
  <c r="BR5" i="3"/>
  <c r="BQ7" i="3"/>
  <c r="BQ8" i="3"/>
  <c r="BQ53" i="3"/>
  <c r="BQ58" i="3"/>
  <c r="AU22" i="4" l="1" a="1"/>
  <c r="AU22" i="4" s="1"/>
  <c r="AU110" i="4" s="1"/>
  <c r="BR56" i="3"/>
  <c r="AV72" i="4" s="1"/>
  <c r="AV119" i="4" s="1"/>
  <c r="BR18" i="3"/>
  <c r="BS18" i="3" s="1"/>
  <c r="AW45" i="4" s="1"/>
  <c r="BR43" i="3"/>
  <c r="AV64" i="4" s="1"/>
  <c r="BR13" i="3"/>
  <c r="AV43" i="4" s="1"/>
  <c r="AV116" i="4" s="1"/>
  <c r="AU17" i="4" a="1"/>
  <c r="AU17" i="4" s="1"/>
  <c r="BO51" i="3"/>
  <c r="BO65" i="3" s="1"/>
  <c r="BO102" i="3" s="1"/>
  <c r="AS103" i="4" s="1"/>
  <c r="BP22" i="3"/>
  <c r="BP51" i="3" s="1"/>
  <c r="BP65" i="3" s="1"/>
  <c r="AU53" i="4"/>
  <c r="AV25" i="4" a="1"/>
  <c r="AV25" i="4" s="1"/>
  <c r="AV111" i="4" s="1"/>
  <c r="AU13" i="4" a="1"/>
  <c r="AU13" i="4" s="1"/>
  <c r="AU107" i="4" s="1"/>
  <c r="BS44" i="3"/>
  <c r="AW65" i="4" s="1"/>
  <c r="AU61" i="4"/>
  <c r="BS37" i="3"/>
  <c r="AW58" i="4" s="1"/>
  <c r="BS61" i="3"/>
  <c r="AW74" i="4" s="1"/>
  <c r="AW120" i="4" s="1"/>
  <c r="BR29" i="3"/>
  <c r="AV17" i="4" s="1" a="1"/>
  <c r="AV17" i="4" s="1"/>
  <c r="AU63" i="4"/>
  <c r="BR42" i="3"/>
  <c r="BR36" i="3"/>
  <c r="AV20" i="4" s="1" a="1"/>
  <c r="AV20" i="4" s="1"/>
  <c r="AU57" i="4"/>
  <c r="BR47" i="3"/>
  <c r="AV68" i="4" s="1"/>
  <c r="AU21" i="4" a="1"/>
  <c r="AU21" i="4" s="1"/>
  <c r="AU116" i="4"/>
  <c r="AU18" i="4" a="1"/>
  <c r="AU18" i="4" s="1"/>
  <c r="BS31" i="3"/>
  <c r="AW52" i="4" s="1"/>
  <c r="AT118" i="4"/>
  <c r="AU51" i="4"/>
  <c r="BR30" i="3"/>
  <c r="AU70" i="4"/>
  <c r="BR49" i="3"/>
  <c r="BS32" i="3"/>
  <c r="AW53" i="4" s="1"/>
  <c r="BR19" i="3"/>
  <c r="AV46" i="4" s="1"/>
  <c r="AU55" i="4"/>
  <c r="BR34" i="3"/>
  <c r="AP124" i="4"/>
  <c r="AU54" i="4"/>
  <c r="BR33" i="3"/>
  <c r="BS40" i="3"/>
  <c r="AW61" i="4" s="1"/>
  <c r="AU90" i="4"/>
  <c r="AU33" i="4"/>
  <c r="AW71" i="4"/>
  <c r="AU44" i="4"/>
  <c r="AU117" i="4" s="1"/>
  <c r="AU15" i="4" a="1"/>
  <c r="AU15" i="4" s="1"/>
  <c r="AU108" i="4" s="1"/>
  <c r="AU79" i="4"/>
  <c r="AU28" i="4"/>
  <c r="AW42" i="4"/>
  <c r="AU93" i="4"/>
  <c r="AU36" i="4"/>
  <c r="AU84" i="4"/>
  <c r="AU31" i="4"/>
  <c r="BS38" i="3"/>
  <c r="AW59" i="4" s="1"/>
  <c r="AV59" i="4"/>
  <c r="AU91" i="4"/>
  <c r="AU34" i="4"/>
  <c r="AV67" i="4"/>
  <c r="AW60" i="4"/>
  <c r="AU19" i="4" a="1"/>
  <c r="AU19" i="4" s="1"/>
  <c r="AU99" i="4"/>
  <c r="AU37" i="4"/>
  <c r="AR102" i="4"/>
  <c r="AR123" i="4" s="1"/>
  <c r="AR38" i="4"/>
  <c r="AR114" i="4" s="1"/>
  <c r="AD71" i="3"/>
  <c r="AQ29" i="4"/>
  <c r="AQ78" i="4"/>
  <c r="AU80" i="4"/>
  <c r="AU30" i="4"/>
  <c r="AU97" i="4"/>
  <c r="AU35" i="4"/>
  <c r="AW56" i="4"/>
  <c r="AP115" i="4"/>
  <c r="BN107" i="3"/>
  <c r="BS20" i="3"/>
  <c r="AW47" i="4" s="1"/>
  <c r="AT109" i="4"/>
  <c r="AT113" i="4"/>
  <c r="BQ84" i="3"/>
  <c r="AT122" i="4"/>
  <c r="BM68" i="3"/>
  <c r="BR77" i="3"/>
  <c r="BR91" i="3"/>
  <c r="AV95" i="4" s="1"/>
  <c r="BR79" i="3"/>
  <c r="AV86" i="4" s="1"/>
  <c r="BR82" i="3"/>
  <c r="AV89" i="4" s="1"/>
  <c r="BR87" i="3"/>
  <c r="BR103" i="3"/>
  <c r="AV104" i="4" s="1"/>
  <c r="BR74" i="3"/>
  <c r="AV81" i="4" s="1"/>
  <c r="BR94" i="3"/>
  <c r="AV98" i="4" s="1"/>
  <c r="BR17" i="3"/>
  <c r="BR76" i="3"/>
  <c r="AV83" i="4" s="1"/>
  <c r="BR93" i="3"/>
  <c r="BR75" i="3"/>
  <c r="AV82" i="4" s="1"/>
  <c r="BS48" i="3"/>
  <c r="AW69" i="4" s="1"/>
  <c r="BQ25" i="3"/>
  <c r="BR80" i="3"/>
  <c r="AV87" i="4" s="1"/>
  <c r="BR88" i="3"/>
  <c r="AV92" i="4" s="1"/>
  <c r="BR81" i="3"/>
  <c r="AV88" i="4" s="1"/>
  <c r="BN71" i="3"/>
  <c r="BN96" i="3"/>
  <c r="BR99" i="3"/>
  <c r="AV100" i="4" s="1"/>
  <c r="BR89" i="3"/>
  <c r="BQ15" i="3"/>
  <c r="BQ22" i="3" s="1"/>
  <c r="BR90" i="3"/>
  <c r="AV94" i="4" s="1"/>
  <c r="BO101" i="3"/>
  <c r="BM115" i="3"/>
  <c r="BR78" i="3"/>
  <c r="AV85" i="4" s="1"/>
  <c r="BR92" i="3"/>
  <c r="AV96" i="4" s="1"/>
  <c r="BR100" i="3"/>
  <c r="AV101" i="4" s="1"/>
  <c r="BS46" i="3"/>
  <c r="BR73" i="3"/>
  <c r="BR98" i="3"/>
  <c r="BR86" i="3"/>
  <c r="BR72" i="3"/>
  <c r="BR41" i="3"/>
  <c r="AV62" i="4" s="1"/>
  <c r="BR112" i="3" a="1"/>
  <c r="BR112" i="3" s="1"/>
  <c r="BR116" i="3" a="1"/>
  <c r="BR116" i="3" s="1"/>
  <c r="BR113" i="3" a="1"/>
  <c r="BR113" i="3" s="1"/>
  <c r="BR108" i="3" a="1"/>
  <c r="BR108" i="3" s="1"/>
  <c r="BR114" i="3" a="1"/>
  <c r="BR114" i="3" s="1"/>
  <c r="BR109" i="3" a="1"/>
  <c r="BR109" i="3" s="1"/>
  <c r="BR110" i="3" a="1"/>
  <c r="BR110" i="3" s="1"/>
  <c r="BR111" i="3" a="1"/>
  <c r="BR111" i="3" s="1"/>
  <c r="BR106" i="3" a="1"/>
  <c r="BR106" i="3" s="1"/>
  <c r="BQ63" i="3"/>
  <c r="BR3" i="3"/>
  <c r="BR6" i="3"/>
  <c r="BR8" i="3"/>
  <c r="BR58" i="3"/>
  <c r="BR4" i="3"/>
  <c r="BS5" i="3"/>
  <c r="BR7" i="3"/>
  <c r="BR10" i="3"/>
  <c r="BR53" i="3"/>
  <c r="AU6" i="4"/>
  <c r="AV5" i="4"/>
  <c r="AU4" i="4"/>
  <c r="AU8" i="4"/>
  <c r="AU7" i="4"/>
  <c r="AU3" i="4"/>
  <c r="AV45" i="4" l="1"/>
  <c r="AV22" i="4" a="1"/>
  <c r="AV22" i="4" s="1"/>
  <c r="AV110" i="4" s="1"/>
  <c r="BS56" i="3"/>
  <c r="AW72" i="4" s="1"/>
  <c r="AW119" i="4" s="1"/>
  <c r="BS47" i="3"/>
  <c r="AW68" i="4" s="1"/>
  <c r="AW22" i="4" a="1"/>
  <c r="AW22" i="4" s="1"/>
  <c r="AW110" i="4" s="1"/>
  <c r="BS43" i="3"/>
  <c r="AW64" i="4" s="1"/>
  <c r="AV13" i="4" a="1"/>
  <c r="AV13" i="4" s="1"/>
  <c r="AV107" i="4" s="1"/>
  <c r="BS13" i="3"/>
  <c r="AW43" i="4" s="1"/>
  <c r="AW116" i="4" s="1"/>
  <c r="BP23" i="3"/>
  <c r="AV50" i="4"/>
  <c r="AW25" i="4" a="1"/>
  <c r="AW25" i="4" s="1"/>
  <c r="BS29" i="3"/>
  <c r="AW50" i="4" s="1"/>
  <c r="AV21" i="4" a="1"/>
  <c r="AV21" i="4" s="1"/>
  <c r="AV57" i="4"/>
  <c r="BS36" i="3"/>
  <c r="AW57" i="4" s="1"/>
  <c r="AV63" i="4"/>
  <c r="BS42" i="3"/>
  <c r="AW63" i="4" s="1"/>
  <c r="AU109" i="4"/>
  <c r="BS19" i="3"/>
  <c r="AW46" i="4" s="1"/>
  <c r="AU118" i="4"/>
  <c r="AV51" i="4"/>
  <c r="BS30" i="3"/>
  <c r="AW51" i="4" s="1"/>
  <c r="BS49" i="3"/>
  <c r="AW70" i="4" s="1"/>
  <c r="AV70" i="4"/>
  <c r="AV55" i="4"/>
  <c r="BS34" i="3"/>
  <c r="AW55" i="4" s="1"/>
  <c r="AV54" i="4"/>
  <c r="BS33" i="3"/>
  <c r="AV18" i="4" a="1"/>
  <c r="AV18" i="4" s="1"/>
  <c r="AV91" i="4"/>
  <c r="AV34" i="4"/>
  <c r="AV99" i="4"/>
  <c r="AV37" i="4"/>
  <c r="AV84" i="4"/>
  <c r="AV31" i="4"/>
  <c r="AV97" i="4"/>
  <c r="AV35" i="4"/>
  <c r="AV19" i="4" a="1"/>
  <c r="AV19" i="4" s="1"/>
  <c r="BN68" i="3"/>
  <c r="AR29" i="4"/>
  <c r="AR78" i="4"/>
  <c r="AV80" i="4"/>
  <c r="AV30" i="4"/>
  <c r="AS102" i="4"/>
  <c r="AS38" i="4"/>
  <c r="AW67" i="4"/>
  <c r="AV79" i="4"/>
  <c r="AV28" i="4"/>
  <c r="AV90" i="4"/>
  <c r="AV33" i="4"/>
  <c r="AV93" i="4"/>
  <c r="AV36" i="4"/>
  <c r="BR15" i="3"/>
  <c r="BR22" i="3" s="1"/>
  <c r="BR23" i="3" s="1"/>
  <c r="AV44" i="4"/>
  <c r="AV15" i="4" a="1"/>
  <c r="AV15" i="4" s="1"/>
  <c r="BO96" i="3"/>
  <c r="AU113" i="4"/>
  <c r="AU122" i="4"/>
  <c r="BP101" i="3"/>
  <c r="BN115" i="3"/>
  <c r="BQ23" i="3"/>
  <c r="BQ51" i="3"/>
  <c r="BQ65" i="3" s="1"/>
  <c r="BS80" i="3"/>
  <c r="AW87" i="4" s="1"/>
  <c r="BS82" i="3"/>
  <c r="AW89" i="4" s="1"/>
  <c r="BS99" i="3"/>
  <c r="AW100" i="4" s="1"/>
  <c r="BS91" i="3"/>
  <c r="AW95" i="4" s="1"/>
  <c r="BS79" i="3"/>
  <c r="AW86" i="4" s="1"/>
  <c r="BS93" i="3"/>
  <c r="BS17" i="3"/>
  <c r="BS77" i="3"/>
  <c r="BS90" i="3"/>
  <c r="AW94" i="4" s="1"/>
  <c r="BS76" i="3"/>
  <c r="AW83" i="4" s="1"/>
  <c r="BS94" i="3"/>
  <c r="AW98" i="4" s="1"/>
  <c r="BO107" i="3"/>
  <c r="BS100" i="3"/>
  <c r="AW101" i="4" s="1"/>
  <c r="BR25" i="3"/>
  <c r="BS92" i="3"/>
  <c r="AW96" i="4" s="1"/>
  <c r="BS103" i="3"/>
  <c r="AW104" i="4" s="1"/>
  <c r="AQ124" i="4"/>
  <c r="AQ121" i="4"/>
  <c r="BS75" i="3"/>
  <c r="AW82" i="4" s="1"/>
  <c r="BS73" i="3"/>
  <c r="BS78" i="3"/>
  <c r="AW85" i="4" s="1"/>
  <c r="BS87" i="3"/>
  <c r="AQ115" i="4"/>
  <c r="AQ112" i="4"/>
  <c r="BS74" i="3"/>
  <c r="AW81" i="4" s="1"/>
  <c r="BS81" i="3"/>
  <c r="AW88" i="4" s="1"/>
  <c r="BS89" i="3"/>
  <c r="BO71" i="3"/>
  <c r="BS88" i="3"/>
  <c r="AW92" i="4" s="1"/>
  <c r="BP102" i="3"/>
  <c r="AT103" i="4" s="1"/>
  <c r="BR84" i="3"/>
  <c r="BS98" i="3"/>
  <c r="BS86" i="3"/>
  <c r="BS72" i="3"/>
  <c r="BS41" i="3"/>
  <c r="BS116" i="3" a="1"/>
  <c r="BS116" i="3" s="1"/>
  <c r="BS110" i="3" a="1"/>
  <c r="BS110" i="3" s="1"/>
  <c r="BS113" i="3" a="1"/>
  <c r="BS113" i="3" s="1"/>
  <c r="BS108" i="3" a="1"/>
  <c r="BS108" i="3" s="1"/>
  <c r="BS111" i="3" a="1"/>
  <c r="BS111" i="3" s="1"/>
  <c r="BS114" i="3" a="1"/>
  <c r="BS114" i="3" s="1"/>
  <c r="BS109" i="3" a="1"/>
  <c r="BS109" i="3" s="1"/>
  <c r="BS112" i="3" a="1"/>
  <c r="BS112" i="3" s="1"/>
  <c r="BS106" i="3" a="1"/>
  <c r="BS106" i="3" s="1"/>
  <c r="BS7" i="3"/>
  <c r="BS8" i="3"/>
  <c r="BS3" i="3"/>
  <c r="BS6" i="3"/>
  <c r="BS4" i="3"/>
  <c r="BS53" i="3"/>
  <c r="BS58" i="3"/>
  <c r="AV8" i="4"/>
  <c r="AV7" i="4"/>
  <c r="AV6" i="4"/>
  <c r="AW5" i="4"/>
  <c r="AV4" i="4"/>
  <c r="AV3" i="4"/>
  <c r="BR63" i="3"/>
  <c r="AW21" i="4" l="1" a="1"/>
  <c r="AW21" i="4" s="1"/>
  <c r="BS10" i="3"/>
  <c r="AW13" i="4" a="1"/>
  <c r="AW13" i="4" s="1"/>
  <c r="AW107" i="4" s="1"/>
  <c r="AW111" i="4"/>
  <c r="AW17" i="4" a="1"/>
  <c r="AW17" i="4" s="1"/>
  <c r="AW20" i="4" a="1"/>
  <c r="AW20" i="4" s="1"/>
  <c r="AV118" i="4"/>
  <c r="AW54" i="4"/>
  <c r="AW18" i="4" a="1"/>
  <c r="AW18" i="4" s="1"/>
  <c r="BO68" i="3"/>
  <c r="AS29" i="4"/>
  <c r="AS78" i="4"/>
  <c r="AW93" i="4"/>
  <c r="AW36" i="4"/>
  <c r="AW90" i="4"/>
  <c r="AW33" i="4"/>
  <c r="AT102" i="4"/>
  <c r="AT123" i="4" s="1"/>
  <c r="AT38" i="4"/>
  <c r="AT114" i="4" s="1"/>
  <c r="AW84" i="4"/>
  <c r="AW31" i="4"/>
  <c r="AW91" i="4"/>
  <c r="AW34" i="4"/>
  <c r="BS15" i="3"/>
  <c r="AW44" i="4"/>
  <c r="AW15" i="4" a="1"/>
  <c r="AW15" i="4" s="1"/>
  <c r="AW97" i="4"/>
  <c r="AW35" i="4"/>
  <c r="AW80" i="4"/>
  <c r="AW30" i="4"/>
  <c r="AW99" i="4"/>
  <c r="AW37" i="4"/>
  <c r="AW62" i="4"/>
  <c r="AW19" i="4" a="1"/>
  <c r="AW19" i="4" s="1"/>
  <c r="AW79" i="4"/>
  <c r="AW28" i="4"/>
  <c r="BQ101" i="3"/>
  <c r="AV109" i="4"/>
  <c r="AV108" i="4"/>
  <c r="AS114" i="4"/>
  <c r="AV117" i="4"/>
  <c r="AS123" i="4"/>
  <c r="AV113" i="4"/>
  <c r="BP107" i="3"/>
  <c r="AV122" i="4"/>
  <c r="BP96" i="3"/>
  <c r="BO115" i="3"/>
  <c r="AR124" i="4"/>
  <c r="AR121" i="4"/>
  <c r="BS25" i="3"/>
  <c r="BS84" i="3"/>
  <c r="AR115" i="4"/>
  <c r="AR112" i="4"/>
  <c r="BQ102" i="3"/>
  <c r="AU103" i="4" s="1"/>
  <c r="BP71" i="3"/>
  <c r="BR51" i="3"/>
  <c r="BR65" i="3" s="1"/>
  <c r="BS63" i="3"/>
  <c r="AW3" i="4"/>
  <c r="AW8" i="4"/>
  <c r="E20" i="9" s="1" a="1"/>
  <c r="E20" i="9" s="1"/>
  <c r="AW7" i="4"/>
  <c r="AW4" i="4"/>
  <c r="AW6" i="4"/>
  <c r="BS22" i="3" l="1"/>
  <c r="BS23" i="3" s="1"/>
  <c r="C7" i="7" a="1"/>
  <c r="C7" i="7" s="1"/>
  <c r="G10" i="9" a="1"/>
  <c r="G10" i="9" s="1"/>
  <c r="G11" i="9" s="1"/>
  <c r="E10" i="9" a="1"/>
  <c r="E10" i="9" s="1"/>
  <c r="K27" i="9" a="1"/>
  <c r="K27" i="9" s="1"/>
  <c r="E18" i="9" a="1"/>
  <c r="E18" i="9" s="1"/>
  <c r="K18" i="9" a="1"/>
  <c r="K18" i="9" s="1"/>
  <c r="G18" i="9" a="1"/>
  <c r="G18" i="9" s="1"/>
  <c r="G19" i="9" a="1"/>
  <c r="G19" i="9" s="1"/>
  <c r="K19" i="9" a="1"/>
  <c r="K19" i="9" s="1"/>
  <c r="E19" i="9" a="1"/>
  <c r="E19" i="9" s="1"/>
  <c r="K10" i="9" a="1"/>
  <c r="K10" i="9" s="1"/>
  <c r="K11" i="9" s="1"/>
  <c r="E17" i="9" a="1"/>
  <c r="E17" i="9" s="1"/>
  <c r="G20" i="9" a="1"/>
  <c r="G20" i="9" s="1"/>
  <c r="H20" i="9" s="1"/>
  <c r="E50" i="9"/>
  <c r="E78" i="9" s="1"/>
  <c r="E35" i="9"/>
  <c r="E46" i="9"/>
  <c r="E69" i="9" s="1"/>
  <c r="E27" i="9" a="1"/>
  <c r="E27" i="9" s="1"/>
  <c r="G17" i="9" a="1"/>
  <c r="G17" i="9" s="1"/>
  <c r="K17" i="9" a="1"/>
  <c r="K17" i="9" s="1"/>
  <c r="E38" i="9"/>
  <c r="K25" i="9" a="1"/>
  <c r="K25" i="9" s="1"/>
  <c r="E51" i="9"/>
  <c r="E36" i="9"/>
  <c r="E64" i="9" s="1"/>
  <c r="E44" i="9"/>
  <c r="E68" i="9" s="1"/>
  <c r="E45" i="9"/>
  <c r="E77" i="9" s="1"/>
  <c r="E39" i="9"/>
  <c r="E66" i="9" s="1"/>
  <c r="G25" i="9" a="1"/>
  <c r="G25" i="9" s="1"/>
  <c r="E43" i="9"/>
  <c r="E67" i="9" s="1"/>
  <c r="K44" i="9"/>
  <c r="K68" i="9" s="1"/>
  <c r="G26" i="9" a="1"/>
  <c r="G26" i="9" s="1"/>
  <c r="G61" i="9" s="1"/>
  <c r="E25" i="9" a="1"/>
  <c r="E25" i="9" s="1"/>
  <c r="K26" i="9" a="1"/>
  <c r="K26" i="9" s="1"/>
  <c r="K61" i="9" s="1"/>
  <c r="E37" i="9"/>
  <c r="E65" i="9" s="1"/>
  <c r="E26" i="9" a="1"/>
  <c r="E26" i="9" s="1"/>
  <c r="E61" i="9" s="1"/>
  <c r="K50" i="9"/>
  <c r="K78" i="9" s="1"/>
  <c r="K35" i="9"/>
  <c r="K46" i="9"/>
  <c r="K69" i="9" s="1"/>
  <c r="K36" i="9"/>
  <c r="K64" i="9" s="1"/>
  <c r="K43" i="9"/>
  <c r="K67" i="9" s="1"/>
  <c r="K51" i="9"/>
  <c r="K45" i="9"/>
  <c r="K77" i="9" s="1"/>
  <c r="G38" i="9"/>
  <c r="K37" i="9"/>
  <c r="K65" i="9" s="1"/>
  <c r="K38" i="9"/>
  <c r="G45" i="9"/>
  <c r="G77" i="9" s="1"/>
  <c r="G35" i="9"/>
  <c r="G44" i="9"/>
  <c r="G68" i="9" s="1"/>
  <c r="K39" i="9"/>
  <c r="K66" i="9" s="1"/>
  <c r="G39" i="9"/>
  <c r="G66" i="9" s="1"/>
  <c r="G36" i="9"/>
  <c r="G64" i="9" s="1"/>
  <c r="G51" i="9"/>
  <c r="G46" i="9"/>
  <c r="G69" i="9" s="1"/>
  <c r="G43" i="9"/>
  <c r="G67" i="9" s="1"/>
  <c r="G50" i="9"/>
  <c r="G78" i="9" s="1"/>
  <c r="G37" i="9"/>
  <c r="G65" i="9" s="1"/>
  <c r="K13" i="9" a="1"/>
  <c r="K13" i="9" s="1"/>
  <c r="E13" i="9" a="1"/>
  <c r="E13" i="9" s="1"/>
  <c r="G13" i="9" a="1"/>
  <c r="G13" i="9" s="1"/>
  <c r="E16" i="9" a="1"/>
  <c r="E16" i="9" s="1"/>
  <c r="K16" i="9" a="1"/>
  <c r="K16" i="9" s="1"/>
  <c r="G16" i="9" a="1"/>
  <c r="G16" i="9" s="1"/>
  <c r="G27" i="9" a="1"/>
  <c r="G27" i="9" s="1"/>
  <c r="K20" i="9" a="1"/>
  <c r="K20" i="9" s="1"/>
  <c r="M20" i="9" s="1"/>
  <c r="D7" i="7" a="1"/>
  <c r="D7" i="7" s="1"/>
  <c r="J7" i="7" a="1"/>
  <c r="J7" i="7" s="1"/>
  <c r="AW118" i="4"/>
  <c r="AU102" i="4"/>
  <c r="AU38" i="4"/>
  <c r="AU114" i="4" s="1"/>
  <c r="AT78" i="4"/>
  <c r="AT29" i="4"/>
  <c r="AW108" i="4"/>
  <c r="AW117" i="4"/>
  <c r="AW113" i="4"/>
  <c r="BQ107" i="3"/>
  <c r="AW122" i="4"/>
  <c r="BQ96" i="3"/>
  <c r="AE71" i="3"/>
  <c r="AS115" i="4"/>
  <c r="AS112" i="4"/>
  <c r="BR101" i="3"/>
  <c r="BP115" i="3"/>
  <c r="BP68" i="3"/>
  <c r="AS124" i="4"/>
  <c r="AS121" i="4"/>
  <c r="BR102" i="3"/>
  <c r="AV103" i="4" s="1"/>
  <c r="BQ71" i="3"/>
  <c r="I78" i="9" l="1"/>
  <c r="M78" i="9"/>
  <c r="L78" i="9"/>
  <c r="H78" i="9"/>
  <c r="G79" i="9"/>
  <c r="L38" i="9"/>
  <c r="K73" i="9"/>
  <c r="K74" i="9" s="1"/>
  <c r="M67" i="9"/>
  <c r="L67" i="9"/>
  <c r="H67" i="9"/>
  <c r="I67" i="9"/>
  <c r="E73" i="9"/>
  <c r="G73" i="9"/>
  <c r="G74" i="9" s="1"/>
  <c r="M61" i="9"/>
  <c r="L61" i="9"/>
  <c r="H61" i="9"/>
  <c r="I61" i="9"/>
  <c r="M66" i="9"/>
  <c r="L66" i="9"/>
  <c r="I66" i="9"/>
  <c r="H66" i="9"/>
  <c r="K79" i="9"/>
  <c r="I65" i="9"/>
  <c r="H65" i="9"/>
  <c r="M65" i="9"/>
  <c r="L65" i="9"/>
  <c r="I77" i="9"/>
  <c r="E79" i="9"/>
  <c r="L77" i="9"/>
  <c r="H77" i="9"/>
  <c r="M77" i="9"/>
  <c r="M64" i="9"/>
  <c r="I64" i="9"/>
  <c r="H64" i="9"/>
  <c r="L64" i="9"/>
  <c r="I68" i="9"/>
  <c r="M68" i="9"/>
  <c r="H68" i="9"/>
  <c r="L68" i="9"/>
  <c r="I69" i="9"/>
  <c r="H69" i="9"/>
  <c r="M69" i="9"/>
  <c r="L69" i="9"/>
  <c r="BS51" i="3"/>
  <c r="BS65" i="3" s="1"/>
  <c r="E7" i="7"/>
  <c r="G21" i="9"/>
  <c r="K21" i="9"/>
  <c r="K52" i="9"/>
  <c r="H16" i="9"/>
  <c r="I16" i="9"/>
  <c r="L16" i="9"/>
  <c r="E21" i="9"/>
  <c r="M16" i="9"/>
  <c r="I13" i="9"/>
  <c r="H13" i="9"/>
  <c r="L13" i="9"/>
  <c r="M13" i="9"/>
  <c r="L45" i="9"/>
  <c r="H45" i="9"/>
  <c r="M45" i="9"/>
  <c r="I45" i="9"/>
  <c r="G47" i="9"/>
  <c r="M18" i="9"/>
  <c r="I18" i="9"/>
  <c r="L18" i="9"/>
  <c r="H18" i="9"/>
  <c r="H17" i="9"/>
  <c r="I17" i="9"/>
  <c r="L17" i="9"/>
  <c r="M17" i="9"/>
  <c r="K14" i="9"/>
  <c r="E11" i="9"/>
  <c r="E14" i="9" s="1"/>
  <c r="H10" i="9"/>
  <c r="M10" i="9"/>
  <c r="I10" i="9"/>
  <c r="L10" i="9"/>
  <c r="G40" i="9"/>
  <c r="H38" i="9"/>
  <c r="I26" i="9"/>
  <c r="H26" i="9"/>
  <c r="M26" i="9"/>
  <c r="I39" i="9"/>
  <c r="M39" i="9"/>
  <c r="L39" i="9"/>
  <c r="H39" i="9"/>
  <c r="M19" i="9"/>
  <c r="I19" i="9"/>
  <c r="H19" i="9"/>
  <c r="L19" i="9"/>
  <c r="G14" i="9"/>
  <c r="H27" i="9"/>
  <c r="I27" i="9"/>
  <c r="L27" i="9"/>
  <c r="M27" i="9"/>
  <c r="L20" i="9"/>
  <c r="L26" i="9"/>
  <c r="I44" i="9"/>
  <c r="H44" i="9"/>
  <c r="L44" i="9"/>
  <c r="M44" i="9"/>
  <c r="I46" i="9"/>
  <c r="H46" i="9"/>
  <c r="M46" i="9"/>
  <c r="L46" i="9"/>
  <c r="K40" i="9"/>
  <c r="I38" i="9"/>
  <c r="M38" i="9"/>
  <c r="M37" i="9"/>
  <c r="H37" i="9"/>
  <c r="L37" i="9"/>
  <c r="I37" i="9"/>
  <c r="K47" i="9"/>
  <c r="I25" i="9"/>
  <c r="H25" i="9"/>
  <c r="M25" i="9"/>
  <c r="L25" i="9"/>
  <c r="L36" i="9"/>
  <c r="H36" i="9"/>
  <c r="I36" i="9"/>
  <c r="M36" i="9"/>
  <c r="I35" i="9"/>
  <c r="H35" i="9"/>
  <c r="L35" i="9"/>
  <c r="M35" i="9"/>
  <c r="E40" i="9"/>
  <c r="I20" i="9"/>
  <c r="H43" i="9"/>
  <c r="E47" i="9"/>
  <c r="L43" i="9"/>
  <c r="I43" i="9"/>
  <c r="M43" i="9"/>
  <c r="G52" i="9"/>
  <c r="M51" i="9"/>
  <c r="H51" i="9"/>
  <c r="I51" i="9"/>
  <c r="L51" i="9"/>
  <c r="E52" i="9"/>
  <c r="M50" i="9"/>
  <c r="I50" i="9"/>
  <c r="L50" i="9"/>
  <c r="H50" i="9"/>
  <c r="F7" i="7" a="1"/>
  <c r="F7" i="7" s="1"/>
  <c r="AU123" i="4"/>
  <c r="AV102" i="4"/>
  <c r="AV38" i="4"/>
  <c r="BQ68" i="3"/>
  <c r="AU29" i="4"/>
  <c r="AU78" i="4"/>
  <c r="AW109" i="4"/>
  <c r="BR107" i="3"/>
  <c r="BQ115" i="3"/>
  <c r="BR71" i="3"/>
  <c r="BR96" i="3"/>
  <c r="BS101" i="3"/>
  <c r="AT124" i="4"/>
  <c r="AT121" i="4"/>
  <c r="AT115" i="4"/>
  <c r="AT112" i="4"/>
  <c r="BS102" i="3"/>
  <c r="AW103" i="4" s="1"/>
  <c r="K23" i="9" l="1"/>
  <c r="K29" i="9" s="1"/>
  <c r="K60" i="9" s="1"/>
  <c r="K70" i="9" s="1"/>
  <c r="K81" i="9" s="1"/>
  <c r="K83" i="9" s="1"/>
  <c r="K84" i="9" s="1"/>
  <c r="K54" i="9"/>
  <c r="M73" i="9"/>
  <c r="H73" i="9"/>
  <c r="L73" i="9"/>
  <c r="E74" i="9"/>
  <c r="I73" i="9"/>
  <c r="M79" i="9"/>
  <c r="L79" i="9"/>
  <c r="H79" i="9"/>
  <c r="I79" i="9"/>
  <c r="G23" i="9"/>
  <c r="G29" i="9" s="1"/>
  <c r="G60" i="9" s="1"/>
  <c r="G70" i="9" s="1"/>
  <c r="G81" i="9" s="1"/>
  <c r="G83" i="9" s="1"/>
  <c r="G84" i="9" s="1"/>
  <c r="M52" i="9"/>
  <c r="G54" i="9"/>
  <c r="I14" i="9"/>
  <c r="M14" i="9"/>
  <c r="E23" i="9"/>
  <c r="H14" i="9"/>
  <c r="L14" i="9"/>
  <c r="M21" i="9"/>
  <c r="H21" i="9"/>
  <c r="I21" i="9"/>
  <c r="L21" i="9"/>
  <c r="H40" i="9"/>
  <c r="M40" i="9"/>
  <c r="L40" i="9"/>
  <c r="I40" i="9"/>
  <c r="I52" i="9"/>
  <c r="L52" i="9"/>
  <c r="H52" i="9"/>
  <c r="M47" i="9"/>
  <c r="I47" i="9"/>
  <c r="E54" i="9"/>
  <c r="L47" i="9"/>
  <c r="H47" i="9"/>
  <c r="M11" i="9"/>
  <c r="I11" i="9"/>
  <c r="L11" i="9"/>
  <c r="H11" i="9"/>
  <c r="AW102" i="4"/>
  <c r="AW38" i="4"/>
  <c r="AV29" i="4"/>
  <c r="AV115" i="4" s="1"/>
  <c r="AV78" i="4"/>
  <c r="AV121" i="4" s="1"/>
  <c r="AV114" i="4"/>
  <c r="AV123" i="4"/>
  <c r="BS71" i="3"/>
  <c r="BR115" i="3"/>
  <c r="BR68" i="3"/>
  <c r="BS107" i="3"/>
  <c r="BS96" i="3"/>
  <c r="AU124" i="4"/>
  <c r="AU121" i="4"/>
  <c r="AU115" i="4"/>
  <c r="AU112" i="4"/>
  <c r="I74" i="9" l="1"/>
  <c r="H74" i="9"/>
  <c r="M74" i="9"/>
  <c r="L74" i="9"/>
  <c r="L54" i="9"/>
  <c r="H54" i="9"/>
  <c r="M54" i="9"/>
  <c r="I54" i="9"/>
  <c r="H23" i="9"/>
  <c r="L23" i="9"/>
  <c r="M23" i="9"/>
  <c r="I23" i="9"/>
  <c r="E29" i="9"/>
  <c r="E60" i="9" s="1"/>
  <c r="AV124" i="4"/>
  <c r="R71" i="3"/>
  <c r="AW29" i="4"/>
  <c r="AW115" i="4" s="1"/>
  <c r="AW78" i="4"/>
  <c r="AW114" i="4"/>
  <c r="BS115" i="3"/>
  <c r="BS68" i="3"/>
  <c r="AF71" i="3"/>
  <c r="AV112" i="4"/>
  <c r="AW123" i="4"/>
  <c r="M60" i="9" l="1"/>
  <c r="I60" i="9"/>
  <c r="L60" i="9"/>
  <c r="H60" i="9"/>
  <c r="E70" i="9"/>
  <c r="H29" i="9"/>
  <c r="I29" i="9"/>
  <c r="L29" i="9"/>
  <c r="M29" i="9"/>
  <c r="AW121" i="4"/>
  <c r="AW124" i="4"/>
  <c r="AW112" i="4"/>
  <c r="Y102" i="3"/>
  <c r="M70" i="9" l="1"/>
  <c r="L70" i="9"/>
  <c r="I70" i="9"/>
  <c r="H70" i="9"/>
  <c r="E81" i="9"/>
  <c r="P71" i="3"/>
  <c r="V71" i="3"/>
  <c r="W71" i="3"/>
  <c r="W68" i="3" s="1"/>
  <c r="X71" i="3"/>
  <c r="Y71" i="3"/>
  <c r="Z71" i="3"/>
  <c r="AA71" i="3"/>
  <c r="P99" i="3"/>
  <c r="P103" i="3"/>
  <c r="P102" i="3"/>
  <c r="Q99" i="3"/>
  <c r="Q101" i="3"/>
  <c r="Q103" i="3"/>
  <c r="P101" i="3"/>
  <c r="P100" i="3"/>
  <c r="Q100" i="3"/>
  <c r="Q102" i="3"/>
  <c r="P98" i="3"/>
  <c r="W100" i="3"/>
  <c r="R99" i="3"/>
  <c r="R103" i="3"/>
  <c r="Q98" i="3"/>
  <c r="R101" i="3"/>
  <c r="R100" i="3"/>
  <c r="R102" i="3"/>
  <c r="Y100" i="3"/>
  <c r="Y99" i="3"/>
  <c r="Y101" i="3"/>
  <c r="Z101" i="3"/>
  <c r="Z98" i="3"/>
  <c r="Z103" i="3"/>
  <c r="Z102" i="3"/>
  <c r="Z100" i="3"/>
  <c r="AA100" i="3"/>
  <c r="R98" i="3"/>
  <c r="AA101" i="3"/>
  <c r="AA99" i="3"/>
  <c r="AA98" i="3"/>
  <c r="AB100" i="3"/>
  <c r="AA103" i="3"/>
  <c r="AB103" i="3"/>
  <c r="AB98" i="3"/>
  <c r="AB101" i="3"/>
  <c r="AB99" i="3"/>
  <c r="AC101" i="3"/>
  <c r="AB102" i="3"/>
  <c r="AC102" i="3"/>
  <c r="AC98" i="3"/>
  <c r="AC99" i="3"/>
  <c r="AC100" i="3"/>
  <c r="AC103" i="3"/>
  <c r="AD101" i="3"/>
  <c r="AD102" i="3"/>
  <c r="AD100" i="3"/>
  <c r="AE98" i="3"/>
  <c r="AD99" i="3"/>
  <c r="AE100" i="3"/>
  <c r="AD98" i="3"/>
  <c r="AD103" i="3"/>
  <c r="AE102" i="3"/>
  <c r="AE101" i="3"/>
  <c r="AE99" i="3"/>
  <c r="AE103" i="3"/>
  <c r="AF100" i="3"/>
  <c r="AF103" i="3"/>
  <c r="AF102" i="3"/>
  <c r="AF99" i="3"/>
  <c r="AF101" i="3"/>
  <c r="AF98" i="3"/>
  <c r="P87" i="3"/>
  <c r="P88" i="3"/>
  <c r="Q87" i="3"/>
  <c r="Q89" i="3"/>
  <c r="Q93" i="3"/>
  <c r="Q91" i="3"/>
  <c r="P91" i="3"/>
  <c r="P93" i="3"/>
  <c r="P90" i="3"/>
  <c r="Q86" i="3"/>
  <c r="Q90" i="3"/>
  <c r="Q92" i="3"/>
  <c r="Q88" i="3"/>
  <c r="Q94" i="3"/>
  <c r="P94" i="3"/>
  <c r="P86" i="3"/>
  <c r="R91" i="3"/>
  <c r="R92" i="3"/>
  <c r="R90" i="3"/>
  <c r="R87" i="3"/>
  <c r="R93" i="3"/>
  <c r="R94" i="3"/>
  <c r="R89" i="3"/>
  <c r="Y93" i="3"/>
  <c r="R88" i="3"/>
  <c r="Y90" i="3"/>
  <c r="Y92" i="3"/>
  <c r="Y86" i="3"/>
  <c r="Z91" i="3"/>
  <c r="Z94" i="3"/>
  <c r="Z89" i="3"/>
  <c r="Z90" i="3"/>
  <c r="Z86" i="3"/>
  <c r="Z92" i="3"/>
  <c r="AA94" i="3"/>
  <c r="AA86" i="3"/>
  <c r="Z88" i="3"/>
  <c r="Z93" i="3"/>
  <c r="AA87" i="3"/>
  <c r="AA89" i="3"/>
  <c r="R86" i="3"/>
  <c r="AA92" i="3"/>
  <c r="AB92" i="3"/>
  <c r="AB89" i="3"/>
  <c r="AB94" i="3"/>
  <c r="AB86" i="3"/>
  <c r="AB90" i="3"/>
  <c r="AB93" i="3"/>
  <c r="AB91" i="3"/>
  <c r="AB88" i="3"/>
  <c r="AB87" i="3"/>
  <c r="AC88" i="3"/>
  <c r="AC94" i="3"/>
  <c r="AC91" i="3"/>
  <c r="AC89" i="3"/>
  <c r="AC92" i="3"/>
  <c r="AC87" i="3"/>
  <c r="AC93" i="3"/>
  <c r="AD89" i="3"/>
  <c r="AC90" i="3"/>
  <c r="AD90" i="3"/>
  <c r="AD91" i="3"/>
  <c r="AD93" i="3"/>
  <c r="AD88" i="3"/>
  <c r="AD92" i="3"/>
  <c r="AE90" i="3"/>
  <c r="AE93" i="3"/>
  <c r="AD87" i="3"/>
  <c r="AD94" i="3"/>
  <c r="AE91" i="3"/>
  <c r="AE89" i="3"/>
  <c r="AF91" i="3"/>
  <c r="AE92" i="3"/>
  <c r="AF90" i="3"/>
  <c r="AE94" i="3"/>
  <c r="AF89" i="3"/>
  <c r="AE88" i="3"/>
  <c r="AE87" i="3"/>
  <c r="AF88" i="3"/>
  <c r="AF93" i="3"/>
  <c r="AF86" i="3"/>
  <c r="AF92" i="3"/>
  <c r="AF94" i="3"/>
  <c r="AF87" i="3"/>
  <c r="P82" i="3"/>
  <c r="P73" i="3"/>
  <c r="P70" i="3"/>
  <c r="Q74" i="3"/>
  <c r="Q82" i="3"/>
  <c r="Q75" i="3"/>
  <c r="P74" i="3"/>
  <c r="P81" i="3"/>
  <c r="P79" i="3"/>
  <c r="Q80" i="3"/>
  <c r="P76" i="3"/>
  <c r="Q81" i="3"/>
  <c r="P78" i="3"/>
  <c r="Q70" i="3"/>
  <c r="Q79" i="3"/>
  <c r="Q76" i="3"/>
  <c r="P75" i="3"/>
  <c r="Q72" i="3"/>
  <c r="Q77" i="3"/>
  <c r="Q78" i="3"/>
  <c r="Q73" i="3"/>
  <c r="P77" i="3"/>
  <c r="R77" i="3"/>
  <c r="X72" i="3"/>
  <c r="R81" i="3"/>
  <c r="R74" i="3"/>
  <c r="R76" i="3"/>
  <c r="R75" i="3"/>
  <c r="R73" i="3"/>
  <c r="R79" i="3"/>
  <c r="R78" i="3"/>
  <c r="R80" i="3"/>
  <c r="R70" i="3"/>
  <c r="Y79" i="3"/>
  <c r="Y72" i="3"/>
  <c r="R82" i="3"/>
  <c r="Y74" i="3"/>
  <c r="Y81" i="3"/>
  <c r="Z77" i="3"/>
  <c r="Z81" i="3"/>
  <c r="Z78" i="3"/>
  <c r="Z74" i="3"/>
  <c r="Z73" i="3"/>
  <c r="Z82" i="3"/>
  <c r="Z76" i="3"/>
  <c r="Z70" i="3"/>
  <c r="Z75" i="3"/>
  <c r="Z80" i="3"/>
  <c r="AA72" i="3"/>
  <c r="AA76" i="3"/>
  <c r="AA80" i="3"/>
  <c r="AA77" i="3"/>
  <c r="AA75" i="3"/>
  <c r="AA79" i="3"/>
  <c r="AA74" i="3"/>
  <c r="AB70" i="3"/>
  <c r="AB82" i="3"/>
  <c r="AA70" i="3"/>
  <c r="AB79" i="3"/>
  <c r="R72" i="3"/>
  <c r="AB74" i="3"/>
  <c r="AA82" i="3"/>
  <c r="AB72" i="3"/>
  <c r="AB76" i="3"/>
  <c r="AC76" i="3"/>
  <c r="AB77" i="3"/>
  <c r="AB78" i="3"/>
  <c r="AC81" i="3"/>
  <c r="AB81" i="3"/>
  <c r="AB80" i="3"/>
  <c r="AC70" i="3"/>
  <c r="AC79" i="3"/>
  <c r="AB73" i="3"/>
  <c r="AC72" i="3"/>
  <c r="AC82" i="3"/>
  <c r="AC78" i="3"/>
  <c r="AC77" i="3"/>
  <c r="AC80" i="3"/>
  <c r="AC75" i="3"/>
  <c r="AC73" i="3"/>
  <c r="AC74" i="3"/>
  <c r="AD81" i="3"/>
  <c r="AD73" i="3"/>
  <c r="AD78" i="3"/>
  <c r="AD77" i="3"/>
  <c r="AE76" i="3"/>
  <c r="AD72" i="3"/>
  <c r="AD80" i="3"/>
  <c r="AD74" i="3"/>
  <c r="AD79" i="3"/>
  <c r="AE80" i="3"/>
  <c r="AD75" i="3"/>
  <c r="AD76" i="3"/>
  <c r="AD82" i="3"/>
  <c r="AD70" i="3"/>
  <c r="AE82" i="3"/>
  <c r="AE78" i="3"/>
  <c r="AE74" i="3"/>
  <c r="AE70" i="3"/>
  <c r="AE79" i="3"/>
  <c r="AF74" i="3"/>
  <c r="AF78" i="3"/>
  <c r="AE77" i="3"/>
  <c r="AF82" i="3"/>
  <c r="AF76" i="3"/>
  <c r="AF81" i="3"/>
  <c r="AE75" i="3"/>
  <c r="AE72" i="3"/>
  <c r="AE81" i="3"/>
  <c r="AF77" i="3"/>
  <c r="AE73" i="3"/>
  <c r="AF80" i="3"/>
  <c r="AF79" i="3"/>
  <c r="AF72" i="3"/>
  <c r="AF75" i="3"/>
  <c r="AF73" i="3"/>
  <c r="AF70" i="3"/>
  <c r="E83" i="9" l="1"/>
  <c r="I81" i="9"/>
  <c r="H81" i="9"/>
  <c r="M81" i="9"/>
  <c r="L81" i="9"/>
  <c r="X92" i="3"/>
  <c r="X84" i="3" s="1"/>
  <c r="Y88" i="3"/>
  <c r="Y84" i="3" s="1"/>
  <c r="X74" i="3"/>
  <c r="X68" i="3" s="1"/>
  <c r="X98" i="3"/>
  <c r="Y98" i="3"/>
  <c r="P84" i="3"/>
  <c r="AE84" i="3"/>
  <c r="Q84" i="3"/>
  <c r="AF84" i="3"/>
  <c r="R84" i="3"/>
  <c r="AD84" i="3"/>
  <c r="AC84" i="3"/>
  <c r="AB84" i="3"/>
  <c r="AA84" i="3"/>
  <c r="AF68" i="3"/>
  <c r="Z84" i="3"/>
  <c r="AB68" i="3"/>
  <c r="Y68" i="3"/>
  <c r="AE68" i="3"/>
  <c r="R68" i="3"/>
  <c r="Z68" i="3"/>
  <c r="P68" i="3"/>
  <c r="AC68" i="3"/>
  <c r="AA68" i="3"/>
  <c r="Q68" i="3"/>
  <c r="AD68" i="3"/>
  <c r="V72" i="3"/>
  <c r="V68" i="3" s="1"/>
  <c r="P60" i="3"/>
  <c r="U61" i="3"/>
  <c r="U60" i="3"/>
  <c r="W61" i="3"/>
  <c r="P61" i="3"/>
  <c r="V61" i="3"/>
  <c r="V60" i="3"/>
  <c r="W60" i="3"/>
  <c r="X60" i="3"/>
  <c r="Q61" i="3"/>
  <c r="Y61" i="3"/>
  <c r="X61" i="3"/>
  <c r="Y60" i="3"/>
  <c r="R61" i="3"/>
  <c r="Z60" i="3"/>
  <c r="AA61" i="3"/>
  <c r="AA60" i="3"/>
  <c r="AB60" i="3"/>
  <c r="AB61" i="3"/>
  <c r="AC61" i="3"/>
  <c r="Z61" i="3"/>
  <c r="AD61" i="3"/>
  <c r="AD60" i="3"/>
  <c r="AE61" i="3"/>
  <c r="AF61" i="3"/>
  <c r="Q60" i="3"/>
  <c r="AC60" i="3"/>
  <c r="AE60" i="3"/>
  <c r="AF60" i="3"/>
  <c r="R60" i="3"/>
  <c r="U55" i="3"/>
  <c r="P55" i="3"/>
  <c r="P56" i="3"/>
  <c r="W55" i="3"/>
  <c r="U56" i="3"/>
  <c r="Q55" i="3"/>
  <c r="V56" i="3"/>
  <c r="Q56" i="3"/>
  <c r="X55" i="3"/>
  <c r="W56" i="3"/>
  <c r="Y55" i="3"/>
  <c r="X56" i="3"/>
  <c r="Y56" i="3"/>
  <c r="Z56" i="3"/>
  <c r="R55" i="3"/>
  <c r="Z55" i="3"/>
  <c r="AA56" i="3"/>
  <c r="AA55" i="3"/>
  <c r="AB56" i="3"/>
  <c r="AC56" i="3"/>
  <c r="AD56" i="3"/>
  <c r="AC55" i="3"/>
  <c r="AD55" i="3"/>
  <c r="AE55" i="3"/>
  <c r="AF56" i="3"/>
  <c r="AE56" i="3"/>
  <c r="AB55" i="3"/>
  <c r="R56" i="3"/>
  <c r="AF55" i="3"/>
  <c r="V55" i="3"/>
  <c r="U40" i="3"/>
  <c r="P27" i="3"/>
  <c r="U35" i="3"/>
  <c r="U37" i="3"/>
  <c r="U27" i="3"/>
  <c r="U36" i="3"/>
  <c r="P28" i="3"/>
  <c r="P42" i="3"/>
  <c r="P33" i="3"/>
  <c r="U29" i="3"/>
  <c r="P47" i="3"/>
  <c r="P43" i="3"/>
  <c r="P37" i="3"/>
  <c r="U30" i="3"/>
  <c r="P44" i="3"/>
  <c r="U34" i="3"/>
  <c r="U47" i="3"/>
  <c r="Q27" i="3"/>
  <c r="V38" i="3"/>
  <c r="P39" i="3"/>
  <c r="V45" i="3"/>
  <c r="P29" i="3"/>
  <c r="V29" i="3"/>
  <c r="V41" i="3"/>
  <c r="P34" i="3"/>
  <c r="V39" i="3"/>
  <c r="P41" i="3"/>
  <c r="P38" i="3"/>
  <c r="V36" i="3"/>
  <c r="U42" i="3"/>
  <c r="V47" i="3"/>
  <c r="Q40" i="3"/>
  <c r="U49" i="3"/>
  <c r="P36" i="3"/>
  <c r="V42" i="3"/>
  <c r="V46" i="3"/>
  <c r="P48" i="3"/>
  <c r="U41" i="3"/>
  <c r="V33" i="3"/>
  <c r="Q32" i="3"/>
  <c r="P31" i="3"/>
  <c r="V30" i="3"/>
  <c r="P35" i="3"/>
  <c r="V40" i="3"/>
  <c r="V49" i="3"/>
  <c r="V27" i="3"/>
  <c r="W44" i="3"/>
  <c r="Q48" i="3"/>
  <c r="Q49" i="3"/>
  <c r="U31" i="3"/>
  <c r="U43" i="3"/>
  <c r="U33" i="3"/>
  <c r="U45" i="3"/>
  <c r="X46" i="3"/>
  <c r="W32" i="3"/>
  <c r="Q43" i="3"/>
  <c r="U38" i="3"/>
  <c r="X39" i="3"/>
  <c r="W41" i="3"/>
  <c r="V32" i="3"/>
  <c r="W36" i="3"/>
  <c r="X27" i="3"/>
  <c r="Q44" i="3"/>
  <c r="U39" i="3"/>
  <c r="U28" i="3"/>
  <c r="U48" i="3"/>
  <c r="X38" i="3"/>
  <c r="Q47" i="3"/>
  <c r="Q34" i="3"/>
  <c r="W30" i="3"/>
  <c r="Q29" i="3"/>
  <c r="W27" i="3"/>
  <c r="Q39" i="3"/>
  <c r="Q33" i="3"/>
  <c r="U46" i="3"/>
  <c r="W40" i="3"/>
  <c r="W47" i="3"/>
  <c r="V35" i="3"/>
  <c r="X49" i="3"/>
  <c r="W38" i="3"/>
  <c r="X36" i="3"/>
  <c r="Q45" i="3"/>
  <c r="U32" i="3"/>
  <c r="V34" i="3"/>
  <c r="X42" i="3"/>
  <c r="Q31" i="3"/>
  <c r="W29" i="3"/>
  <c r="V43" i="3"/>
  <c r="X45" i="3"/>
  <c r="P40" i="3"/>
  <c r="X43" i="3"/>
  <c r="Q35" i="3"/>
  <c r="V44" i="3"/>
  <c r="X34" i="3"/>
  <c r="U44" i="3"/>
  <c r="V28" i="3"/>
  <c r="Q38" i="3"/>
  <c r="Y33" i="3"/>
  <c r="P49" i="3"/>
  <c r="Q36" i="3"/>
  <c r="Q41" i="3"/>
  <c r="X29" i="3"/>
  <c r="W39" i="3"/>
  <c r="X47" i="3"/>
  <c r="Q28" i="3"/>
  <c r="V37" i="3"/>
  <c r="X35" i="3"/>
  <c r="P32" i="3"/>
  <c r="W33" i="3"/>
  <c r="Y27" i="3"/>
  <c r="V48" i="3"/>
  <c r="Y42" i="3"/>
  <c r="W45" i="3"/>
  <c r="P30" i="3"/>
  <c r="V31" i="3"/>
  <c r="Y31" i="3"/>
  <c r="Y46" i="3"/>
  <c r="Y49" i="3"/>
  <c r="W42" i="3"/>
  <c r="W28" i="3"/>
  <c r="W49" i="3"/>
  <c r="Y36" i="3"/>
  <c r="W48" i="3"/>
  <c r="W34" i="3"/>
  <c r="W43" i="3"/>
  <c r="Y44" i="3"/>
  <c r="Z27" i="3"/>
  <c r="R37" i="3"/>
  <c r="W37" i="3"/>
  <c r="W31" i="3"/>
  <c r="Y34" i="3"/>
  <c r="R31" i="3"/>
  <c r="Y38" i="3"/>
  <c r="Z43" i="3"/>
  <c r="W46" i="3"/>
  <c r="X31" i="3"/>
  <c r="W35" i="3"/>
  <c r="R28" i="3"/>
  <c r="X41" i="3"/>
  <c r="Z42" i="3"/>
  <c r="Z35" i="3"/>
  <c r="Z46" i="3"/>
  <c r="R35" i="3"/>
  <c r="Y29" i="3"/>
  <c r="Z29" i="3"/>
  <c r="R44" i="3"/>
  <c r="AA49" i="3"/>
  <c r="X33" i="3"/>
  <c r="Z31" i="3"/>
  <c r="X40" i="3"/>
  <c r="AA46" i="3"/>
  <c r="Z28" i="3"/>
  <c r="X28" i="3"/>
  <c r="Z37" i="3"/>
  <c r="Y32" i="3"/>
  <c r="Z47" i="3"/>
  <c r="X30" i="3"/>
  <c r="AA39" i="3"/>
  <c r="Y37" i="3"/>
  <c r="Z45" i="3"/>
  <c r="AB47" i="3"/>
  <c r="X44" i="3"/>
  <c r="AA32" i="3"/>
  <c r="Z48" i="3"/>
  <c r="Y40" i="3"/>
  <c r="AB46" i="3"/>
  <c r="X37" i="3"/>
  <c r="Z34" i="3"/>
  <c r="AA28" i="3"/>
  <c r="Z38" i="3"/>
  <c r="AA43" i="3"/>
  <c r="Y35" i="3"/>
  <c r="AA44" i="3"/>
  <c r="Y39" i="3"/>
  <c r="R36" i="3"/>
  <c r="AA27" i="3"/>
  <c r="AC48" i="3"/>
  <c r="AB37" i="3"/>
  <c r="AB34" i="3"/>
  <c r="AB35" i="3"/>
  <c r="Y48" i="3"/>
  <c r="AB29" i="3"/>
  <c r="AB41" i="3"/>
  <c r="Y41" i="3"/>
  <c r="AB48" i="3"/>
  <c r="AB38" i="3"/>
  <c r="Y43" i="3"/>
  <c r="AA31" i="3"/>
  <c r="X32" i="3"/>
  <c r="AB33" i="3"/>
  <c r="AA35" i="3"/>
  <c r="AA40" i="3"/>
  <c r="AB43" i="3"/>
  <c r="AA33" i="3"/>
  <c r="AA41" i="3"/>
  <c r="AB27" i="3"/>
  <c r="AB32" i="3"/>
  <c r="Y28" i="3"/>
  <c r="Y45" i="3"/>
  <c r="Y47" i="3"/>
  <c r="Y30" i="3"/>
  <c r="AB31" i="3"/>
  <c r="AB30" i="3"/>
  <c r="AB39" i="3"/>
  <c r="Z32" i="3"/>
  <c r="AC29" i="3"/>
  <c r="Z30" i="3"/>
  <c r="AC47" i="3"/>
  <c r="Z41" i="3"/>
  <c r="AC45" i="3"/>
  <c r="Z49" i="3"/>
  <c r="AC32" i="3"/>
  <c r="AB42" i="3"/>
  <c r="AC46" i="3"/>
  <c r="AC30" i="3"/>
  <c r="AC35" i="3"/>
  <c r="AB44" i="3"/>
  <c r="AB45" i="3"/>
  <c r="AD38" i="3"/>
  <c r="AC49" i="3"/>
  <c r="AC39" i="3"/>
  <c r="Z40" i="3"/>
  <c r="Z33" i="3"/>
  <c r="AC28" i="3"/>
  <c r="AC43" i="3"/>
  <c r="Z39" i="3"/>
  <c r="AC42" i="3"/>
  <c r="AC44" i="3"/>
  <c r="AD46" i="3"/>
  <c r="AC31" i="3"/>
  <c r="AD27" i="3"/>
  <c r="AD41" i="3"/>
  <c r="AC27" i="3"/>
  <c r="Z44" i="3"/>
  <c r="AC34" i="3"/>
  <c r="AD35" i="3"/>
  <c r="AD42" i="3"/>
  <c r="AD28" i="3"/>
  <c r="AD30" i="3"/>
  <c r="AD36" i="3"/>
  <c r="AE41" i="3"/>
  <c r="AD31" i="3"/>
  <c r="AD44" i="3"/>
  <c r="AD37" i="3"/>
  <c r="AD45" i="3"/>
  <c r="AD29" i="3"/>
  <c r="AE30" i="3"/>
  <c r="AE28" i="3"/>
  <c r="AE44" i="3"/>
  <c r="AF42" i="3"/>
  <c r="AE46" i="3"/>
  <c r="AD39" i="3"/>
  <c r="AE32" i="3"/>
  <c r="AE38" i="3"/>
  <c r="AF29" i="3"/>
  <c r="AE29" i="3"/>
  <c r="AE42" i="3"/>
  <c r="AA48" i="3"/>
  <c r="AE37" i="3"/>
  <c r="AA34" i="3"/>
  <c r="AE48" i="3"/>
  <c r="AA47" i="3"/>
  <c r="AD33" i="3"/>
  <c r="AE34" i="3"/>
  <c r="AD32" i="3"/>
  <c r="AA30" i="3"/>
  <c r="AE33" i="3"/>
  <c r="AE39" i="3"/>
  <c r="AE35" i="3"/>
  <c r="AE31" i="3"/>
  <c r="AF33" i="3"/>
  <c r="Q46" i="3"/>
  <c r="AF28" i="3"/>
  <c r="AF38" i="3"/>
  <c r="AF45" i="3"/>
  <c r="AF30" i="3"/>
  <c r="AF32" i="3"/>
  <c r="AF40" i="3"/>
  <c r="AA42" i="3"/>
  <c r="AE43" i="3"/>
  <c r="AA29" i="3"/>
  <c r="Q37" i="3"/>
  <c r="AF34" i="3"/>
  <c r="AF49" i="3"/>
  <c r="AF47" i="3"/>
  <c r="AF36" i="3"/>
  <c r="AF39" i="3"/>
  <c r="AF46" i="3"/>
  <c r="AF35" i="3"/>
  <c r="AA36" i="3"/>
  <c r="AA37" i="3"/>
  <c r="AF41" i="3"/>
  <c r="AA45" i="3"/>
  <c r="AA38" i="3"/>
  <c r="AB28" i="3"/>
  <c r="AF43" i="3"/>
  <c r="Q42" i="3"/>
  <c r="AB36" i="3"/>
  <c r="AB40" i="3"/>
  <c r="AF48" i="3"/>
  <c r="AD43" i="3"/>
  <c r="Q30" i="3"/>
  <c r="AB49" i="3"/>
  <c r="AC36" i="3"/>
  <c r="AC33" i="3"/>
  <c r="AD49" i="3"/>
  <c r="AD47" i="3"/>
  <c r="AC37" i="3"/>
  <c r="AD48" i="3"/>
  <c r="AE47" i="3"/>
  <c r="AC38" i="3"/>
  <c r="AD34" i="3"/>
  <c r="AC40" i="3"/>
  <c r="AC41" i="3"/>
  <c r="AE49" i="3"/>
  <c r="AE36" i="3"/>
  <c r="AD40" i="3"/>
  <c r="AE45" i="3"/>
  <c r="R30" i="3"/>
  <c r="AE40" i="3"/>
  <c r="AF27" i="3"/>
  <c r="AE27" i="3"/>
  <c r="R46" i="3"/>
  <c r="AF37" i="3"/>
  <c r="AF44" i="3"/>
  <c r="AF31" i="3"/>
  <c r="P46" i="3"/>
  <c r="R32" i="3"/>
  <c r="R39" i="3"/>
  <c r="R49" i="3"/>
  <c r="R42" i="3"/>
  <c r="R43" i="3"/>
  <c r="R38" i="3"/>
  <c r="R40" i="3"/>
  <c r="R29" i="3"/>
  <c r="P45" i="3"/>
  <c r="Z36" i="3"/>
  <c r="R34" i="3"/>
  <c r="R48" i="3"/>
  <c r="R45" i="3"/>
  <c r="X48" i="3"/>
  <c r="R47" i="3"/>
  <c r="R33" i="3"/>
  <c r="R27" i="3"/>
  <c r="R41" i="3"/>
  <c r="Q18" i="3"/>
  <c r="U17" i="3"/>
  <c r="U19" i="3"/>
  <c r="U18" i="3"/>
  <c r="V17" i="3"/>
  <c r="Q20" i="3"/>
  <c r="V18" i="3"/>
  <c r="W20" i="3"/>
  <c r="Q19" i="3"/>
  <c r="W18" i="3"/>
  <c r="W17" i="3"/>
  <c r="U20" i="3"/>
  <c r="X20" i="3"/>
  <c r="X17" i="3"/>
  <c r="V19" i="3"/>
  <c r="Y20" i="3"/>
  <c r="Y19" i="3"/>
  <c r="Y17" i="3"/>
  <c r="W19" i="3"/>
  <c r="R20" i="3"/>
  <c r="Z18" i="3"/>
  <c r="AA17" i="3"/>
  <c r="Z17" i="3"/>
  <c r="Z20" i="3"/>
  <c r="X18" i="3"/>
  <c r="AB18" i="3"/>
  <c r="AB20" i="3"/>
  <c r="Y18" i="3"/>
  <c r="R19" i="3"/>
  <c r="X19" i="3"/>
  <c r="AA20" i="3"/>
  <c r="AA18" i="3"/>
  <c r="AB19" i="3"/>
  <c r="AB17" i="3"/>
  <c r="AC18" i="3"/>
  <c r="AC17" i="3"/>
  <c r="AC20" i="3"/>
  <c r="AD20" i="3"/>
  <c r="AD19" i="3"/>
  <c r="AF19" i="3"/>
  <c r="AA19" i="3"/>
  <c r="Z19" i="3"/>
  <c r="AE19" i="3"/>
  <c r="AE20" i="3"/>
  <c r="AE18" i="3"/>
  <c r="AF18" i="3"/>
  <c r="AF20" i="3"/>
  <c r="Q17" i="3"/>
  <c r="AC19" i="3"/>
  <c r="R18" i="3"/>
  <c r="AD18" i="3"/>
  <c r="AF17" i="3"/>
  <c r="AD17" i="3"/>
  <c r="AE17" i="3"/>
  <c r="P18" i="3"/>
  <c r="V20" i="3"/>
  <c r="P20" i="3"/>
  <c r="R17" i="3"/>
  <c r="P17" i="3"/>
  <c r="P19" i="3"/>
  <c r="U12" i="3"/>
  <c r="Q12" i="3"/>
  <c r="U13" i="3"/>
  <c r="V12" i="3"/>
  <c r="W13" i="3"/>
  <c r="P13" i="3"/>
  <c r="V13" i="3"/>
  <c r="W12" i="3"/>
  <c r="Q13" i="3"/>
  <c r="X13" i="3"/>
  <c r="X12" i="3"/>
  <c r="Y12" i="3"/>
  <c r="Y13" i="3"/>
  <c r="Z12" i="3"/>
  <c r="Z13" i="3"/>
  <c r="AA12" i="3"/>
  <c r="AA13" i="3"/>
  <c r="AB12" i="3"/>
  <c r="R13" i="3"/>
  <c r="AB13" i="3"/>
  <c r="AC13" i="3"/>
  <c r="AC12" i="3"/>
  <c r="AD12" i="3"/>
  <c r="AD13" i="3"/>
  <c r="AE13" i="3"/>
  <c r="AF13" i="3"/>
  <c r="AE12" i="3"/>
  <c r="AF12" i="3"/>
  <c r="R12" i="3"/>
  <c r="P12" i="3"/>
  <c r="M83" i="9" l="1"/>
  <c r="L83" i="9"/>
  <c r="E84" i="9"/>
  <c r="H83" i="9"/>
  <c r="I83" i="9"/>
  <c r="R58" i="3"/>
  <c r="P58" i="3"/>
  <c r="U58" i="3"/>
  <c r="V53" i="3"/>
  <c r="AB58" i="3"/>
  <c r="V58" i="3"/>
  <c r="R53" i="3"/>
  <c r="Q53" i="3"/>
  <c r="AD58" i="3"/>
  <c r="W58" i="3"/>
  <c r="AF58" i="3"/>
  <c r="P53" i="3"/>
  <c r="Z53" i="3"/>
  <c r="AE53" i="3"/>
  <c r="Y58" i="3"/>
  <c r="Q58" i="3"/>
  <c r="AB15" i="3"/>
  <c r="X58" i="3"/>
  <c r="AE58" i="3"/>
  <c r="AA53" i="3"/>
  <c r="AC58" i="3"/>
  <c r="AA58" i="3"/>
  <c r="Z58" i="3"/>
  <c r="AF53" i="3"/>
  <c r="X53" i="3"/>
  <c r="AD53" i="3"/>
  <c r="AC53" i="3"/>
  <c r="AB53" i="3"/>
  <c r="R10" i="3"/>
  <c r="W53" i="3"/>
  <c r="R15" i="3"/>
  <c r="Y53" i="3"/>
  <c r="U53" i="3"/>
  <c r="AB25" i="3"/>
  <c r="R25" i="3"/>
  <c r="AD10" i="3"/>
  <c r="Z15" i="3"/>
  <c r="Z25" i="3"/>
  <c r="V25" i="3"/>
  <c r="AA25" i="3"/>
  <c r="Q10" i="3"/>
  <c r="AA10" i="3"/>
  <c r="AE25" i="3"/>
  <c r="AC25" i="3"/>
  <c r="Z10" i="3"/>
  <c r="Y15" i="3"/>
  <c r="U25" i="3"/>
  <c r="Y10" i="3"/>
  <c r="AC15" i="3"/>
  <c r="W25" i="3"/>
  <c r="X25" i="3"/>
  <c r="X10" i="3"/>
  <c r="AF25" i="3"/>
  <c r="Y25" i="3"/>
  <c r="Q25" i="3"/>
  <c r="P25" i="3"/>
  <c r="AD25" i="3"/>
  <c r="AD15" i="3"/>
  <c r="AC10" i="3"/>
  <c r="AB10" i="3"/>
  <c r="W10" i="3"/>
  <c r="W15" i="3"/>
  <c r="Q15" i="3"/>
  <c r="AE15" i="3"/>
  <c r="AF15" i="3"/>
  <c r="AA15" i="3"/>
  <c r="V15" i="3"/>
  <c r="X15" i="3"/>
  <c r="U15" i="3"/>
  <c r="AE10" i="3"/>
  <c r="P15" i="3"/>
  <c r="AF10" i="3"/>
  <c r="P10" i="3"/>
  <c r="V10" i="3"/>
  <c r="U10" i="3"/>
  <c r="M84" i="9" l="1"/>
  <c r="L84" i="9"/>
  <c r="H84" i="9"/>
  <c r="I84" i="9"/>
  <c r="R63" i="3"/>
  <c r="P63" i="3"/>
  <c r="AD22" i="3"/>
  <c r="AD23" i="3" s="1"/>
  <c r="AA22" i="3"/>
  <c r="AA23" i="3" s="1"/>
  <c r="Z63" i="3"/>
  <c r="AB63" i="3"/>
  <c r="Z22" i="3"/>
  <c r="Z23" i="3" s="1"/>
  <c r="U63" i="3"/>
  <c r="V63" i="3"/>
  <c r="AF63" i="3"/>
  <c r="V22" i="3"/>
  <c r="V51" i="3" s="1"/>
  <c r="W63" i="3"/>
  <c r="X63" i="3"/>
  <c r="Q63" i="3"/>
  <c r="AE63" i="3"/>
  <c r="AD63" i="3"/>
  <c r="R22" i="3"/>
  <c r="R23" i="3" s="1"/>
  <c r="AB22" i="3"/>
  <c r="AB51" i="3" s="1"/>
  <c r="Y63" i="3"/>
  <c r="Y22" i="3"/>
  <c r="Y23" i="3" s="1"/>
  <c r="AA63" i="3"/>
  <c r="AC63" i="3"/>
  <c r="Q22" i="3"/>
  <c r="Q23" i="3" s="1"/>
  <c r="P22" i="3"/>
  <c r="P51" i="3" s="1"/>
  <c r="X22" i="3"/>
  <c r="X23" i="3" s="1"/>
  <c r="AC22" i="3"/>
  <c r="AE22" i="3"/>
  <c r="W22" i="3"/>
  <c r="U22" i="3"/>
  <c r="U23" i="3" s="1"/>
  <c r="AF22" i="3"/>
  <c r="AF23" i="3" s="1"/>
  <c r="AD51" i="3" l="1"/>
  <c r="AD65" i="3" s="1"/>
  <c r="AD111" i="3" s="1"/>
  <c r="P65" i="3"/>
  <c r="P111" i="3" s="1"/>
  <c r="AA51" i="3"/>
  <c r="AA65" i="3" s="1"/>
  <c r="AA111" i="3" s="1"/>
  <c r="Z51" i="3"/>
  <c r="Z65" i="3" s="1"/>
  <c r="Z111" i="3" s="1"/>
  <c r="V65" i="3"/>
  <c r="V111" i="3" s="1"/>
  <c r="AB65" i="3"/>
  <c r="AB111" i="3" s="1"/>
  <c r="V23" i="3"/>
  <c r="Q51" i="3"/>
  <c r="Q65" i="3" s="1"/>
  <c r="Q111" i="3" s="1"/>
  <c r="R51" i="3"/>
  <c r="R65" i="3" s="1"/>
  <c r="R111" i="3" s="1"/>
  <c r="AB23" i="3"/>
  <c r="P23" i="3"/>
  <c r="U51" i="3"/>
  <c r="U65" i="3" s="1"/>
  <c r="U111" i="3" s="1"/>
  <c r="Y51" i="3"/>
  <c r="Y65" i="3" s="1"/>
  <c r="Y111" i="3" s="1"/>
  <c r="AC23" i="3"/>
  <c r="AC51" i="3"/>
  <c r="AC65" i="3" s="1"/>
  <c r="AC111" i="3" s="1"/>
  <c r="X51" i="3"/>
  <c r="X65" i="3" s="1"/>
  <c r="X111" i="3" s="1"/>
  <c r="AF51" i="3"/>
  <c r="AF65" i="3" s="1"/>
  <c r="AF111" i="3" s="1"/>
  <c r="W23" i="3"/>
  <c r="W51" i="3"/>
  <c r="W65" i="3" s="1"/>
  <c r="W111" i="3" s="1"/>
  <c r="AE51" i="3"/>
  <c r="AE65" i="3" s="1"/>
  <c r="AE111" i="3" s="1"/>
  <c r="AE23" i="3"/>
  <c r="C10" i="5" l="1" a="1"/>
  <c r="C10" i="5" s="1"/>
  <c r="D10" i="5" s="1"/>
  <c r="E10" i="5" s="1"/>
  <c r="C9" i="5" a="1"/>
  <c r="C9" i="5" s="1"/>
  <c r="C12" i="5" s="1"/>
  <c r="D9" i="5" l="1"/>
  <c r="E9" i="5" s="1"/>
  <c r="D12" i="5" l="1"/>
  <c r="A3" i="3" l="1"/>
  <c r="A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<sst xmlns="http://schemas.openxmlformats.org/spreadsheetml/2006/main" count="2848" uniqueCount="539">
  <si>
    <t>Turn #</t>
  </si>
  <si>
    <t>Date</t>
  </si>
  <si>
    <t>User Request</t>
  </si>
  <si>
    <t>Action Taken</t>
  </si>
  <si>
    <t>Details</t>
  </si>
  <si>
    <t>Outcome</t>
  </si>
  <si>
    <t>Created 'KPI Dashboard' sheet with 16 dynamic KPI cards, 4 charts (Revenue &amp; COGS bar, Opex doughnut, Cash trend area, Revenue vs Opex line), all referencing Data Summary</t>
  </si>
  <si>
    <t>KPI Dashboard created as first tab with all metrics dynamically linked. Charts show 12-month trends. Latest actuals: Sep 2025.</t>
  </si>
  <si>
    <t>Create summarized financial statements view with period dropdown, prior period comparison ($ and % delta), and prior year comparison ($ and % delta). Match Model Wiz branding.</t>
  </si>
  <si>
    <t>Created 'Financial Statements' sheet with P&amp;L and Balance Sheet, dynamic period selector dropdown (15 options), and full comparison columns.</t>
  </si>
  <si>
    <t>P&amp;L: Revenue, COGS, Gross Profit, 5 Opex categories, Total Opex, Operating Income, Other Income, D&amp;A, Other Expenses, Net Income. BS: 5 asset lines, Total Assets, 4 liability lines, Total Liabilities, 2 equity lines, Total Equity, Total L&amp;E. Dropdown in E4 uses Lists tab period definitions (This Month, Last Month, etc.). SUMPRODUCT formulas for P&amp;L (date-range based), INDEX/MATCH for BS (point-in-time). Helper lookups in grouped rows 60-70. Conditional formatting: green/red for positive/negative variances. Branding: #F5F5E7 bg, #38434D text, Aptos Narrow, dark header bar.</t>
  </si>
  <si>
    <t>Financial Statements sheet fully functional. Default: This Month (Sep 2025). Verified: Total Assets = Total L&amp;E ($1,033,267). All comparisons dynamic. Change dropdown to switch instantly.</t>
  </si>
  <si>
    <t>Extend Financial Statements tab with a Cash Flow Statement section, derived from Income Statement and Balance Sheet data, matching the existing P&amp;L and BS methodology.</t>
  </si>
  <si>
    <t>Built indirect Cash Flow Statement in rows 57-84 of Financial Statements sheet with 3 sections: Operating, Investing, Financing. Added Balance Sheet Check row to verify cash ties.</t>
  </si>
  <si>
    <t>Operating: Net Income + D&amp;A + 6 working capital changes (AR, Current Assets, Other CA, AP, Current Liabilities, Deferred Revenue). Investing: CapEx net of D&amp;A from Fixed Assets change. Financing: Debt + Contributed Capital changes. All formulas use INDEX/MATCH on Data Summary with $B$91-1 (beginning balance) and $B$92 (ending balance) dates. PP uses $B$95-1/$B$96, PY uses $B$98-1/$B$99. Variance columns (H/I for PP, L/M for PY) use =E-G and =IFERROR(E/G-1,0) pattern. Green (#2E7D32) / Red (#C62828) conditional coloring on variances. Number format: #,##0;(#,##0);"-" for dollars, 0.0% for percentages. Inserted 30 rows before row 56 for space; existing formulas auto-updated references.</t>
  </si>
  <si>
    <t>Cash Flow Statement complete. All 3 periods balance: E84=G84=K84=0 (Ending Cash ties to BS Cash). Q3 2025: Net Change $(700,917), Beginning Cash $1,594,040, Ending Cash $893,123. Fully dynamic — changes with period selector dropdown.</t>
  </si>
  <si>
    <t>Cash Flow rows look smushed — fix row heights.</t>
  </si>
  <si>
    <t>Resized all CF rows (57-84) to match the P&amp;L/BS row height pattern.</t>
  </si>
  <si>
    <t>All CF rows were 8pt (spacer height) due to inheriting from the inserted rows. Fixed: header row 57 → 16.5pt, data/label rows → 14.5pt, spacer rows (58,62,71,75,80) kept at 8pt, final total row 83 → 16.5pt. Matches P&amp;L pattern exactly.</t>
  </si>
  <si>
    <t>Cash Flow section now visually consistent with P&amp;L and Balance Sheet sections.</t>
  </si>
  <si>
    <t>Create new Financial Summary tab with all 3 financial statements across monthly, quarterly, annual, YTD, and TTM columns.</t>
  </si>
  <si>
    <t>Built 'Financial Summary' sheet (ID 10) with 1,488 formulas across 34 data columns and 48 data rows. P&amp;L, BS, and CF all fully dynamic.</t>
  </si>
  <si>
    <t>Layout: Cols E-Y = 21 monthly (Jan'24–Sep'25), AA-AG = 7 quarterly (Q1'24–Q3'25), AI = FY2024, AK = YTD 2025, AL = TTM. P&amp;L rows 8-29 pull from Data Summary via direct cell refs (monthly) and SUM of monthly cols (Q/Y/YTD/TTM). BS rows 32-54 use INDEX for point-in-time balances, with Q/Y/YTD/TTM referencing the end-of-period monthly column. CF rows 57-84 use indirect method: NI + D&amp;A + WC changes + CapEx + Financing. Monthly CF uses prior month BS for changes; first month (Jan'24) references Data Summary Dec'23 (col M). Multi-period CFs sum monthly CF rows. All 31 BS Check cells (row 84) = 0, confirming Ending Cash ties to BS Cash in every column. Formatting: #,##0;(#,##0) number format, 9pt font, Model Wiz branding (#F5F5E7 bg, #38434D text, Aptos Narrow), frozen rows 1-6 + cols A-D, section divider borders.</t>
  </si>
  <si>
    <t>Financial Summary sheet complete with all 3 statements x 5 time aggregations. All 31 columns balance (row 84 = 0 everywhere). Key totals: Sep'25 Net Income $(245,654), Total Assets $1,033,267, Ending Cash $893,123. FY2024 Net Income $(1,553,483). TTM Net Income $(2,335,663).</t>
  </si>
  <si>
    <t>◼ ◼</t>
  </si>
  <si>
    <t>FINANCIAL STATEMENTS</t>
  </si>
  <si>
    <t>YTD</t>
  </si>
  <si>
    <t>Selected Period</t>
  </si>
  <si>
    <t>Prior Period</t>
  </si>
  <si>
    <t>$ Var</t>
  </si>
  <si>
    <t>% Var</t>
  </si>
  <si>
    <t>Prior Year</t>
  </si>
  <si>
    <t>PROFIT &amp; LOSS</t>
  </si>
  <si>
    <t>Revenue</t>
  </si>
  <si>
    <t>Total Revenue</t>
  </si>
  <si>
    <t>Cost of Goods Sold</t>
  </si>
  <si>
    <t>Gross Profit</t>
  </si>
  <si>
    <t>Marketing &amp; Advertising</t>
  </si>
  <si>
    <t>Office &amp; Other G&amp;A</t>
  </si>
  <si>
    <t>Payroll</t>
  </si>
  <si>
    <t>Professional Services</t>
  </si>
  <si>
    <t>Travel &amp; Entertainment</t>
  </si>
  <si>
    <t>Total Operating Expenses</t>
  </si>
  <si>
    <t>Operating Income (Loss)</t>
  </si>
  <si>
    <t>Other Income</t>
  </si>
  <si>
    <t>Depreciation &amp; Amortization</t>
  </si>
  <si>
    <t>Other Expenses</t>
  </si>
  <si>
    <t>Net Income (Loss)</t>
  </si>
  <si>
    <t>BALANCE SHEET</t>
  </si>
  <si>
    <t>Assets</t>
  </si>
  <si>
    <t>Cash</t>
  </si>
  <si>
    <t>Accounts Receivable</t>
  </si>
  <si>
    <t>Current Assets</t>
  </si>
  <si>
    <t>Fixed Assets</t>
  </si>
  <si>
    <t>Other Current Assets</t>
  </si>
  <si>
    <t>Total Assets</t>
  </si>
  <si>
    <t>Liabilities</t>
  </si>
  <si>
    <t>Accounts Payable</t>
  </si>
  <si>
    <t>Current Liabilities</t>
  </si>
  <si>
    <t>Debt</t>
  </si>
  <si>
    <t>Deferred Revenue</t>
  </si>
  <si>
    <t>Total Liabilities</t>
  </si>
  <si>
    <t>Equity</t>
  </si>
  <si>
    <t>Contributed Capital</t>
  </si>
  <si>
    <t>Retained Earnings</t>
  </si>
  <si>
    <t>Total Equity</t>
  </si>
  <si>
    <t>Total Liabilities &amp; Equity</t>
  </si>
  <si>
    <t>CASH FLOW STATEMENT</t>
  </si>
  <si>
    <t>Cash from Operations</t>
  </si>
  <si>
    <t>Changes in Working Capital</t>
  </si>
  <si>
    <t>(Inc)/Dec in Accounts Receivable</t>
  </si>
  <si>
    <t>(Inc)/Dec in Current Assets</t>
  </si>
  <si>
    <t>(Inc)/Dec in Other Current Assets</t>
  </si>
  <si>
    <t>Inc/(Dec) in Accounts Payable</t>
  </si>
  <si>
    <t>Inc/(Dec) in Current Liabilities</t>
  </si>
  <si>
    <t>Inc/(Dec) in Deferred Revenue</t>
  </si>
  <si>
    <t>Net Cash from Operations</t>
  </si>
  <si>
    <t>Cash from Investing</t>
  </si>
  <si>
    <t>Capital Expenditures (Net)</t>
  </si>
  <si>
    <t>Net Cash from Investing</t>
  </si>
  <si>
    <t>Cash from Financing</t>
  </si>
  <si>
    <t>Inc/(Dec) in Debt</t>
  </si>
  <si>
    <t>Inc/(Dec) in Contributed Capital</t>
  </si>
  <si>
    <t>Net Cash from Financing</t>
  </si>
  <si>
    <t>Net Change in Cash</t>
  </si>
  <si>
    <t>Beginning Cash Balance</t>
  </si>
  <si>
    <t>Ending Cash Balance</t>
  </si>
  <si>
    <t>Balance Sheet Check</t>
  </si>
  <si>
    <t>Start Date</t>
  </si>
  <si>
    <t>End Date</t>
  </si>
  <si>
    <t>Display Text</t>
  </si>
  <si>
    <t>Periods</t>
  </si>
  <si>
    <t>PP Start</t>
  </si>
  <si>
    <t>PP End</t>
  </si>
  <si>
    <t>PP Display</t>
  </si>
  <si>
    <t>PY Start</t>
  </si>
  <si>
    <t>PY End</t>
  </si>
  <si>
    <t>PY Display</t>
  </si>
  <si>
    <t>__FIND_ME__</t>
  </si>
  <si>
    <t>FINANCIAL SUMMARY</t>
  </si>
  <si>
    <t>Q1 2024</t>
  </si>
  <si>
    <t>Q2 2024</t>
  </si>
  <si>
    <t>Q3 2024</t>
  </si>
  <si>
    <t>Q4 2024</t>
  </si>
  <si>
    <t>Q1 2025</t>
  </si>
  <si>
    <t>Q2 2025</t>
  </si>
  <si>
    <t>Q3 2025</t>
  </si>
  <si>
    <t>FY 2024</t>
  </si>
  <si>
    <t>YTD 2025</t>
  </si>
  <si>
    <t>TTM</t>
  </si>
  <si>
    <t>Monthly</t>
  </si>
  <si>
    <t>Quarterly</t>
  </si>
  <si>
    <t>Annual</t>
  </si>
  <si>
    <t>Year-to-Date</t>
  </si>
  <si>
    <t>Trailing 12 Mo.</t>
  </si>
  <si>
    <t>KPI DASHBOARD</t>
  </si>
  <si>
    <t>REVENUE (LTM)</t>
  </si>
  <si>
    <t>COGS (LTM)</t>
  </si>
  <si>
    <t>GROSS MARGIN (LTM)</t>
  </si>
  <si>
    <t>NET INCOME (LTM)</t>
  </si>
  <si>
    <t>CASH BALANCE</t>
  </si>
  <si>
    <t>ACCOUNTS RECEIVABLE</t>
  </si>
  <si>
    <t>TOTAL OPEX (LTM)</t>
  </si>
  <si>
    <t>DEBT BALANCE</t>
  </si>
  <si>
    <t>MONTHLY BURN RATE</t>
  </si>
  <si>
    <t>CASH RUNWAY (MONTHS)</t>
  </si>
  <si>
    <t>Cumulative Actual Period</t>
  </si>
  <si>
    <t>Revenue less COGS</t>
  </si>
  <si>
    <t>Revenue less all expenses</t>
  </si>
  <si>
    <t>Latest actual month</t>
  </si>
  <si>
    <t>Opex minus Revenue</t>
  </si>
  <si>
    <t>Cash ÷ Monthly Burn</t>
  </si>
  <si>
    <t>MONTHLY REVENUE</t>
  </si>
  <si>
    <t>MONTHLY OPEX</t>
  </si>
  <si>
    <t>PAYROLL</t>
  </si>
  <si>
    <t>MARKETING &amp; ADVERTISING</t>
  </si>
  <si>
    <t>PROF. SERVICES</t>
  </si>
  <si>
    <t>OFFICE &amp; G&amp;A</t>
  </si>
  <si>
    <t>TRAVEL &amp; ENTERTAINMENT</t>
  </si>
  <si>
    <t>OTHER EXPENSES</t>
  </si>
  <si>
    <t>COGS % OF REVENUE</t>
  </si>
  <si>
    <t>OPEX % OF REVENUE</t>
  </si>
  <si>
    <t>Month</t>
  </si>
  <si>
    <t>COGS</t>
  </si>
  <si>
    <t>Category</t>
  </si>
  <si>
    <t>Amount</t>
  </si>
  <si>
    <t>Office &amp; G&amp;A</t>
  </si>
  <si>
    <t>Total Opex</t>
  </si>
  <si>
    <t>Driver</t>
  </si>
  <si>
    <t>Assumption</t>
  </si>
  <si>
    <t>Drivers Section</t>
  </si>
  <si>
    <t>Summary Grouping</t>
  </si>
  <si>
    <t>Cash Flow Grouping</t>
  </si>
  <si>
    <t>Cash Flow Section</t>
  </si>
  <si>
    <t>Account Type</t>
  </si>
  <si>
    <t>Account ID</t>
  </si>
  <si>
    <t>Income Statement</t>
  </si>
  <si>
    <t>40100 Sales</t>
  </si>
  <si>
    <t>Average 6 months with a buffer</t>
  </si>
  <si>
    <t>Account</t>
  </si>
  <si>
    <t>Sales of Product Income</t>
  </si>
  <si>
    <t xml:space="preserve">                                       </t>
  </si>
  <si>
    <t>50100 Web Domain &amp; Hosting Fees</t>
  </si>
  <si>
    <t>50200 Merchant Account Fees</t>
  </si>
  <si>
    <t>Cost of goods sold</t>
  </si>
  <si>
    <t>Inventory Shrinkage</t>
  </si>
  <si>
    <t>Gross Margin</t>
  </si>
  <si>
    <t>Opex</t>
  </si>
  <si>
    <t>60100 Advertising &amp; Marketing</t>
  </si>
  <si>
    <t>60200 Bank Charges &amp; Fees</t>
  </si>
  <si>
    <t>60300 Conferences &amp; Events</t>
  </si>
  <si>
    <t>60400 Dues &amp; Subscriptions</t>
  </si>
  <si>
    <t>60500 Insurance</t>
  </si>
  <si>
    <t>60610 Office Supplies &amp; Software</t>
  </si>
  <si>
    <t>60620 Rent &amp; Lease</t>
  </si>
  <si>
    <t>60630 Utilities</t>
  </si>
  <si>
    <t>60700 Professional Services</t>
  </si>
  <si>
    <t>60710 Accounting Fees</t>
  </si>
  <si>
    <t>60730 Legal Fees</t>
  </si>
  <si>
    <t>60740 Recruiting Fees</t>
  </si>
  <si>
    <t>60810 Salary &amp; Wages</t>
  </si>
  <si>
    <t>60820 Payroll Taxes</t>
  </si>
  <si>
    <t>60830 Health Insurance</t>
  </si>
  <si>
    <t>60840 Payroll Processing Fees</t>
  </si>
  <si>
    <t>60850 Commissions Expense</t>
  </si>
  <si>
    <t>60900 Taxes &amp; Licenses</t>
  </si>
  <si>
    <t>61000 Travel, Meals &amp; Entertainment</t>
  </si>
  <si>
    <t>61010 Lodging</t>
  </si>
  <si>
    <t>61020 Meals &amp; Entertainment</t>
  </si>
  <si>
    <t>61030 Travel</t>
  </si>
  <si>
    <t>Purchases</t>
  </si>
  <si>
    <t>Net Operating Income</t>
  </si>
  <si>
    <t>80100 Interest Income</t>
  </si>
  <si>
    <t>80200 Other Income</t>
  </si>
  <si>
    <t>90100 Depreciation Expense</t>
  </si>
  <si>
    <t>90200 Interest Expense</t>
  </si>
  <si>
    <t>Net Other Income</t>
  </si>
  <si>
    <t>Net Income</t>
  </si>
  <si>
    <t>Balance Sheet</t>
  </si>
  <si>
    <t>1000000 American Bank</t>
  </si>
  <si>
    <t>Total Bank Accounts</t>
  </si>
  <si>
    <t>formula</t>
  </si>
  <si>
    <t>sum(Bank Accounts)</t>
  </si>
  <si>
    <t>10200 Accounts receivable (A/R)</t>
  </si>
  <si>
    <t>Prior Month</t>
  </si>
  <si>
    <t>10310 Prepaid Expenses</t>
  </si>
  <si>
    <t>10320 Security Deposit</t>
  </si>
  <si>
    <t>10330 Due to/from Officers</t>
  </si>
  <si>
    <t>Inventory Asset</t>
  </si>
  <si>
    <t>10410 Computers</t>
  </si>
  <si>
    <t>10420 Furniture</t>
  </si>
  <si>
    <t>10430 Equipment</t>
  </si>
  <si>
    <t>10440 Accumulated Depreciation</t>
  </si>
  <si>
    <t>Copyrights</t>
  </si>
  <si>
    <t>Trademarks</t>
  </si>
  <si>
    <t xml:space="preserve"> </t>
  </si>
  <si>
    <t>20100 Accounts Payable</t>
  </si>
  <si>
    <t>20310 Accrued Expenses</t>
  </si>
  <si>
    <t>20320 Accrued Payroll</t>
  </si>
  <si>
    <t>20330 Deferred Revenue</t>
  </si>
  <si>
    <t>20340 Sales Tax Payable</t>
  </si>
  <si>
    <t>Accounts Payable (A/P)</t>
  </si>
  <si>
    <t>Payroll wages and tax to pay</t>
  </si>
  <si>
    <t>20411 Principal</t>
  </si>
  <si>
    <t>20412 Accrued Interest</t>
  </si>
  <si>
    <t>Owners Equity</t>
  </si>
  <si>
    <t>30100 Common Stock</t>
  </si>
  <si>
    <t>30200 Preferred Stock</t>
  </si>
  <si>
    <t>30300 Additional Paid in Capital</t>
  </si>
  <si>
    <t>30400 Retained Earnings</t>
  </si>
  <si>
    <t>Opening balance equity</t>
  </si>
  <si>
    <t>Check</t>
  </si>
  <si>
    <t>Retained Earnings Validation</t>
  </si>
  <si>
    <t>Accounting Equation</t>
  </si>
  <si>
    <t>Ending Cash</t>
  </si>
  <si>
    <t>Sum(Bank Accounts)</t>
  </si>
  <si>
    <t>Metric</t>
  </si>
  <si>
    <t>By Class &amp; Summary</t>
  </si>
  <si>
    <t>Profit &amp; Loss</t>
  </si>
  <si>
    <t>Income</t>
  </si>
  <si>
    <t>Test Grouping</t>
  </si>
  <si>
    <t>Other Expense</t>
  </si>
  <si>
    <t>Other Current Asset</t>
  </si>
  <si>
    <t>By GL</t>
  </si>
  <si>
    <t>Summary Revenue</t>
  </si>
  <si>
    <t>Summary COGS</t>
  </si>
  <si>
    <t>Summary Opex</t>
  </si>
  <si>
    <t>Summary Other Income</t>
  </si>
  <si>
    <t>Summary Other Expense</t>
  </si>
  <si>
    <t>Summary Assets</t>
  </si>
  <si>
    <t>Summary Liabilities</t>
  </si>
  <si>
    <t>Summary Owners Equity</t>
  </si>
  <si>
    <t>Summary Accounting Equation</t>
  </si>
  <si>
    <t>GL Revenue</t>
  </si>
  <si>
    <t>GL COGS</t>
  </si>
  <si>
    <t>GL Opex</t>
  </si>
  <si>
    <t>GL Other Income</t>
  </si>
  <si>
    <t>GL Other Expenses</t>
  </si>
  <si>
    <t>GL Assets</t>
  </si>
  <si>
    <t>GL Liabilities</t>
  </si>
  <si>
    <t>GL Owners Equity</t>
  </si>
  <si>
    <t>GL Accounting Equation</t>
  </si>
  <si>
    <t>Error Check</t>
  </si>
  <si>
    <t>Assumptions</t>
  </si>
  <si>
    <t>Error Check Message</t>
  </si>
  <si>
    <t>On</t>
  </si>
  <si>
    <t>Success Message</t>
  </si>
  <si>
    <t>Model Functioning Properly</t>
  </si>
  <si>
    <t>Error</t>
  </si>
  <si>
    <t>Error Message</t>
  </si>
  <si>
    <t>ERROR: Please check the 'Error Check' tab</t>
  </si>
  <si>
    <t>No Errors</t>
  </si>
  <si>
    <t>Sheet</t>
  </si>
  <si>
    <t>Result</t>
  </si>
  <si>
    <t>Drivers</t>
  </si>
  <si>
    <t>Data Summary</t>
  </si>
  <si>
    <t>Overall</t>
  </si>
  <si>
    <t>Formats</t>
  </si>
  <si>
    <t>Period</t>
  </si>
  <si>
    <t>Start date</t>
  </si>
  <si>
    <t>End date</t>
  </si>
  <si>
    <t>Display text</t>
  </si>
  <si>
    <t>Prior Period Start</t>
  </si>
  <si>
    <t>Prior Period End</t>
  </si>
  <si>
    <t>Prior Period Display text</t>
  </si>
  <si>
    <t>Prior Year Start</t>
  </si>
  <si>
    <t>Prior Year End</t>
  </si>
  <si>
    <t>Prior Year Display Text</t>
  </si>
  <si>
    <t>Format</t>
  </si>
  <si>
    <t>Code</t>
  </si>
  <si>
    <t>This Month</t>
  </si>
  <si>
    <t>Comma</t>
  </si>
  <si>
    <t>#,##0; (#,##0);-</t>
  </si>
  <si>
    <t>Last Month</t>
  </si>
  <si>
    <t>Comma Var</t>
  </si>
  <si>
    <t>+#,##0; -#,##0;-</t>
  </si>
  <si>
    <t>Next Month</t>
  </si>
  <si>
    <t>Millions</t>
  </si>
  <si>
    <t>#.0#,,"M";(#.0#,,"M")</t>
  </si>
  <si>
    <t>This Quarter</t>
  </si>
  <si>
    <t>Millions var</t>
  </si>
  <si>
    <t>+#.0#,,"M";(#.0#,,"M")</t>
  </si>
  <si>
    <t>Last Quarter</t>
  </si>
  <si>
    <t>Thousands</t>
  </si>
  <si>
    <t>#,"K";(#,"K")</t>
  </si>
  <si>
    <t>Next Quarter</t>
  </si>
  <si>
    <t>Thousands Var</t>
  </si>
  <si>
    <t>+#,"K";(#,"K")</t>
  </si>
  <si>
    <t>This Year</t>
  </si>
  <si>
    <t>%</t>
  </si>
  <si>
    <t>#,##0%;(#,##0%);-</t>
  </si>
  <si>
    <t>Last Year</t>
  </si>
  <si>
    <t>+#,##0%;(#,##0%);-</t>
  </si>
  <si>
    <t>Next Year</t>
  </si>
  <si>
    <t>2 Decimal</t>
  </si>
  <si>
    <t>#.00;(#.00);-</t>
  </si>
  <si>
    <t>2 Decimal Var</t>
  </si>
  <si>
    <t>+#.00;(#.00);-</t>
  </si>
  <si>
    <t>Forecast</t>
  </si>
  <si>
    <t>Months</t>
  </si>
  <si>
    <t># "Months"</t>
  </si>
  <si>
    <t>Quarter to Date</t>
  </si>
  <si>
    <t>Trailing 3 Months</t>
  </si>
  <si>
    <t>Trailing 6 Months</t>
  </si>
  <si>
    <t>Trailing 12 Months</t>
  </si>
  <si>
    <t>Id</t>
  </si>
  <si>
    <t>AccountBalance</t>
  </si>
  <si>
    <t>Class</t>
  </si>
  <si>
    <t>Name</t>
  </si>
  <si>
    <t>SubAccount</t>
  </si>
  <si>
    <t>ParentRef</t>
  </si>
  <si>
    <t>Classification</t>
  </si>
  <si>
    <t>AccountType</t>
  </si>
  <si>
    <t>AccountSubType</t>
  </si>
  <si>
    <t>Cash Flow Sub-Section</t>
  </si>
  <si>
    <t>Sign_for_total_cashflow</t>
  </si>
  <si>
    <t>Drivers Sorting Key</t>
  </si>
  <si>
    <t>RetainedEarnings</t>
  </si>
  <si>
    <t>Liability</t>
  </si>
  <si>
    <t>AccountsPayable</t>
  </si>
  <si>
    <t>Cash from Operating Activities</t>
  </si>
  <si>
    <t>Δ in Current Liabilities</t>
  </si>
  <si>
    <t>Accounts receivable (A/R)</t>
  </si>
  <si>
    <t>Asset</t>
  </si>
  <si>
    <t>AccountsReceivable</t>
  </si>
  <si>
    <t>Δ in Current Assets</t>
  </si>
  <si>
    <t>Expense</t>
  </si>
  <si>
    <t>SuppliesMaterialsCogs</t>
  </si>
  <si>
    <t>Inventory</t>
  </si>
  <si>
    <t>OpeningBalanceEquity</t>
  </si>
  <si>
    <t>Cash From Financing Activities</t>
  </si>
  <si>
    <t>Fixed Asset</t>
  </si>
  <si>
    <t>IntangibleAssets</t>
  </si>
  <si>
    <t>Cash From Investing Activities</t>
  </si>
  <si>
    <t>Other Current Liability</t>
  </si>
  <si>
    <t>PayrollTaxPayable</t>
  </si>
  <si>
    <t>SalesOfProductIncome</t>
  </si>
  <si>
    <t>Security Deposit</t>
  </si>
  <si>
    <t>OtherCurrentAssets</t>
  </si>
  <si>
    <t>Due to/from Officers</t>
  </si>
  <si>
    <t>Computers</t>
  </si>
  <si>
    <t>OtherFixedAssets</t>
  </si>
  <si>
    <t>Furniture</t>
  </si>
  <si>
    <t>Equipment</t>
  </si>
  <si>
    <t>Accrued Expenses</t>
  </si>
  <si>
    <t>OtherCurrentLiabilities</t>
  </si>
  <si>
    <t>Accrued Payroll</t>
  </si>
  <si>
    <t>Sales Tax Payable</t>
  </si>
  <si>
    <t>Principal</t>
  </si>
  <si>
    <t>Long Term Liability</t>
  </si>
  <si>
    <t>NotesPayable</t>
  </si>
  <si>
    <t>Accrued Interest</t>
  </si>
  <si>
    <t>Web Domain &amp; Hosting Fees</t>
  </si>
  <si>
    <t>OtherCostsOfServiceCos</t>
  </si>
  <si>
    <t>Merchant Account Fees</t>
  </si>
  <si>
    <t>Total Income</t>
  </si>
  <si>
    <t>Bank Charges &amp; Fees</t>
  </si>
  <si>
    <t>OtherBusinessExpenses</t>
  </si>
  <si>
    <t>Conferences &amp; Events</t>
  </si>
  <si>
    <t>Dues &amp; Subscriptions</t>
  </si>
  <si>
    <t>Office Supplies &amp; Software</t>
  </si>
  <si>
    <t>Rent &amp; Lease</t>
  </si>
  <si>
    <t>Accounting Fees</t>
  </si>
  <si>
    <t>Legal Fees</t>
  </si>
  <si>
    <t>Recruiting Fees</t>
  </si>
  <si>
    <t>Salary &amp; Wages</t>
  </si>
  <si>
    <t>Payroll Taxes</t>
  </si>
  <si>
    <t>Health Insurance</t>
  </si>
  <si>
    <t>Payroll Processing Fees</t>
  </si>
  <si>
    <t>Commissions Expense</t>
  </si>
  <si>
    <t>Taxes &amp; Licenses</t>
  </si>
  <si>
    <t>Travel, Meals &amp; Entertainment</t>
  </si>
  <si>
    <t>Lodging</t>
  </si>
  <si>
    <t>Meals &amp; Entertainment</t>
  </si>
  <si>
    <t>Interest Income</t>
  </si>
  <si>
    <t>OtherMiscellaneousIncome</t>
  </si>
  <si>
    <t>Depreciation Expense</t>
  </si>
  <si>
    <t>Depreciation</t>
  </si>
  <si>
    <t>Interest Expense</t>
  </si>
  <si>
    <t>OtherMiscellaneousExpense</t>
  </si>
  <si>
    <t>Prepaid Expenses</t>
  </si>
  <si>
    <t>Accumulated Depreciation</t>
  </si>
  <si>
    <t>AccumulatedDepreciation</t>
  </si>
  <si>
    <t>Cash From Operating Activities</t>
  </si>
  <si>
    <t>Common Stock</t>
  </si>
  <si>
    <t>CommonStock</t>
  </si>
  <si>
    <t>Preferred Stock</t>
  </si>
  <si>
    <t>PreferredStock</t>
  </si>
  <si>
    <t>Additional Paid in Capital</t>
  </si>
  <si>
    <t>PaidInCapitalOrSurplus</t>
  </si>
  <si>
    <t>Sales</t>
  </si>
  <si>
    <t>Advertising &amp; Marketing</t>
  </si>
  <si>
    <t>Insurance</t>
  </si>
  <si>
    <t>Utilities</t>
  </si>
  <si>
    <t>Travel</t>
  </si>
  <si>
    <t>SuppliesMaterials</t>
  </si>
  <si>
    <t>American Bank</t>
  </si>
  <si>
    <t>Bank</t>
  </si>
  <si>
    <t>Checking</t>
  </si>
  <si>
    <t>Total Accounts Receivable</t>
  </si>
  <si>
    <t>Total Cost of Goods Sold</t>
  </si>
  <si>
    <t>Total Other Current Assets</t>
  </si>
  <si>
    <t>Total Current Assets</t>
  </si>
  <si>
    <t>Total Fixed Assets</t>
  </si>
  <si>
    <t>Total 60700 Professional Services</t>
  </si>
  <si>
    <t>Total Accounts Payable</t>
  </si>
  <si>
    <t>Total Other Current Liabilities</t>
  </si>
  <si>
    <t>Total Current Liabilities</t>
  </si>
  <si>
    <t>Total 61000 Travel, Meals &amp; Entertainment</t>
  </si>
  <si>
    <t>Total Expenses</t>
  </si>
  <si>
    <t>Total Long-Term Liabilities</t>
  </si>
  <si>
    <t>Total Other Expenses</t>
  </si>
  <si>
    <t>Total Liabilities and Equity</t>
  </si>
  <si>
    <t>AR AGING COMMAND CENTER</t>
  </si>
  <si>
    <t>As of: May 11, 2026</t>
  </si>
  <si>
    <t>Invoice #</t>
  </si>
  <si>
    <t>Customer</t>
  </si>
  <si>
    <t>Invoice Date</t>
  </si>
  <si>
    <t>Due Date</t>
  </si>
  <si>
    <t>Invoice Amount</t>
  </si>
  <si>
    <t>Amount Paid</t>
  </si>
  <si>
    <t>Balance</t>
  </si>
  <si>
    <t>Days Outstanding</t>
  </si>
  <si>
    <t>Aging Bucket</t>
  </si>
  <si>
    <t>Status</t>
  </si>
  <si>
    <t>Revenue (TTM)</t>
  </si>
  <si>
    <t>INV-1001</t>
  </si>
  <si>
    <t>Apex Technologies</t>
  </si>
  <si>
    <t>INV-1002</t>
  </si>
  <si>
    <t>INV-1003</t>
  </si>
  <si>
    <t>INV-1004</t>
  </si>
  <si>
    <t>BlueStar Logistics</t>
  </si>
  <si>
    <t>INV-1005</t>
  </si>
  <si>
    <t>INV-1006</t>
  </si>
  <si>
    <t>INV-1007</t>
  </si>
  <si>
    <t>Cascade Industries</t>
  </si>
  <si>
    <t>INV-1008</t>
  </si>
  <si>
    <t>INV-1009</t>
  </si>
  <si>
    <t>INV-1010</t>
  </si>
  <si>
    <t>Delta Partners</t>
  </si>
  <si>
    <t>INV-1011</t>
  </si>
  <si>
    <t>INV-1012</t>
  </si>
  <si>
    <t>Evergreen Health</t>
  </si>
  <si>
    <t>INV-1013</t>
  </si>
  <si>
    <t>INV-1014</t>
  </si>
  <si>
    <t>INV-1015</t>
  </si>
  <si>
    <t>Frontier Software</t>
  </si>
  <si>
    <t>INV-1016</t>
  </si>
  <si>
    <t>INV-1017</t>
  </si>
  <si>
    <t>GlobalTech Solutions</t>
  </si>
  <si>
    <t>INV-1018</t>
  </si>
  <si>
    <t>INV-1019</t>
  </si>
  <si>
    <t>INV-1020</t>
  </si>
  <si>
    <t>Harbor Financial</t>
  </si>
  <si>
    <t>INV-1021</t>
  </si>
  <si>
    <t>INV-1022</t>
  </si>
  <si>
    <t>Ironclad Manufacturing</t>
  </si>
  <si>
    <t>INV-1023</t>
  </si>
  <si>
    <t>INV-1024</t>
  </si>
  <si>
    <t>INV-1025</t>
  </si>
  <si>
    <t>Jetstream Aviation</t>
  </si>
  <si>
    <t>INV-1027</t>
  </si>
  <si>
    <t>INV-1028</t>
  </si>
  <si>
    <t>KeyPoint Analytics</t>
  </si>
  <si>
    <t>INV-1029</t>
  </si>
  <si>
    <t>INV-1030</t>
  </si>
  <si>
    <t>Luminary Brands</t>
  </si>
  <si>
    <t>INV-1031</t>
  </si>
  <si>
    <t>INV-1032</t>
  </si>
  <si>
    <t>INV-1033</t>
  </si>
  <si>
    <t>Nexus Consulting</t>
  </si>
  <si>
    <t>INV-1034</t>
  </si>
  <si>
    <t>INV-1035</t>
  </si>
  <si>
    <t>DSO TREND DATA</t>
  </si>
  <si>
    <t>AR Balance</t>
  </si>
  <si>
    <t>Monthly Revenue</t>
  </si>
  <si>
    <t>DSO</t>
  </si>
  <si>
    <t>TOTAL AR OUTSTANDING</t>
  </si>
  <si>
    <t>CURRENT DSO</t>
  </si>
  <si>
    <t>% PAST DUE</t>
  </si>
  <si>
    <t># OPEN INVOICES</t>
  </si>
  <si>
    <t>AGING BUCKETS</t>
  </si>
  <si>
    <t>Bucket</t>
  </si>
  <si>
    <t># Invoices</t>
  </si>
  <si>
    <t>% of Total</t>
  </si>
  <si>
    <t>Avg Days Out</t>
  </si>
  <si>
    <t>Current (0-30)</t>
  </si>
  <si>
    <t>31-60 Days</t>
  </si>
  <si>
    <t>61-90 Days</t>
  </si>
  <si>
    <t>90+ Days</t>
  </si>
  <si>
    <t>TOTAL</t>
  </si>
  <si>
    <t>DSO TREND (12-MONTH)</t>
  </si>
  <si>
    <t>Target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</si>
  <si>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</si>
  <si>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</si>
  <si>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</si>
  <si>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</si>
  <si>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</si>
  <si>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</si>
  <si>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</si>
  <si>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</si>
  <si>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</si>
  <si>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</si>
  <si>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</si>
  <si>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</si>
  <si>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CUSTOMER CONCENTRATION</t>
  </si>
  <si>
    <t>Risk</t>
  </si>
  <si>
    <t>Top 3 Concentration:</t>
  </si>
  <si>
    <t>Top 5 Concentration:</t>
  </si>
  <si>
    <t>HHI Index:</t>
  </si>
  <si>
    <t>⚠ TOP PAST DUE INVOICES</t>
  </si>
  <si>
    <t>Invoice</t>
  </si>
  <si>
    <t>All unpaid invoices</t>
  </si>
  <si>
    <t>Days Sales Outstanding</t>
  </si>
  <si>
    <t>AR beyond 30 days</t>
  </si>
  <si>
    <t>Outstanding invoices</t>
  </si>
  <si>
    <t>Nimbus Cloud Solutions</t>
  </si>
  <si>
    <t>Create KPI dashboard from Data Summary tab</t>
  </si>
  <si>
    <t>KPI cards: Revenue LTM, COGS LTM, Gross Margin %, Net Income, Cash Balance, AR, Total Opex, Debt, Monthly Revenue, Monthly Opex, Payroll, Marketing, Prof Services, Office &amp; G&amp;A, T&amp;E, Other Expenses, Burn Rate, Cash Runway, COGS %, Opex %. Branding: cream #F5F5E7 background, charcoal #38434D text, Aptos Narrow font, white KPI cards with gray borders. All formulas are dynamic pointing to Data Summary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</si>
</sst>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_(* #,##0_);_(* \(#,##0\);_(* &quot;-&quot;??_);_(@_)"/>
    <numFmt numFmtId="165" formatCode="&quot;$&quot;* #,##0\ _€"/>
    <numFmt numFmtId="166" formatCode="0;\-0;;@"/>
    <numFmt numFmtId="167" formatCode="_(&quot;$&quot;* #,##0_);_(&quot;$&quot;* \(#,##0\);_(&quot;$&quot;* &quot;-&quot;??_);_(@_)"/>
    <numFmt numFmtId="168" formatCode="#,##0_);\(#,##0\);\-"/>
    <numFmt numFmtId="169" formatCode="0%;\(0%\);\-"/>
    <numFmt numFmtId="170" formatCode="&quot;$&quot;#,##0"/>
    <numFmt numFmtId="171" formatCode="0.0%"/>
    <numFmt numFmtId="172" formatCode="&quot;$&quot;#,##0;\(&quot;$&quot;#,##0\);\-"/>
    <numFmt numFmtId="173" formatCode="0.0"/>
    <numFmt numFmtId="174" formatCode="#,##0;\(#,##0\);\-"/>
    <numFmt numFmtId="175" formatCode="\+#,##0;\(#,##0\);\-"/>
    <numFmt numFmtId="176" formatCode="\+0.0%;\(0.0%\);\-"/>
    <numFmt numFmtId="177" formatCode="#,##0;\(#,##0\);&quot;-&quot;"/>
    <numFmt numFmtId="178" formatCode="0.0%;\(0.0%\);&quot;-&quot;"/>
    <numFmt numFmtId="179" formatCode="mm/dd/yyyy"/>
    <numFmt numFmtId="180" formatCode="&quot;EGP&quot;#,##0"/>
  </numFmts>
  <fonts count="7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38434D"/>
      <name val="Aptos Narrow"/>
      <family val="2"/>
      <scheme val="minor"/>
    </font>
    <font>
      <sz val="9"/>
      <color rgb="FF38434D"/>
      <name val="SF Pro Text"/>
      <family val="3"/>
    </font>
    <font>
      <sz val="11"/>
      <color rgb="FF2F64BA"/>
      <name val="Aptos Narrow"/>
      <family val="2"/>
      <scheme val="minor"/>
    </font>
    <font>
      <sz val="9"/>
      <color rgb="FF2F64BA"/>
      <name val="SF Pro Text"/>
      <family val="3"/>
    </font>
    <font>
      <b/>
      <sz val="11"/>
      <color rgb="FF38434D"/>
      <name val="Aptos Narrow"/>
      <family val="2"/>
      <scheme val="minor"/>
    </font>
    <font>
      <b/>
      <sz val="9"/>
      <color rgb="FF38434D"/>
      <name val="SF Pro Text"/>
      <family val="3"/>
    </font>
    <font>
      <sz val="11"/>
      <name val="Aptos Narrow"/>
      <family val="2"/>
      <scheme val="minor"/>
    </font>
    <font>
      <sz val="10"/>
      <color rgb="FF38434D"/>
      <name val="Aptos Narrow"/>
      <family val="2"/>
      <scheme val="minor"/>
    </font>
    <font>
      <b/>
      <sz val="18"/>
      <color rgb="FF38434D"/>
      <name val="SF Pro Text"/>
      <family val="3"/>
    </font>
    <font>
      <sz val="18"/>
      <color rgb="FF38434D"/>
      <name val="SF Pro Text"/>
      <family val="3"/>
    </font>
    <font>
      <b/>
      <sz val="10"/>
      <color rgb="FF38434D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SF Pro Text"/>
      <family val="3"/>
    </font>
    <font>
      <b/>
      <sz val="16"/>
      <color rgb="FF38434D"/>
      <name val="Aptos Narrow"/>
      <family val="2"/>
      <scheme val="minor"/>
    </font>
    <font>
      <b/>
      <sz val="16"/>
      <color rgb="FF38434D"/>
      <name val="SF Pro Text"/>
      <family val="3"/>
    </font>
    <font>
      <sz val="11"/>
      <color rgb="FF38434D"/>
      <name val="SF Pro Text"/>
      <family val="3"/>
    </font>
    <font>
      <b/>
      <sz val="10"/>
      <color theme="1"/>
      <name val="Aptos Narrow"/>
      <family val="2"/>
      <scheme val="minor"/>
    </font>
    <font>
      <b/>
      <sz val="11"/>
      <color rgb="FF4A4A6A"/>
      <name val="Aptos Narrow"/>
      <family val="2"/>
      <scheme val="minor"/>
    </font>
    <font>
      <b/>
      <sz val="12"/>
      <color rgb="FF38434D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rgb="FFB00000"/>
      <name val="Aptos Narrow"/>
      <family val="2"/>
      <scheme val="minor"/>
    </font>
    <font>
      <sz val="9"/>
      <color rgb="FF85B440"/>
      <name val="Aptos Narrow"/>
      <family val="2"/>
      <scheme val="minor"/>
    </font>
    <font>
      <sz val="9"/>
      <color rgb="FF0070C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rgb="FF000000"/>
      <name val="SF Pro Text"/>
      <family val="3"/>
    </font>
    <font>
      <sz val="11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38434D"/>
      <name val="Aptos Narrow"/>
      <scheme val="minor"/>
    </font>
    <font>
      <b/>
      <sz val="20"/>
      <color rgb="FF38434D"/>
      <name val="Aptos Narrow"/>
      <scheme val="minor"/>
    </font>
    <font>
      <b/>
      <sz val="14"/>
      <color rgb="FF6B7280"/>
      <name val="Aptos Narrow"/>
      <scheme val="minor"/>
    </font>
    <font>
      <sz val="10"/>
      <color rgb="FF9CA3AF"/>
      <name val="Aptos Narrow"/>
      <scheme val="minor"/>
    </font>
    <font>
      <b/>
      <sz val="16"/>
      <color rgb="FF38434D"/>
      <name val="Aptos Narrow"/>
      <scheme val="minor"/>
    </font>
    <font>
      <sz val="10"/>
      <color rgb="FF6B7280"/>
      <name val="Aptos Narrow"/>
      <scheme val="minor"/>
    </font>
    <font>
      <b/>
      <sz val="9"/>
      <color rgb="FF9CA3AF"/>
      <name val="Aptos Narrow"/>
      <scheme val="minor"/>
    </font>
    <font>
      <b/>
      <sz val="18"/>
      <color rgb="FF38434D"/>
      <name val="Aptos Narrow"/>
      <scheme val="minor"/>
    </font>
    <font>
      <sz val="8"/>
      <color rgb="FF9CA3AF"/>
      <name val="Aptos Narrow"/>
      <scheme val="minor"/>
    </font>
    <font>
      <b/>
      <sz val="18"/>
      <color rgb="FFE74C3C"/>
      <name val="Aptos Narrow"/>
      <scheme val="minor"/>
    </font>
    <font>
      <b/>
      <sz val="11"/>
      <color rgb="FF38434D"/>
      <name val="Aptos Narrow"/>
      <scheme val="minor"/>
    </font>
    <font>
      <sz val="9"/>
      <color rgb="FF38434D"/>
      <name val="Aptos Narrow"/>
      <scheme val="minor"/>
    </font>
    <font>
      <b/>
      <sz val="9"/>
      <color rgb="FF38434D"/>
      <name val="Aptos Narrow"/>
      <scheme val="minor"/>
    </font>
    <font>
      <b/>
      <sz val="11"/>
      <color rgb="FFFFFFFF"/>
      <name val="Aptos Narrow"/>
      <scheme val="minor"/>
    </font>
    <font>
      <b/>
      <sz val="14"/>
      <color rgb="FF38434D"/>
      <name val="Aptos Narrow"/>
      <scheme val="minor"/>
    </font>
    <font>
      <sz val="10"/>
      <color rgb="FF38434D"/>
      <name val="Aptos Narrow"/>
      <scheme val="minor"/>
    </font>
    <font>
      <b/>
      <sz val="10"/>
      <color rgb="FF38434D"/>
      <name val="Aptos Narrow"/>
      <scheme val="minor"/>
    </font>
    <font>
      <b/>
      <sz val="9"/>
      <color rgb="FFFFFFFF"/>
      <name val="Aptos Narrow"/>
      <scheme val="minor"/>
    </font>
    <font>
      <b/>
      <sz val="12"/>
      <color rgb="FF38434D"/>
      <name val="Aptos Narrow"/>
      <scheme val="minor"/>
    </font>
    <font>
      <b/>
      <i/>
      <sz val="10"/>
      <color rgb="FF38434D"/>
      <name val="Aptos Narrow"/>
      <scheme val="minor"/>
    </font>
    <font>
      <sz val="9"/>
      <color rgb="FF2E7D32"/>
      <name val="Aptos Narrow"/>
      <scheme val="minor"/>
    </font>
    <font>
      <b/>
      <sz val="9"/>
      <color rgb="FFC62828"/>
      <name val="Aptos Narrow"/>
      <scheme val="minor"/>
    </font>
    <font>
      <sz val="9"/>
      <color rgb="FFC62828"/>
      <name val="Aptos Narrow"/>
      <scheme val="minor"/>
    </font>
    <font>
      <b/>
      <sz val="11"/>
      <color rgb="FFFFFFFF"/>
      <name val="Aptos"/>
    </font>
    <font>
      <b/>
      <sz val="20"/>
      <color rgb="FF38434D"/>
      <name val="Aptos Narrow"/>
    </font>
    <font>
      <b/>
      <sz val="9"/>
      <color rgb="FF9CA3AF"/>
      <name val="Aptos Narrow"/>
    </font>
    <font>
      <b/>
      <sz val="14"/>
      <color rgb="FF595959"/>
      <name val="Aptos Narrow"/>
    </font>
    <font>
      <sz val="11"/>
      <color rgb="FF38434D"/>
      <name val="Aptos Narrow"/>
    </font>
    <font>
      <b/>
      <sz val="11"/>
      <color rgb="FF38434D"/>
      <name val="Aptos Narrow"/>
    </font>
    <font>
      <sz val="14"/>
      <color rgb="FF595959"/>
      <name val="Aptos Narrow"/>
      <scheme val="minor"/>
    </font>
    <font>
      <sz val="11"/>
      <color rgb="FF156082"/>
      <name val="Aptos Narrow"/>
      <scheme val="minor"/>
    </font>
    <font>
      <sz val="14"/>
      <color rgb="FFE74C3C"/>
      <name val="Aptos Narrow"/>
      <scheme val="minor"/>
    </font>
    <font>
      <b/>
      <sz val="10"/>
      <color rgb="FF9CA3AF"/>
      <name val="Aptos Narrow"/>
      <scheme val="minor"/>
    </font>
    <font>
      <b/>
      <sz val="11"/>
      <color rgb="FFE74C3C"/>
      <name val="Aptos Narrow"/>
      <scheme val="minor"/>
    </font>
    <font>
      <b/>
      <sz val="11"/>
      <color rgb="FFE97132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5F5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8434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9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8EDF5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/>
      <right/>
      <top/>
      <bottom style="medium">
        <color rgb="FF38434D"/>
      </bottom>
      <diagonal/>
    </border>
    <border>
      <left/>
      <right/>
      <top/>
      <bottom style="thin">
        <color rgb="FFD1D5DB"/>
      </bottom>
      <diagonal/>
    </border>
    <border>
      <left/>
      <right/>
      <top style="thin">
        <color rgb="FF38434D"/>
      </top>
      <bottom/>
      <diagonal/>
    </border>
    <border>
      <left style="thin">
        <color rgb="FF38434D"/>
      </left>
      <right style="thin">
        <color rgb="FF38434D"/>
      </right>
      <top style="thin">
        <color rgb="FF38434D"/>
      </top>
      <bottom style="thin">
        <color rgb="FF38434D"/>
      </bottom>
      <diagonal/>
    </border>
    <border>
      <left/>
      <right/>
      <top style="thin">
        <color rgb="FF38434D"/>
      </top>
      <bottom style="double">
        <color rgb="FF38434D"/>
      </bottom>
      <diagonal/>
    </border>
    <border>
      <left/>
      <right/>
      <top/>
      <bottom style="thin">
        <color rgb="FF38434D"/>
      </bottom>
      <diagonal/>
    </border>
    <border>
      <left/>
      <right/>
      <top style="medium">
        <color rgb="FF38434D"/>
      </top>
      <bottom/>
      <diagonal/>
    </border>
    <border>
      <left/>
      <right style="thin">
        <color rgb="FFB0B0B0"/>
      </right>
      <top/>
      <bottom/>
      <diagonal/>
    </border>
    <border>
      <left/>
      <right style="thin">
        <color rgb="FFB0B0B0"/>
      </right>
      <top/>
      <bottom style="medium">
        <color rgb="FF38434D"/>
      </bottom>
      <diagonal/>
    </border>
    <border>
      <left/>
      <right style="thin">
        <color rgb="FFB0B0B0"/>
      </right>
      <top/>
      <bottom style="thin">
        <color rgb="FF38434D"/>
      </bottom>
      <diagonal/>
    </border>
    <border>
      <left/>
      <right style="thin">
        <color rgb="FFB0B0B0"/>
      </right>
      <top style="thin">
        <color rgb="FF38434D"/>
      </top>
      <bottom style="double">
        <color rgb="FF38434D"/>
      </bottom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/>
      <top/>
      <bottom style="medium">
        <color rgb="FF38434D"/>
      </bottom>
      <diagonal/>
    </border>
    <border>
      <left style="thin">
        <color rgb="FFB0B0B0"/>
      </left>
      <right/>
      <top/>
      <bottom style="thin">
        <color rgb="FF38434D"/>
      </bottom>
      <diagonal/>
    </border>
    <border>
      <left style="thin">
        <color rgb="FFB0B0B0"/>
      </left>
      <right/>
      <top style="thin">
        <color rgb="FF38434D"/>
      </top>
      <bottom style="double">
        <color rgb="FF38434D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medium">
        <color rgb="FF38434D"/>
      </bottom>
      <diagonal/>
    </border>
    <border>
      <left style="thin">
        <color rgb="FFB0B0B0"/>
      </left>
      <right style="thin">
        <color rgb="FFB0B0B0"/>
      </right>
      <top/>
      <bottom style="thin">
        <color rgb="FF38434D"/>
      </bottom>
      <diagonal/>
    </border>
    <border>
      <left style="thin">
        <color rgb="FFB0B0B0"/>
      </left>
      <right style="thin">
        <color rgb="FFB0B0B0"/>
      </right>
      <top style="thin">
        <color rgb="FF38434D"/>
      </top>
      <bottom style="double">
        <color rgb="FF38434D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1">
    <xf numFmtId="0" fontId="0" fillId="0" borderId="0" xfId="0"/>
    <xf numFmtId="14" fontId="0" fillId="0" borderId="0" xfId="0" applyNumberFormat="1"/>
    <xf numFmtId="0" fontId="1" fillId="0" borderId="0" xfId="2"/>
    <xf numFmtId="0" fontId="1" fillId="0" borderId="0" xfId="2" applyAlignment="1">
      <alignment horizontal="center" vertical="center"/>
    </xf>
    <xf numFmtId="0" fontId="5" fillId="0" borderId="0" xfId="2" applyFont="1"/>
    <xf numFmtId="0" fontId="1" fillId="0" borderId="0" xfId="2" applyAlignment="1">
      <alignment horizontal="left"/>
    </xf>
    <xf numFmtId="0" fontId="6" fillId="0" borderId="0" xfId="2" applyFont="1" applyAlignment="1">
      <alignment horizontal="left"/>
    </xf>
    <xf numFmtId="0" fontId="7" fillId="0" borderId="0" xfId="2" applyFont="1"/>
    <xf numFmtId="164" fontId="3" fillId="0" borderId="0" xfId="1" quotePrefix="1" applyNumberFormat="1" applyFont="1" applyFill="1"/>
    <xf numFmtId="165" fontId="4" fillId="0" borderId="0" xfId="2" applyNumberFormat="1" applyFont="1" applyAlignment="1">
      <alignment horizontal="center" vertical="center"/>
    </xf>
    <xf numFmtId="0" fontId="3" fillId="0" borderId="0" xfId="2" applyFont="1" applyAlignment="1">
      <alignment horizontal="left" indent="1"/>
    </xf>
    <xf numFmtId="164" fontId="8" fillId="0" borderId="0" xfId="1" applyNumberFormat="1" applyFont="1" applyFill="1"/>
    <xf numFmtId="0" fontId="3" fillId="0" borderId="0" xfId="2" applyFont="1" applyAlignment="1">
      <alignment horizontal="left"/>
    </xf>
    <xf numFmtId="166" fontId="1" fillId="0" borderId="0" xfId="2" applyNumberFormat="1"/>
    <xf numFmtId="0" fontId="9" fillId="0" borderId="0" xfId="2" applyFont="1" applyAlignment="1">
      <alignment horizontal="left" vertical="top" indent="1"/>
    </xf>
    <xf numFmtId="166" fontId="9" fillId="0" borderId="0" xfId="2" applyNumberFormat="1" applyFont="1" applyAlignment="1">
      <alignment horizontal="left" vertical="top" indent="1"/>
    </xf>
    <xf numFmtId="166" fontId="9" fillId="0" borderId="0" xfId="2" applyNumberFormat="1" applyFont="1" applyAlignment="1">
      <alignment horizontal="left" indent="1"/>
    </xf>
    <xf numFmtId="0" fontId="10" fillId="0" borderId="0" xfId="2" applyFont="1" applyAlignment="1">
      <alignment horizontal="right" vertical="center"/>
    </xf>
    <xf numFmtId="166" fontId="11" fillId="0" borderId="0" xfId="2" applyNumberFormat="1" applyFont="1" applyAlignment="1">
      <alignment horizontal="left" indent="1"/>
    </xf>
    <xf numFmtId="167" fontId="12" fillId="0" borderId="1" xfId="2" applyNumberFormat="1" applyFont="1" applyBorder="1" applyAlignment="1">
      <alignment horizontal="center" vertical="center"/>
    </xf>
    <xf numFmtId="0" fontId="12" fillId="0" borderId="0" xfId="2" applyFont="1" applyAlignment="1">
      <alignment horizontal="right" vertical="center" wrapText="1"/>
    </xf>
    <xf numFmtId="0" fontId="13" fillId="0" borderId="0" xfId="2" applyFont="1" applyAlignment="1">
      <alignment horizontal="left" indent="1"/>
    </xf>
    <xf numFmtId="0" fontId="7" fillId="0" borderId="0" xfId="2" applyFont="1" applyAlignment="1">
      <alignment horizontal="center" vertical="center" textRotation="90"/>
    </xf>
    <xf numFmtId="0" fontId="4" fillId="0" borderId="0" xfId="2" applyFont="1"/>
    <xf numFmtId="168" fontId="8" fillId="0" borderId="0" xfId="3" applyNumberFormat="1" applyFont="1" applyFill="1" applyBorder="1" applyAlignment="1">
      <alignment horizontal="right" vertical="center"/>
    </xf>
    <xf numFmtId="0" fontId="14" fillId="0" borderId="0" xfId="2" applyFont="1"/>
    <xf numFmtId="0" fontId="15" fillId="0" borderId="0" xfId="2" applyFont="1" applyAlignment="1">
      <alignment horizontal="left" vertical="center" wrapText="1"/>
    </xf>
    <xf numFmtId="164" fontId="8" fillId="0" borderId="0" xfId="3" applyNumberFormat="1" applyFont="1" applyFill="1" applyBorder="1" applyAlignment="1">
      <alignment horizontal="right" vertical="center"/>
    </xf>
    <xf numFmtId="0" fontId="15" fillId="0" borderId="0" xfId="2" applyFont="1" applyAlignment="1">
      <alignment horizontal="left" vertical="center" wrapText="1" indent="1"/>
    </xf>
    <xf numFmtId="0" fontId="1" fillId="0" borderId="0" xfId="2" applyAlignment="1">
      <alignment vertical="center"/>
    </xf>
    <xf numFmtId="0" fontId="16" fillId="2" borderId="0" xfId="2" applyFont="1" applyFill="1" applyAlignment="1">
      <alignment horizontal="left" indent="1"/>
    </xf>
    <xf numFmtId="0" fontId="9" fillId="2" borderId="0" xfId="2" applyFont="1" applyFill="1" applyAlignment="1">
      <alignment horizontal="right"/>
    </xf>
    <xf numFmtId="165" fontId="4" fillId="2" borderId="0" xfId="2" applyNumberFormat="1" applyFont="1" applyFill="1" applyAlignment="1">
      <alignment horizontal="center" vertical="center"/>
    </xf>
    <xf numFmtId="0" fontId="1" fillId="3" borderId="0" xfId="2" applyFill="1"/>
    <xf numFmtId="165" fontId="4" fillId="3" borderId="0" xfId="2" applyNumberFormat="1" applyFont="1" applyFill="1" applyAlignment="1">
      <alignment horizontal="center" vertical="center"/>
    </xf>
    <xf numFmtId="0" fontId="5" fillId="3" borderId="0" xfId="2" applyFont="1" applyFill="1"/>
    <xf numFmtId="166" fontId="9" fillId="2" borderId="0" xfId="2" applyNumberFormat="1" applyFont="1" applyFill="1" applyAlignment="1">
      <alignment horizontal="right"/>
    </xf>
    <xf numFmtId="166" fontId="17" fillId="2" borderId="0" xfId="2" applyNumberFormat="1" applyFont="1" applyFill="1" applyAlignment="1">
      <alignment horizontal="left" indent="1"/>
    </xf>
    <xf numFmtId="0" fontId="16" fillId="2" borderId="0" xfId="2" applyFont="1" applyFill="1" applyAlignment="1">
      <alignment horizontal="left"/>
    </xf>
    <xf numFmtId="169" fontId="8" fillId="0" borderId="0" xfId="4" applyNumberFormat="1" applyFont="1" applyFill="1" applyBorder="1" applyAlignment="1">
      <alignment horizontal="right" vertical="center"/>
    </xf>
    <xf numFmtId="169" fontId="4" fillId="0" borderId="0" xfId="4" applyNumberFormat="1" applyFont="1" applyFill="1" applyAlignment="1">
      <alignment horizontal="center" vertical="center"/>
    </xf>
    <xf numFmtId="169" fontId="14" fillId="0" borderId="0" xfId="4" applyNumberFormat="1" applyFont="1" applyFill="1"/>
    <xf numFmtId="0" fontId="17" fillId="2" borderId="0" xfId="2" applyFont="1" applyFill="1" applyAlignment="1">
      <alignment horizontal="left" indent="1"/>
    </xf>
    <xf numFmtId="17" fontId="18" fillId="0" borderId="2" xfId="0" applyNumberFormat="1" applyFont="1" applyBorder="1" applyAlignment="1">
      <alignment horizontal="center" vertical="center"/>
    </xf>
    <xf numFmtId="17" fontId="12" fillId="0" borderId="0" xfId="0" applyNumberFormat="1" applyFont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" fillId="0" borderId="0" xfId="2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7" fillId="0" borderId="0" xfId="2" applyFont="1" applyAlignment="1">
      <alignment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8" fillId="0" borderId="0" xfId="0" applyFont="1"/>
    <xf numFmtId="14" fontId="0" fillId="0" borderId="0" xfId="0" applyNumberFormat="1" applyAlignment="1">
      <alignment horizontal="center"/>
    </xf>
    <xf numFmtId="14" fontId="14" fillId="0" borderId="0" xfId="0" applyNumberFormat="1" applyFont="1" applyAlignment="1">
      <alignment horizontal="center"/>
    </xf>
    <xf numFmtId="14" fontId="20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1" fillId="0" borderId="0" xfId="2" applyFont="1"/>
    <xf numFmtId="0" fontId="3" fillId="0" borderId="0" xfId="0" applyFont="1"/>
    <xf numFmtId="164" fontId="3" fillId="0" borderId="0" xfId="2" quotePrefix="1" applyNumberFormat="1" applyFont="1"/>
    <xf numFmtId="168" fontId="3" fillId="0" borderId="0" xfId="2" quotePrefix="1" applyNumberFormat="1" applyFont="1"/>
    <xf numFmtId="0" fontId="22" fillId="0" borderId="0" xfId="0" applyFont="1" applyAlignment="1">
      <alignment horizontal="left"/>
    </xf>
    <xf numFmtId="0" fontId="8" fillId="0" borderId="0" xfId="2" applyFont="1" applyAlignment="1">
      <alignment horizontal="right" vertical="center" wrapText="1"/>
    </xf>
    <xf numFmtId="164" fontId="1" fillId="0" borderId="0" xfId="1" quotePrefix="1" applyNumberFormat="1"/>
    <xf numFmtId="0" fontId="23" fillId="0" borderId="0" xfId="2" applyFont="1" applyAlignment="1">
      <alignment horizontal="left" vertical="center"/>
    </xf>
    <xf numFmtId="9" fontId="10" fillId="0" borderId="0" xfId="2" applyNumberFormat="1" applyFont="1" applyAlignment="1">
      <alignment horizontal="right" vertical="center" wrapText="1"/>
    </xf>
    <xf numFmtId="0" fontId="24" fillId="2" borderId="0" xfId="2" applyFont="1" applyFill="1" applyAlignment="1">
      <alignment horizontal="left"/>
    </xf>
    <xf numFmtId="164" fontId="8" fillId="0" borderId="0" xfId="3" quotePrefix="1" applyNumberFormat="1" applyFont="1" applyFill="1" applyBorder="1" applyAlignment="1">
      <alignment horizontal="left" vertical="center"/>
    </xf>
    <xf numFmtId="49" fontId="9" fillId="0" borderId="0" xfId="2" applyNumberFormat="1" applyFont="1" applyAlignment="1">
      <alignment horizontal="left" vertical="top" indent="1"/>
    </xf>
    <xf numFmtId="0" fontId="21" fillId="0" borderId="0" xfId="2" applyFont="1" applyAlignment="1">
      <alignment horizontal="center" vertical="center" textRotation="90"/>
    </xf>
    <xf numFmtId="168" fontId="8" fillId="0" borderId="0" xfId="3" applyNumberFormat="1" applyFont="1" applyFill="1" applyBorder="1" applyAlignment="1">
      <alignment horizontal="left" vertical="center"/>
    </xf>
    <xf numFmtId="0" fontId="21" fillId="0" borderId="0" xfId="2" applyFont="1" applyAlignment="1">
      <alignment vertical="center"/>
    </xf>
    <xf numFmtId="0" fontId="1" fillId="0" borderId="0" xfId="2" applyProtection="1">
      <protection hidden="1"/>
    </xf>
    <xf numFmtId="0" fontId="1" fillId="0" borderId="0" xfId="2" applyAlignment="1" applyProtection="1">
      <alignment horizontal="center"/>
      <protection hidden="1"/>
    </xf>
    <xf numFmtId="0" fontId="25" fillId="0" borderId="0" xfId="2" applyFont="1" applyProtection="1">
      <protection hidden="1"/>
    </xf>
    <xf numFmtId="0" fontId="2" fillId="4" borderId="4" xfId="2" applyFont="1" applyFill="1" applyBorder="1" applyAlignment="1" applyProtection="1">
      <alignment horizontal="left" vertical="center" wrapText="1" indent="1"/>
      <protection hidden="1"/>
    </xf>
    <xf numFmtId="0" fontId="2" fillId="4" borderId="5" xfId="2" applyFont="1" applyFill="1" applyBorder="1" applyAlignment="1" applyProtection="1">
      <alignment horizontal="left" vertical="center" wrapText="1" indent="1"/>
      <protection hidden="1"/>
    </xf>
    <xf numFmtId="164" fontId="2" fillId="4" borderId="6" xfId="3" applyNumberFormat="1" applyFont="1" applyFill="1" applyBorder="1" applyAlignment="1" applyProtection="1">
      <alignment horizontal="left" vertical="center" indent="1"/>
      <protection hidden="1"/>
    </xf>
    <xf numFmtId="0" fontId="2" fillId="4" borderId="6" xfId="2" applyFont="1" applyFill="1" applyBorder="1" applyAlignment="1" applyProtection="1">
      <alignment horizontal="left" vertical="center" indent="1"/>
      <protection hidden="1"/>
    </xf>
    <xf numFmtId="0" fontId="26" fillId="0" borderId="6" xfId="2" applyFont="1" applyBorder="1" applyAlignment="1" applyProtection="1">
      <alignment horizontal="center" vertical="center" wrapText="1"/>
      <protection hidden="1"/>
    </xf>
    <xf numFmtId="0" fontId="4" fillId="0" borderId="6" xfId="2" quotePrefix="1" applyFont="1" applyBorder="1" applyAlignment="1" applyProtection="1">
      <alignment horizontal="left" vertical="center" wrapText="1" indent="1"/>
      <protection hidden="1"/>
    </xf>
    <xf numFmtId="43" fontId="1" fillId="0" borderId="6" xfId="3" applyFont="1" applyFill="1" applyBorder="1" applyAlignment="1" applyProtection="1">
      <alignment horizontal="left" vertical="center" indent="1"/>
      <protection hidden="1"/>
    </xf>
    <xf numFmtId="0" fontId="1" fillId="0" borderId="6" xfId="2" applyBorder="1" applyAlignment="1" applyProtection="1">
      <alignment horizontal="left" vertical="center" wrapText="1" indent="1"/>
      <protection hidden="1"/>
    </xf>
    <xf numFmtId="0" fontId="18" fillId="5" borderId="7" xfId="2" applyFont="1" applyFill="1" applyBorder="1" applyAlignment="1" applyProtection="1">
      <alignment horizontal="left" vertical="center" indent="1"/>
      <protection hidden="1"/>
    </xf>
    <xf numFmtId="0" fontId="27" fillId="6" borderId="4" xfId="2" applyFont="1" applyFill="1" applyBorder="1" applyAlignment="1" applyProtection="1">
      <alignment horizontal="left" vertical="center"/>
      <protection hidden="1"/>
    </xf>
    <xf numFmtId="0" fontId="27" fillId="6" borderId="1" xfId="2" applyFont="1" applyFill="1" applyBorder="1" applyAlignment="1" applyProtection="1">
      <alignment horizontal="left" vertical="center"/>
      <protection hidden="1"/>
    </xf>
    <xf numFmtId="0" fontId="28" fillId="6" borderId="5" xfId="2" applyFont="1" applyFill="1" applyBorder="1" applyAlignment="1" applyProtection="1">
      <alignment horizontal="left" vertical="center" indent="1"/>
      <protection hidden="1"/>
    </xf>
    <xf numFmtId="0" fontId="26" fillId="5" borderId="6" xfId="2" applyFont="1" applyFill="1" applyBorder="1" applyAlignment="1" applyProtection="1">
      <alignment horizontal="left" vertical="center" indent="1"/>
      <protection hidden="1"/>
    </xf>
    <xf numFmtId="0" fontId="29" fillId="5" borderId="6" xfId="2" applyFont="1" applyFill="1" applyBorder="1" applyAlignment="1" applyProtection="1">
      <alignment horizontal="center" vertical="center"/>
      <protection hidden="1"/>
    </xf>
    <xf numFmtId="0" fontId="1" fillId="0" borderId="1" xfId="2" applyBorder="1" applyAlignment="1" applyProtection="1">
      <alignment horizontal="center" vertical="center"/>
      <protection hidden="1"/>
    </xf>
    <xf numFmtId="0" fontId="9" fillId="0" borderId="8" xfId="2" applyFont="1" applyBorder="1" applyAlignment="1">
      <alignment horizontal="left" vertical="center" indent="1"/>
    </xf>
    <xf numFmtId="0" fontId="1" fillId="0" borderId="2" xfId="2" applyBorder="1" applyAlignment="1">
      <alignment vertical="center"/>
    </xf>
    <xf numFmtId="0" fontId="27" fillId="6" borderId="9" xfId="2" applyFont="1" applyFill="1" applyBorder="1" applyAlignment="1" applyProtection="1">
      <alignment horizontal="left" vertical="center" indent="1"/>
      <protection hidden="1"/>
    </xf>
    <xf numFmtId="0" fontId="27" fillId="6" borderId="10" xfId="2" applyFont="1" applyFill="1" applyBorder="1" applyAlignment="1" applyProtection="1">
      <alignment horizontal="left" vertical="center" indent="1"/>
      <protection hidden="1"/>
    </xf>
    <xf numFmtId="0" fontId="27" fillId="6" borderId="1" xfId="2" applyFont="1" applyFill="1" applyBorder="1" applyAlignment="1" applyProtection="1">
      <alignment horizontal="left" vertical="center" indent="1"/>
      <protection hidden="1"/>
    </xf>
    <xf numFmtId="0" fontId="1" fillId="0" borderId="9" xfId="2" applyBorder="1" applyProtection="1">
      <protection hidden="1"/>
    </xf>
    <xf numFmtId="0" fontId="1" fillId="0" borderId="10" xfId="2" applyBorder="1" applyProtection="1">
      <protection hidden="1"/>
    </xf>
    <xf numFmtId="0" fontId="1" fillId="0" borderId="10" xfId="2" applyBorder="1" applyAlignment="1" applyProtection="1">
      <alignment horizontal="center"/>
      <protection hidden="1"/>
    </xf>
    <xf numFmtId="0" fontId="33" fillId="0" borderId="11" xfId="2" applyFont="1" applyBorder="1" applyAlignment="1" applyProtection="1">
      <alignment horizontal="left" vertical="center" indent="1"/>
      <protection hidden="1"/>
    </xf>
    <xf numFmtId="1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/>
    </xf>
    <xf numFmtId="0" fontId="0" fillId="0" borderId="0" xfId="0" quotePrefix="1"/>
    <xf numFmtId="9" fontId="0" fillId="0" borderId="0" xfId="0" quotePrefix="1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166" fontId="10" fillId="0" borderId="0" xfId="2" applyNumberFormat="1" applyFont="1" applyAlignment="1">
      <alignment horizontal="right" vertical="center" wrapText="1"/>
    </xf>
    <xf numFmtId="9" fontId="10" fillId="0" borderId="0" xfId="2" applyNumberFormat="1" applyFont="1" applyAlignment="1">
      <alignment horizontal="right" vertical="center"/>
    </xf>
    <xf numFmtId="164" fontId="14" fillId="0" borderId="0" xfId="2" applyNumberFormat="1" applyFont="1"/>
    <xf numFmtId="164" fontId="0" fillId="0" borderId="0" xfId="2" applyNumberFormat="1" applyFont="1" applyAlignment="1">
      <alignment horizontal="center" vertical="center"/>
    </xf>
    <xf numFmtId="164" fontId="10" fillId="0" borderId="0" xfId="3" applyNumberFormat="1" applyFont="1" applyFill="1" applyBorder="1" applyAlignment="1">
      <alignment horizontal="right" vertical="center"/>
    </xf>
    <xf numFmtId="0" fontId="29" fillId="0" borderId="0" xfId="2" applyFont="1" applyAlignment="1">
      <alignment horizontal="left"/>
    </xf>
    <xf numFmtId="164" fontId="0" fillId="0" borderId="0" xfId="2" applyNumberFormat="1" applyFont="1"/>
    <xf numFmtId="164" fontId="10" fillId="0" borderId="0" xfId="2" applyNumberFormat="1" applyFont="1"/>
    <xf numFmtId="166" fontId="34" fillId="0" borderId="0" xfId="2" applyNumberFormat="1" applyFont="1" applyAlignment="1">
      <alignment horizontal="left" indent="1"/>
    </xf>
    <xf numFmtId="164" fontId="35" fillId="0" borderId="0" xfId="2" applyNumberFormat="1" applyFont="1"/>
    <xf numFmtId="0" fontId="36" fillId="0" borderId="0" xfId="2" applyFont="1" applyAlignment="1">
      <alignment horizontal="left" indent="1"/>
    </xf>
    <xf numFmtId="164" fontId="36" fillId="0" borderId="0" xfId="1" quotePrefix="1" applyNumberFormat="1" applyFont="1" applyFill="1" applyAlignment="1">
      <alignment horizontal="center"/>
    </xf>
    <xf numFmtId="0" fontId="38" fillId="2" borderId="0" xfId="0" applyFont="1" applyFill="1"/>
    <xf numFmtId="0" fontId="39" fillId="2" borderId="0" xfId="0" applyFont="1" applyFill="1"/>
    <xf numFmtId="0" fontId="48" fillId="2" borderId="0" xfId="0" applyFont="1" applyFill="1" applyAlignment="1">
      <alignment horizontal="left"/>
    </xf>
    <xf numFmtId="0" fontId="50" fillId="2" borderId="0" xfId="0" applyFont="1" applyFill="1"/>
    <xf numFmtId="0" fontId="44" fillId="7" borderId="12" xfId="0" applyFont="1" applyFill="1" applyBorder="1" applyAlignment="1">
      <alignment horizontal="center"/>
    </xf>
    <xf numFmtId="170" fontId="45" fillId="7" borderId="13" xfId="0" applyNumberFormat="1" applyFont="1" applyFill="1" applyBorder="1" applyAlignment="1">
      <alignment horizontal="center"/>
    </xf>
    <xf numFmtId="0" fontId="46" fillId="7" borderId="14" xfId="0" applyFont="1" applyFill="1" applyBorder="1" applyAlignment="1">
      <alignment horizontal="center"/>
    </xf>
    <xf numFmtId="0" fontId="44" fillId="7" borderId="15" xfId="0" applyFont="1" applyFill="1" applyBorder="1" applyAlignment="1">
      <alignment horizontal="center"/>
    </xf>
    <xf numFmtId="170" fontId="45" fillId="7" borderId="16" xfId="0" applyNumberFormat="1" applyFont="1" applyFill="1" applyBorder="1" applyAlignment="1">
      <alignment horizontal="center"/>
    </xf>
    <xf numFmtId="0" fontId="46" fillId="7" borderId="17" xfId="0" applyFont="1" applyFill="1" applyBorder="1" applyAlignment="1">
      <alignment horizontal="center"/>
    </xf>
    <xf numFmtId="171" fontId="45" fillId="7" borderId="13" xfId="0" applyNumberFormat="1" applyFont="1" applyFill="1" applyBorder="1" applyAlignment="1">
      <alignment horizontal="center"/>
    </xf>
    <xf numFmtId="172" fontId="45" fillId="7" borderId="16" xfId="0" applyNumberFormat="1" applyFont="1" applyFill="1" applyBorder="1" applyAlignment="1">
      <alignment horizontal="center"/>
    </xf>
    <xf numFmtId="170" fontId="47" fillId="7" borderId="13" xfId="0" applyNumberFormat="1" applyFont="1" applyFill="1" applyBorder="1" applyAlignment="1">
      <alignment horizontal="center"/>
    </xf>
    <xf numFmtId="0" fontId="39" fillId="2" borderId="18" xfId="0" applyFont="1" applyFill="1" applyBorder="1" applyAlignment="1">
      <alignment horizontal="left"/>
    </xf>
    <xf numFmtId="0" fontId="38" fillId="2" borderId="18" xfId="0" applyFont="1" applyFill="1" applyBorder="1"/>
    <xf numFmtId="0" fontId="40" fillId="2" borderId="18" xfId="0" applyFont="1" applyFill="1" applyBorder="1" applyAlignment="1">
      <alignment horizontal="right"/>
    </xf>
    <xf numFmtId="0" fontId="41" fillId="2" borderId="18" xfId="0" applyFont="1" applyFill="1" applyBorder="1" applyAlignment="1">
      <alignment horizontal="right"/>
    </xf>
    <xf numFmtId="0" fontId="42" fillId="2" borderId="19" xfId="0" applyFont="1" applyFill="1" applyBorder="1" applyAlignment="1">
      <alignment horizontal="left"/>
    </xf>
    <xf numFmtId="0" fontId="38" fillId="2" borderId="19" xfId="0" applyFont="1" applyFill="1" applyBorder="1"/>
    <xf numFmtId="0" fontId="43" fillId="2" borderId="19" xfId="0" applyFont="1" applyFill="1" applyBorder="1" applyAlignment="1">
      <alignment horizontal="right"/>
    </xf>
    <xf numFmtId="172" fontId="47" fillId="7" borderId="13" xfId="0" applyNumberFormat="1" applyFont="1" applyFill="1" applyBorder="1" applyAlignment="1">
      <alignment horizontal="center"/>
    </xf>
    <xf numFmtId="173" fontId="45" fillId="7" borderId="16" xfId="0" applyNumberFormat="1" applyFont="1" applyFill="1" applyBorder="1" applyAlignment="1">
      <alignment horizontal="center"/>
    </xf>
    <xf numFmtId="171" fontId="47" fillId="7" borderId="16" xfId="0" applyNumberFormat="1" applyFont="1" applyFill="1" applyBorder="1" applyAlignment="1">
      <alignment horizontal="center"/>
    </xf>
    <xf numFmtId="0" fontId="51" fillId="4" borderId="0" xfId="0" applyFont="1" applyFill="1"/>
    <xf numFmtId="0" fontId="37" fillId="0" borderId="0" xfId="0" applyFont="1" applyAlignment="1">
      <alignment vertical="top" wrapText="1"/>
    </xf>
    <xf numFmtId="14" fontId="37" fillId="0" borderId="0" xfId="0" applyNumberFormat="1" applyFont="1" applyAlignment="1">
      <alignment vertical="top" wrapText="1"/>
    </xf>
    <xf numFmtId="0" fontId="52" fillId="2" borderId="0" xfId="0" applyFont="1" applyFill="1"/>
    <xf numFmtId="0" fontId="48" fillId="7" borderId="21" xfId="0" applyFont="1" applyFill="1" applyBorder="1" applyAlignment="1">
      <alignment horizontal="center"/>
    </xf>
    <xf numFmtId="0" fontId="53" fillId="2" borderId="0" xfId="0" applyFont="1" applyFill="1"/>
    <xf numFmtId="0" fontId="54" fillId="2" borderId="0" xfId="0" applyFont="1" applyFill="1"/>
    <xf numFmtId="0" fontId="54" fillId="2" borderId="0" xfId="0" applyFont="1" applyFill="1" applyAlignment="1">
      <alignment horizontal="center"/>
    </xf>
    <xf numFmtId="0" fontId="55" fillId="4" borderId="0" xfId="0" applyFont="1" applyFill="1" applyAlignment="1">
      <alignment horizontal="center"/>
    </xf>
    <xf numFmtId="0" fontId="56" fillId="2" borderId="0" xfId="0" applyFont="1" applyFill="1"/>
    <xf numFmtId="0" fontId="56" fillId="2" borderId="18" xfId="0" applyFont="1" applyFill="1" applyBorder="1"/>
    <xf numFmtId="174" fontId="38" fillId="2" borderId="0" xfId="0" applyNumberFormat="1" applyFont="1" applyFill="1" applyAlignment="1">
      <alignment horizontal="center"/>
    </xf>
    <xf numFmtId="175" fontId="49" fillId="2" borderId="0" xfId="0" applyNumberFormat="1" applyFont="1" applyFill="1" applyAlignment="1">
      <alignment horizontal="center"/>
    </xf>
    <xf numFmtId="176" fontId="49" fillId="2" borderId="0" xfId="0" applyNumberFormat="1" applyFont="1" applyFill="1" applyAlignment="1">
      <alignment horizontal="center"/>
    </xf>
    <xf numFmtId="0" fontId="57" fillId="2" borderId="0" xfId="0" applyFont="1" applyFill="1"/>
    <xf numFmtId="174" fontId="48" fillId="2" borderId="20" xfId="0" applyNumberFormat="1" applyFont="1" applyFill="1" applyBorder="1" applyAlignment="1">
      <alignment horizontal="center"/>
    </xf>
    <xf numFmtId="0" fontId="38" fillId="2" borderId="20" xfId="0" applyFont="1" applyFill="1" applyBorder="1"/>
    <xf numFmtId="175" fontId="50" fillId="2" borderId="20" xfId="0" applyNumberFormat="1" applyFont="1" applyFill="1" applyBorder="1" applyAlignment="1">
      <alignment horizontal="center"/>
    </xf>
    <xf numFmtId="176" fontId="50" fillId="2" borderId="20" xfId="0" applyNumberFormat="1" applyFont="1" applyFill="1" applyBorder="1" applyAlignment="1">
      <alignment horizontal="center"/>
    </xf>
    <xf numFmtId="174" fontId="48" fillId="2" borderId="22" xfId="0" applyNumberFormat="1" applyFont="1" applyFill="1" applyBorder="1" applyAlignment="1">
      <alignment horizontal="center"/>
    </xf>
    <xf numFmtId="0" fontId="38" fillId="2" borderId="22" xfId="0" applyFont="1" applyFill="1" applyBorder="1"/>
    <xf numFmtId="175" fontId="54" fillId="2" borderId="22" xfId="0" applyNumberFormat="1" applyFont="1" applyFill="1" applyBorder="1" applyAlignment="1">
      <alignment horizontal="center"/>
    </xf>
    <xf numFmtId="176" fontId="54" fillId="2" borderId="22" xfId="0" applyNumberFormat="1" applyFont="1" applyFill="1" applyBorder="1" applyAlignment="1">
      <alignment horizontal="center"/>
    </xf>
    <xf numFmtId="175" fontId="50" fillId="2" borderId="22" xfId="0" applyNumberFormat="1" applyFont="1" applyFill="1" applyBorder="1" applyAlignment="1">
      <alignment horizontal="center"/>
    </xf>
    <xf numFmtId="176" fontId="50" fillId="2" borderId="22" xfId="0" applyNumberFormat="1" applyFont="1" applyFill="1" applyBorder="1" applyAlignment="1">
      <alignment horizontal="center"/>
    </xf>
    <xf numFmtId="0" fontId="49" fillId="2" borderId="0" xfId="0" applyFont="1" applyFill="1"/>
    <xf numFmtId="0" fontId="50" fillId="2" borderId="0" xfId="0" applyFont="1" applyFill="1" applyAlignment="1">
      <alignment horizontal="center"/>
    </xf>
    <xf numFmtId="177" fontId="49" fillId="2" borderId="0" xfId="0" applyNumberFormat="1" applyFont="1" applyFill="1" applyAlignment="1">
      <alignment horizontal="center"/>
    </xf>
    <xf numFmtId="177" fontId="50" fillId="2" borderId="0" xfId="0" applyNumberFormat="1" applyFont="1" applyFill="1" applyAlignment="1">
      <alignment horizontal="center"/>
    </xf>
    <xf numFmtId="178" fontId="49" fillId="2" borderId="0" xfId="0" applyNumberFormat="1" applyFont="1" applyFill="1" applyAlignment="1">
      <alignment horizontal="center"/>
    </xf>
    <xf numFmtId="178" fontId="50" fillId="2" borderId="0" xfId="0" applyNumberFormat="1" applyFont="1" applyFill="1" applyAlignment="1">
      <alignment horizontal="center"/>
    </xf>
    <xf numFmtId="177" fontId="38" fillId="2" borderId="0" xfId="0" applyNumberFormat="1" applyFont="1" applyFill="1" applyAlignment="1">
      <alignment horizontal="center"/>
    </xf>
    <xf numFmtId="177" fontId="48" fillId="2" borderId="20" xfId="0" applyNumberFormat="1" applyFont="1" applyFill="1" applyBorder="1" applyAlignment="1">
      <alignment horizontal="center"/>
    </xf>
    <xf numFmtId="177" fontId="48" fillId="2" borderId="0" xfId="0" applyNumberFormat="1" applyFont="1" applyFill="1" applyAlignment="1">
      <alignment horizontal="center"/>
    </xf>
    <xf numFmtId="177" fontId="48" fillId="2" borderId="22" xfId="0" applyNumberFormat="1" applyFont="1" applyFill="1" applyBorder="1" applyAlignment="1">
      <alignment horizontal="center"/>
    </xf>
    <xf numFmtId="177" fontId="60" fillId="2" borderId="0" xfId="0" applyNumberFormat="1" applyFont="1" applyFill="1" applyAlignment="1">
      <alignment horizontal="center"/>
    </xf>
    <xf numFmtId="178" fontId="60" fillId="2" borderId="0" xfId="0" applyNumberFormat="1" applyFont="1" applyFill="1" applyAlignment="1">
      <alignment horizontal="center"/>
    </xf>
    <xf numFmtId="177" fontId="58" fillId="2" borderId="0" xfId="0" applyNumberFormat="1" applyFont="1" applyFill="1" applyAlignment="1">
      <alignment horizontal="center"/>
    </xf>
    <xf numFmtId="178" fontId="58" fillId="2" borderId="0" xfId="0" applyNumberFormat="1" applyFont="1" applyFill="1" applyAlignment="1">
      <alignment horizontal="center"/>
    </xf>
    <xf numFmtId="177" fontId="59" fillId="2" borderId="0" xfId="0" applyNumberFormat="1" applyFont="1" applyFill="1" applyAlignment="1">
      <alignment horizontal="center"/>
    </xf>
    <xf numFmtId="178" fontId="59" fillId="2" borderId="0" xfId="0" applyNumberFormat="1" applyFont="1" applyFill="1" applyAlignment="1">
      <alignment horizontal="center"/>
    </xf>
    <xf numFmtId="0" fontId="38" fillId="2" borderId="24" xfId="0" applyFont="1" applyFill="1" applyBorder="1"/>
    <xf numFmtId="17" fontId="50" fillId="2" borderId="0" xfId="0" applyNumberFormat="1" applyFont="1" applyFill="1" applyAlignment="1">
      <alignment horizontal="center"/>
    </xf>
    <xf numFmtId="17" fontId="50" fillId="2" borderId="25" xfId="0" applyNumberFormat="1" applyFont="1" applyFill="1" applyBorder="1" applyAlignment="1">
      <alignment horizontal="center"/>
    </xf>
    <xf numFmtId="0" fontId="55" fillId="4" borderId="25" xfId="0" applyFont="1" applyFill="1" applyBorder="1" applyAlignment="1">
      <alignment horizontal="center"/>
    </xf>
    <xf numFmtId="0" fontId="38" fillId="2" borderId="25" xfId="0" applyFont="1" applyFill="1" applyBorder="1"/>
    <xf numFmtId="0" fontId="38" fillId="2" borderId="26" xfId="0" applyFont="1" applyFill="1" applyBorder="1"/>
    <xf numFmtId="0" fontId="50" fillId="2" borderId="25" xfId="0" applyFont="1" applyFill="1" applyBorder="1" applyAlignment="1">
      <alignment horizontal="center"/>
    </xf>
    <xf numFmtId="0" fontId="50" fillId="2" borderId="29" xfId="0" applyFont="1" applyFill="1" applyBorder="1" applyAlignment="1">
      <alignment horizontal="center"/>
    </xf>
    <xf numFmtId="0" fontId="55" fillId="4" borderId="29" xfId="0" applyFont="1" applyFill="1" applyBorder="1" applyAlignment="1">
      <alignment horizontal="center"/>
    </xf>
    <xf numFmtId="0" fontId="38" fillId="2" borderId="29" xfId="0" applyFont="1" applyFill="1" applyBorder="1"/>
    <xf numFmtId="0" fontId="38" fillId="2" borderId="30" xfId="0" applyFont="1" applyFill="1" applyBorder="1"/>
    <xf numFmtId="0" fontId="50" fillId="2" borderId="33" xfId="0" applyFont="1" applyFill="1" applyBorder="1" applyAlignment="1">
      <alignment horizontal="center"/>
    </xf>
    <xf numFmtId="0" fontId="55" fillId="4" borderId="33" xfId="0" applyFont="1" applyFill="1" applyBorder="1" applyAlignment="1">
      <alignment horizontal="center"/>
    </xf>
    <xf numFmtId="0" fontId="38" fillId="2" borderId="33" xfId="0" applyFont="1" applyFill="1" applyBorder="1"/>
    <xf numFmtId="0" fontId="38" fillId="2" borderId="34" xfId="0" applyFont="1" applyFill="1" applyBorder="1"/>
    <xf numFmtId="177" fontId="49" fillId="2" borderId="23" xfId="0" applyNumberFormat="1" applyFont="1" applyFill="1" applyBorder="1" applyAlignment="1">
      <alignment horizontal="center"/>
    </xf>
    <xf numFmtId="177" fontId="49" fillId="2" borderId="27" xfId="0" applyNumberFormat="1" applyFont="1" applyFill="1" applyBorder="1" applyAlignment="1">
      <alignment horizontal="center"/>
    </xf>
    <xf numFmtId="177" fontId="49" fillId="2" borderId="31" xfId="0" applyNumberFormat="1" applyFont="1" applyFill="1" applyBorder="1" applyAlignment="1">
      <alignment horizontal="center"/>
    </xf>
    <xf numFmtId="177" fontId="49" fillId="2" borderId="35" xfId="0" applyNumberFormat="1" applyFont="1" applyFill="1" applyBorder="1" applyAlignment="1">
      <alignment horizontal="center"/>
    </xf>
    <xf numFmtId="177" fontId="50" fillId="2" borderId="25" xfId="0" applyNumberFormat="1" applyFont="1" applyFill="1" applyBorder="1" applyAlignment="1">
      <alignment horizontal="center"/>
    </xf>
    <xf numFmtId="177" fontId="50" fillId="2" borderId="29" xfId="0" applyNumberFormat="1" applyFont="1" applyFill="1" applyBorder="1" applyAlignment="1">
      <alignment horizontal="center"/>
    </xf>
    <xf numFmtId="177" fontId="50" fillId="2" borderId="33" xfId="0" applyNumberFormat="1" applyFont="1" applyFill="1" applyBorder="1" applyAlignment="1">
      <alignment horizontal="center"/>
    </xf>
    <xf numFmtId="177" fontId="49" fillId="2" borderId="25" xfId="0" applyNumberFormat="1" applyFont="1" applyFill="1" applyBorder="1" applyAlignment="1">
      <alignment horizontal="center"/>
    </xf>
    <xf numFmtId="177" fontId="49" fillId="2" borderId="29" xfId="0" applyNumberFormat="1" applyFont="1" applyFill="1" applyBorder="1" applyAlignment="1">
      <alignment horizontal="center"/>
    </xf>
    <xf numFmtId="177" fontId="49" fillId="2" borderId="33" xfId="0" applyNumberFormat="1" applyFont="1" applyFill="1" applyBorder="1" applyAlignment="1">
      <alignment horizontal="center"/>
    </xf>
    <xf numFmtId="177" fontId="50" fillId="2" borderId="22" xfId="0" applyNumberFormat="1" applyFont="1" applyFill="1" applyBorder="1" applyAlignment="1">
      <alignment horizontal="center"/>
    </xf>
    <xf numFmtId="177" fontId="50" fillId="2" borderId="28" xfId="0" applyNumberFormat="1" applyFont="1" applyFill="1" applyBorder="1" applyAlignment="1">
      <alignment horizontal="center"/>
    </xf>
    <xf numFmtId="177" fontId="50" fillId="2" borderId="32" xfId="0" applyNumberFormat="1" applyFont="1" applyFill="1" applyBorder="1" applyAlignment="1">
      <alignment horizontal="center"/>
    </xf>
    <xf numFmtId="177" fontId="50" fillId="2" borderId="36" xfId="0" applyNumberFormat="1" applyFont="1" applyFill="1" applyBorder="1" applyAlignment="1">
      <alignment horizontal="center"/>
    </xf>
    <xf numFmtId="0" fontId="0" fillId="2" borderId="0" xfId="0" applyFill="1"/>
    <xf numFmtId="0" fontId="0" fillId="8" borderId="0" xfId="0" applyFill="1"/>
    <xf numFmtId="0" fontId="61" fillId="8" borderId="0" xfId="0" applyFont="1" applyFill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  <xf numFmtId="0" fontId="4" fillId="9" borderId="0" xfId="0" applyFont="1" applyFill="1"/>
    <xf numFmtId="173" fontId="0" fillId="0" borderId="0" xfId="0" applyNumberFormat="1"/>
    <xf numFmtId="49" fontId="0" fillId="0" borderId="0" xfId="0" applyNumberFormat="1"/>
    <xf numFmtId="0" fontId="62" fillId="2" borderId="23" xfId="0" applyFont="1" applyFill="1" applyBorder="1" applyAlignment="1">
      <alignment horizontal="left"/>
    </xf>
    <xf numFmtId="0" fontId="39" fillId="2" borderId="23" xfId="0" applyFont="1" applyFill="1" applyBorder="1" applyAlignment="1">
      <alignment horizontal="left"/>
    </xf>
    <xf numFmtId="0" fontId="0" fillId="2" borderId="23" xfId="0" applyFill="1" applyBorder="1"/>
    <xf numFmtId="0" fontId="64" fillId="2" borderId="0" xfId="0" applyFont="1" applyFill="1"/>
    <xf numFmtId="0" fontId="0" fillId="7" borderId="39" xfId="0" applyFill="1" applyBorder="1"/>
    <xf numFmtId="0" fontId="0" fillId="2" borderId="38" xfId="0" applyFill="1" applyBorder="1"/>
    <xf numFmtId="0" fontId="63" fillId="2" borderId="37" xfId="0" applyFont="1" applyFill="1" applyBorder="1" applyAlignment="1">
      <alignment horizontal="center"/>
    </xf>
    <xf numFmtId="0" fontId="65" fillId="2" borderId="37" xfId="0" applyFont="1" applyFill="1" applyBorder="1"/>
    <xf numFmtId="180" fontId="65" fillId="2" borderId="37" xfId="0" applyNumberFormat="1" applyFont="1" applyFill="1" applyBorder="1" applyAlignment="1">
      <alignment horizontal="center"/>
    </xf>
    <xf numFmtId="0" fontId="65" fillId="2" borderId="37" xfId="0" applyFont="1" applyFill="1" applyBorder="1" applyAlignment="1">
      <alignment horizontal="center"/>
    </xf>
    <xf numFmtId="171" fontId="65" fillId="2" borderId="37" xfId="0" applyNumberFormat="1" applyFont="1" applyFill="1" applyBorder="1" applyAlignment="1">
      <alignment horizontal="center"/>
    </xf>
    <xf numFmtId="1" fontId="65" fillId="2" borderId="37" xfId="0" applyNumberFormat="1" applyFont="1" applyFill="1" applyBorder="1" applyAlignment="1">
      <alignment horizontal="center"/>
    </xf>
    <xf numFmtId="0" fontId="66" fillId="2" borderId="37" xfId="0" applyFont="1" applyFill="1" applyBorder="1"/>
    <xf numFmtId="180" fontId="66" fillId="2" borderId="37" xfId="0" applyNumberFormat="1" applyFont="1" applyFill="1" applyBorder="1" applyAlignment="1">
      <alignment horizontal="center"/>
    </xf>
    <xf numFmtId="0" fontId="66" fillId="2" borderId="37" xfId="0" applyFont="1" applyFill="1" applyBorder="1" applyAlignment="1">
      <alignment horizontal="center"/>
    </xf>
    <xf numFmtId="171" fontId="66" fillId="2" borderId="37" xfId="0" applyNumberFormat="1" applyFont="1" applyFill="1" applyBorder="1" applyAlignment="1">
      <alignment horizontal="center"/>
    </xf>
    <xf numFmtId="1" fontId="66" fillId="2" borderId="37" xfId="0" applyNumberFormat="1" applyFont="1" applyFill="1" applyBorder="1" applyAlignment="1">
      <alignment horizontal="center"/>
    </xf>
    <xf numFmtId="0" fontId="41" fillId="2" borderId="23" xfId="0" applyFont="1" applyFill="1" applyBorder="1" applyAlignment="1">
      <alignment horizontal="right"/>
    </xf>
    <xf numFmtId="0" fontId="67" fillId="2" borderId="0" xfId="0" applyFont="1" applyFill="1"/>
    <xf numFmtId="173" fontId="38" fillId="7" borderId="37" xfId="0" applyNumberFormat="1" applyFont="1" applyFill="1" applyBorder="1" applyAlignment="1">
      <alignment horizontal="center"/>
    </xf>
    <xf numFmtId="0" fontId="44" fillId="7" borderId="37" xfId="0" applyFont="1" applyFill="1" applyBorder="1" applyAlignment="1">
      <alignment horizontal="center"/>
    </xf>
    <xf numFmtId="0" fontId="44" fillId="7" borderId="38" xfId="0" applyFont="1" applyFill="1" applyBorder="1" applyAlignment="1">
      <alignment horizontal="center"/>
    </xf>
    <xf numFmtId="49" fontId="38" fillId="7" borderId="38" xfId="0" applyNumberFormat="1" applyFont="1" applyFill="1" applyBorder="1"/>
    <xf numFmtId="0" fontId="0" fillId="2" borderId="37" xfId="0" applyFill="1" applyBorder="1"/>
    <xf numFmtId="0" fontId="44" fillId="7" borderId="39" xfId="0" applyFont="1" applyFill="1" applyBorder="1" applyAlignment="1">
      <alignment horizontal="center"/>
    </xf>
    <xf numFmtId="173" fontId="68" fillId="7" borderId="39" xfId="0" applyNumberFormat="1" applyFont="1" applyFill="1" applyBorder="1" applyAlignment="1">
      <alignment horizontal="center"/>
    </xf>
    <xf numFmtId="0" fontId="69" fillId="2" borderId="0" xfId="0" applyFont="1" applyFill="1"/>
    <xf numFmtId="0" fontId="70" fillId="2" borderId="0" xfId="0" applyFont="1" applyFill="1"/>
    <xf numFmtId="171" fontId="71" fillId="2" borderId="0" xfId="0" applyNumberFormat="1" applyFont="1" applyFill="1"/>
    <xf numFmtId="171" fontId="72" fillId="2" borderId="0" xfId="0" applyNumberFormat="1" applyFont="1" applyFill="1"/>
    <xf numFmtId="3" fontId="48" fillId="2" borderId="0" xfId="0" applyNumberFormat="1" applyFont="1" applyFill="1"/>
    <xf numFmtId="0" fontId="38" fillId="7" borderId="37" xfId="0" applyFont="1" applyFill="1" applyBorder="1"/>
    <xf numFmtId="180" fontId="38" fillId="7" borderId="37" xfId="0" applyNumberFormat="1" applyFont="1" applyFill="1" applyBorder="1" applyAlignment="1">
      <alignment horizontal="center"/>
    </xf>
    <xf numFmtId="171" fontId="38" fillId="7" borderId="37" xfId="0" applyNumberFormat="1" applyFont="1" applyFill="1" applyBorder="1" applyAlignment="1">
      <alignment horizontal="center"/>
    </xf>
    <xf numFmtId="0" fontId="44" fillId="7" borderId="37" xfId="0" applyFont="1" applyFill="1" applyBorder="1"/>
    <xf numFmtId="180" fontId="48" fillId="7" borderId="37" xfId="0" applyNumberFormat="1" applyFont="1" applyFill="1" applyBorder="1" applyAlignment="1">
      <alignment horizontal="center"/>
    </xf>
    <xf numFmtId="171" fontId="48" fillId="7" borderId="37" xfId="0" applyNumberFormat="1" applyFont="1" applyFill="1" applyBorder="1" applyAlignment="1">
      <alignment horizontal="center"/>
    </xf>
    <xf numFmtId="0" fontId="44" fillId="7" borderId="38" xfId="0" applyFont="1" applyFill="1" applyBorder="1"/>
    <xf numFmtId="0" fontId="38" fillId="7" borderId="38" xfId="0" applyFont="1" applyFill="1" applyBorder="1"/>
    <xf numFmtId="0" fontId="48" fillId="7" borderId="38" xfId="0" applyFont="1" applyFill="1" applyBorder="1"/>
    <xf numFmtId="0" fontId="38" fillId="7" borderId="39" xfId="0" applyFont="1" applyFill="1" applyBorder="1" applyAlignment="1">
      <alignment horizontal="center"/>
    </xf>
    <xf numFmtId="180" fontId="38" fillId="7" borderId="39" xfId="0" applyNumberFormat="1" applyFont="1" applyFill="1" applyBorder="1" applyAlignment="1">
      <alignment horizontal="center"/>
    </xf>
    <xf numFmtId="0" fontId="44" fillId="3" borderId="15" xfId="0" applyFont="1" applyFill="1" applyBorder="1" applyAlignment="1">
      <alignment horizontal="center"/>
    </xf>
    <xf numFmtId="180" fontId="45" fillId="3" borderId="16" xfId="0" applyNumberFormat="1" applyFont="1" applyFill="1" applyBorder="1" applyAlignment="1">
      <alignment horizontal="center"/>
    </xf>
    <xf numFmtId="0" fontId="46" fillId="3" borderId="17" xfId="0" applyFont="1" applyFill="1" applyBorder="1" applyAlignment="1">
      <alignment horizontal="center"/>
    </xf>
    <xf numFmtId="173" fontId="47" fillId="3" borderId="16" xfId="0" applyNumberFormat="1" applyFont="1" applyFill="1" applyBorder="1" applyAlignment="1">
      <alignment horizontal="center"/>
    </xf>
    <xf numFmtId="171" fontId="47" fillId="3" borderId="16" xfId="0" applyNumberFormat="1" applyFont="1" applyFill="1" applyBorder="1" applyAlignment="1">
      <alignment horizontal="center"/>
    </xf>
    <xf numFmtId="0" fontId="45" fillId="3" borderId="16" xfId="0" applyFont="1" applyFill="1" applyBorder="1" applyAlignment="1">
      <alignment horizontal="center"/>
    </xf>
    <xf numFmtId="0" fontId="0" fillId="0" borderId="0" xfId="2" applyFont="1"/>
    <xf numFmtId="0" fontId="4" fillId="0" borderId="3" xfId="0" applyFont="1" applyBorder="1" applyAlignment="1">
      <alignment horizontal="center" vertical="center" textRotation="90"/>
    </xf>
    <xf numFmtId="0" fontId="4" fillId="0" borderId="3" xfId="2" applyFont="1" applyBorder="1" applyAlignment="1">
      <alignment horizontal="center" vertical="center" textRotation="90"/>
    </xf>
    <xf numFmtId="0" fontId="32" fillId="0" borderId="5" xfId="2" applyFont="1" applyBorder="1" applyAlignment="1" applyProtection="1">
      <alignment horizontal="left" vertical="center" indent="1"/>
      <protection locked="0"/>
    </xf>
    <xf numFmtId="0" fontId="32" fillId="0" borderId="4" xfId="2" applyFont="1" applyBorder="1" applyAlignment="1" applyProtection="1">
      <alignment horizontal="left" vertical="center" indent="1"/>
      <protection locked="0"/>
    </xf>
    <xf numFmtId="0" fontId="31" fillId="0" borderId="5" xfId="2" applyFont="1" applyBorder="1" applyAlignment="1" applyProtection="1">
      <alignment horizontal="left" vertical="center" wrapText="1" indent="1"/>
      <protection hidden="1"/>
    </xf>
    <xf numFmtId="0" fontId="31" fillId="0" borderId="4" xfId="2" applyFont="1" applyBorder="1" applyAlignment="1" applyProtection="1">
      <alignment horizontal="left" vertical="center" wrapText="1" indent="1"/>
      <protection hidden="1"/>
    </xf>
    <xf numFmtId="0" fontId="30" fillId="0" borderId="5" xfId="2" applyFont="1" applyBorder="1" applyAlignment="1" applyProtection="1">
      <alignment horizontal="left" vertical="center" wrapText="1" indent="1"/>
      <protection hidden="1"/>
    </xf>
    <xf numFmtId="0" fontId="30" fillId="0" borderId="4" xfId="2" applyFont="1" applyBorder="1" applyAlignment="1" applyProtection="1">
      <alignment horizontal="left" vertical="center" wrapText="1" indent="1"/>
      <protection hidden="1"/>
    </xf>
  </cellXfs>
  <cellStyles count="5">
    <cellStyle name="Comma" xfId="1" builtinId="3"/>
    <cellStyle name="Comma 2" xfId="3" xr:uid="{B8C3D335-EEBA-4A3F-8B14-F105AB8F1615}"/>
    <cellStyle name="Normal" xfId="0" builtinId="0"/>
    <cellStyle name="Normal 2 3" xfId="2" xr:uid="{796C280F-2DB3-4397-8331-D4AABB003BF8}"/>
    <cellStyle name="Percent 2" xfId="4" xr:uid="{FB5E5B21-693B-42C4-8AAB-EB384F24DBBC}"/>
  </cellStyles>
  <dxfs count="23">
    <dxf>
      <font>
        <color rgb="FFC62828"/>
      </font>
    </dxf>
    <dxf>
      <font>
        <color rgb="FF2E7D32"/>
      </font>
    </dxf>
    <dxf>
      <font>
        <color rgb="FFC62828"/>
      </font>
    </dxf>
    <dxf>
      <font>
        <color rgb="FF2E7D32"/>
      </font>
    </dxf>
    <dxf>
      <font>
        <color rgb="FFC62828"/>
      </font>
    </dxf>
    <dxf>
      <font>
        <color rgb="FF2E7D32"/>
      </font>
    </dxf>
    <dxf>
      <font>
        <color rgb="FFC62828"/>
      </font>
    </dxf>
    <dxf>
      <font>
        <color rgb="FF2E7D32"/>
      </font>
    </dxf>
    <dxf>
      <fill>
        <patternFill patternType="none">
          <fgColor indexed="64"/>
          <bgColor indexed="65"/>
        </patternFill>
      </fill>
    </dxf>
    <dxf>
      <alignment horizontal="center" vertical="center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5F5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AR by Aging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 Command Center'!$D$37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91-E042-AD74-3D557BEA146E}"/>
              </c:ext>
            </c:extLst>
          </c:dPt>
          <c:dPt>
            <c:idx val="1"/>
            <c:invertIfNegative val="0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B91-E042-AD74-3D557BEA146E}"/>
              </c:ext>
            </c:extLst>
          </c:dPt>
          <c:dPt>
            <c:idx val="2"/>
            <c:invertIfNegative val="0"/>
            <c:bubble3D val="0"/>
            <c:spPr>
              <a:solidFill>
                <a:srgbClr val="2B6E3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91-E042-AD74-3D557BEA146E}"/>
              </c:ext>
            </c:extLst>
          </c:dPt>
          <c:dPt>
            <c:idx val="3"/>
            <c:invertIfNegative val="0"/>
            <c:bubble3D val="0"/>
            <c:spPr>
              <a:solidFill>
                <a:srgbClr val="9B23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B91-E042-AD74-3D557BEA146E}"/>
              </c:ext>
            </c:extLst>
          </c:dPt>
          <c:cat>
            <c:strRef>
              <c:f>'AR Command Center'!$C$38:$C$41</c:f>
              <c:strCache>
                <c:ptCount val="4"/>
                <c:pt idx="0">
                  <c:v>Current (0-30)</c:v>
                </c:pt>
                <c:pt idx="1">
                  <c:v>31-60 Days</c:v>
                </c:pt>
                <c:pt idx="2">
                  <c:v>61-90 Days</c:v>
                </c:pt>
                <c:pt idx="3">
                  <c:v>90+ Days</c:v>
                </c:pt>
              </c:strCache>
            </c:strRef>
          </c:cat>
          <c:val>
            <c:numRef>
              <c:f>'AR Command Center'!$D$38:$D$41</c:f>
              <c:numCache>
                <c:formatCode>"EGP"#,##0</c:formatCode>
                <c:ptCount val="4"/>
                <c:pt idx="0">
                  <c:v>0</c:v>
                </c:pt>
                <c:pt idx="1">
                  <c:v>2689000</c:v>
                </c:pt>
                <c:pt idx="2">
                  <c:v>1351500</c:v>
                </c:pt>
                <c:pt idx="3">
                  <c:v>1455000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1-E042-AD74-3D557BEA1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609279"/>
        <c:axId val="260607487"/>
      </c:barChart>
      <c:catAx>
        <c:axId val="26060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EG"/>
          </a:p>
        </c:txPr>
        <c:crossAx val="260607487"/>
        <c:crosses val="autoZero"/>
        <c:auto val="1"/>
        <c:lblAlgn val="ctr"/>
        <c:lblOffset val="100"/>
        <c:noMultiLvlLbl val="0"/>
      </c:catAx>
      <c:valAx>
        <c:axId val="26060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EG"/>
          </a:p>
        </c:txPr>
        <c:crossAx val="26060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5E7EB"/>
      </a:solidFill>
      <a:prstDash val="solid"/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DSO Trend vs Target (45 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E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 Command Center'!$J$37</c:f>
              <c:strCache>
                <c:ptCount val="1"/>
                <c:pt idx="0">
                  <c:v>DSO</c:v>
                </c:pt>
              </c:strCache>
            </c:strRef>
          </c:tx>
          <c:spPr>
            <a:ln w="28575" cap="rnd">
              <a:solidFill>
                <a:srgbClr val="15608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'AR Command Center'!$I$38:$I$49</c:f>
              <c:strCache>
                <c:ptCount val="12"/>
                <c:pt idx="0">
                  <c:v>Jun-25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</c:strCache>
            </c:strRef>
          </c:cat>
          <c:val>
            <c:numRef>
              <c:f>'AR Command Center'!$J$38:$J$49</c:f>
              <c:numCache>
                <c:formatCode>0.0</c:formatCode>
                <c:ptCount val="12"/>
                <c:pt idx="0">
                  <c:v>124.81751824817519</c:v>
                </c:pt>
                <c:pt idx="1">
                  <c:v>123.38028169014083</c:v>
                </c:pt>
                <c:pt idx="2">
                  <c:v>131.25</c:v>
                </c:pt>
                <c:pt idx="3">
                  <c:v>145.89928057553956</c:v>
                </c:pt>
                <c:pt idx="4">
                  <c:v>125.34246575342466</c:v>
                </c:pt>
                <c:pt idx="5">
                  <c:v>129.26174496644296</c:v>
                </c:pt>
                <c:pt idx="6">
                  <c:v>139.73684210526315</c:v>
                </c:pt>
                <c:pt idx="7">
                  <c:v>157.71428571428572</c:v>
                </c:pt>
                <c:pt idx="8">
                  <c:v>148.69565217391303</c:v>
                </c:pt>
                <c:pt idx="9">
                  <c:v>157.34265734265736</c:v>
                </c:pt>
                <c:pt idx="10">
                  <c:v>157.70270270270271</c:v>
                </c:pt>
                <c:pt idx="11">
                  <c:v>227.4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D-8142-B372-C1ED67757E7A}"/>
            </c:ext>
          </c:extLst>
        </c:ser>
        <c:ser>
          <c:idx val="1"/>
          <c:order val="1"/>
          <c:tx>
            <c:strRef>
              <c:f>'AR Command Center'!$K$37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'AR Command Center'!$I$38:$I$49</c:f>
              <c:strCache>
                <c:ptCount val="12"/>
                <c:pt idx="0">
                  <c:v>Jun-25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</c:strCache>
            </c:strRef>
          </c:cat>
          <c:val>
            <c:numRef>
              <c:f>'AR Command Center'!$K$38:$K$49</c:f>
              <c:numCache>
                <c:formatCode>0.0</c:formatCode>
                <c:ptCount val="12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BD-8142-B372-C1ED67757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48767"/>
        <c:axId val="211236415"/>
      </c:lineChart>
      <c:catAx>
        <c:axId val="6824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EG"/>
          </a:p>
        </c:txPr>
        <c:crossAx val="211236415"/>
        <c:crosses val="autoZero"/>
        <c:auto val="1"/>
        <c:lblAlgn val="ctr"/>
        <c:lblOffset val="100"/>
        <c:noMultiLvlLbl val="0"/>
      </c:catAx>
      <c:valAx>
        <c:axId val="21123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EG"/>
          </a:p>
        </c:txPr>
        <c:crossAx val="6824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5E7EB"/>
      </a:solidFill>
      <a:prstDash val="solid"/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Aging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EG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'AR Command Center'!$D$37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rgbClr val="1560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A5-5842-B172-4D53A583F4D6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1A5-5842-B172-4D53A583F4D6}"/>
              </c:ext>
            </c:extLst>
          </c:dPt>
          <c:dPt>
            <c:idx val="2"/>
            <c:bubble3D val="0"/>
            <c:spPr>
              <a:solidFill>
                <a:srgbClr val="2B6E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A5-5842-B172-4D53A583F4D6}"/>
              </c:ext>
            </c:extLst>
          </c:dPt>
          <c:dPt>
            <c:idx val="3"/>
            <c:bubble3D val="0"/>
            <c:spPr>
              <a:solidFill>
                <a:srgbClr val="9B233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1A5-5842-B172-4D53A583F4D6}"/>
              </c:ext>
            </c:extLst>
          </c:dPt>
          <c:cat>
            <c:strRef>
              <c:f>'AR Command Center'!$C$38:$C$41</c:f>
              <c:strCache>
                <c:ptCount val="4"/>
                <c:pt idx="0">
                  <c:v>Current (0-30)</c:v>
                </c:pt>
                <c:pt idx="1">
                  <c:v>31-60 Days</c:v>
                </c:pt>
                <c:pt idx="2">
                  <c:v>61-90 Days</c:v>
                </c:pt>
                <c:pt idx="3">
                  <c:v>90+ Days</c:v>
                </c:pt>
              </c:strCache>
            </c:strRef>
          </c:cat>
          <c:val>
            <c:numRef>
              <c:f>'AR Command Center'!$D$38:$D$41</c:f>
              <c:numCache>
                <c:formatCode>"EGP"#,##0</c:formatCode>
                <c:ptCount val="4"/>
                <c:pt idx="0">
                  <c:v>0</c:v>
                </c:pt>
                <c:pt idx="1">
                  <c:v>2689000</c:v>
                </c:pt>
                <c:pt idx="2">
                  <c:v>1351500</c:v>
                </c:pt>
                <c:pt idx="3">
                  <c:v>1455000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5-5842-B172-4D53A583F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5E7EB"/>
      </a:solidFill>
      <a:prstDash val="solid"/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AR Balance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E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'AR Command Center'!$C$45</c:f>
              <c:strCache>
                <c:ptCount val="1"/>
                <c:pt idx="0">
                  <c:v>AR Balance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f>'AR Command Center'!$B$46:$B$58</c:f>
              <c:strCache>
                <c:ptCount val="13"/>
                <c:pt idx="0">
                  <c:v>GlobalTech Solutions</c:v>
                </c:pt>
                <c:pt idx="1">
                  <c:v>Ironclad Manufacturing</c:v>
                </c:pt>
                <c:pt idx="2">
                  <c:v>Cascade Industries</c:v>
                </c:pt>
                <c:pt idx="3">
                  <c:v>Apex Technologies</c:v>
                </c:pt>
                <c:pt idx="4">
                  <c:v>Evergreen Health</c:v>
                </c:pt>
                <c:pt idx="5">
                  <c:v>Luminary Brands</c:v>
                </c:pt>
                <c:pt idx="6">
                  <c:v>Nexus Consulting</c:v>
                </c:pt>
                <c:pt idx="7">
                  <c:v>BlueStar Logistics</c:v>
                </c:pt>
                <c:pt idx="8">
                  <c:v>Jetstream Aviation</c:v>
                </c:pt>
                <c:pt idx="9">
                  <c:v>Delta Partners</c:v>
                </c:pt>
                <c:pt idx="10">
                  <c:v>Harbor Financial</c:v>
                </c:pt>
                <c:pt idx="11">
                  <c:v>KeyPoint Analytics</c:v>
                </c:pt>
                <c:pt idx="12">
                  <c:v>Frontier Software</c:v>
                </c:pt>
              </c:strCache>
            </c:strRef>
          </c:cat>
          <c:val>
            <c:numRef>
              <c:f>'AR Command Center'!$C$46:$C$58</c:f>
              <c:numCache>
                <c:formatCode>"EGP"#,##0</c:formatCode>
                <c:ptCount val="13"/>
                <c:pt idx="0">
                  <c:v>665000</c:v>
                </c:pt>
                <c:pt idx="1">
                  <c:v>912000</c:v>
                </c:pt>
                <c:pt idx="2">
                  <c:v>698000</c:v>
                </c:pt>
                <c:pt idx="3">
                  <c:v>594500</c:v>
                </c:pt>
                <c:pt idx="4">
                  <c:v>575000</c:v>
                </c:pt>
                <c:pt idx="5">
                  <c:v>495000</c:v>
                </c:pt>
                <c:pt idx="6">
                  <c:v>360000</c:v>
                </c:pt>
                <c:pt idx="7">
                  <c:v>266000</c:v>
                </c:pt>
                <c:pt idx="8">
                  <c:v>279000</c:v>
                </c:pt>
                <c:pt idx="9">
                  <c:v>201500</c:v>
                </c:pt>
                <c:pt idx="10">
                  <c:v>198000</c:v>
                </c:pt>
                <c:pt idx="11">
                  <c:v>173500</c:v>
                </c:pt>
                <c:pt idx="12">
                  <c:v>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B-E848-94E7-E2C73E74B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2535615"/>
        <c:axId val="292522623"/>
      </c:barChart>
      <c:catAx>
        <c:axId val="29253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EG"/>
          </a:p>
        </c:txPr>
        <c:crossAx val="292522623"/>
        <c:crosses val="autoZero"/>
        <c:auto val="1"/>
        <c:lblAlgn val="ctr"/>
        <c:lblOffset val="100"/>
        <c:noMultiLvlLbl val="0"/>
      </c:catAx>
      <c:valAx>
        <c:axId val="29252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EG"/>
          </a:p>
        </c:txPr>
        <c:crossAx val="29253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5E7EB"/>
      </a:solidFill>
      <a:prstDash val="solid"/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&amp; COGS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696068094403953E-2"/>
          <c:y val="0.1708071748878924"/>
          <c:w val="0.89100401539006879"/>
          <c:h val="0.627428763108647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 Dashboard'!$B$51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Dashboard'!$C$50:$N$50</c:f>
              <c:strCache>
                <c:ptCount val="12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</c:strCache>
            </c:strRef>
          </c:cat>
          <c:val>
            <c:numRef>
              <c:f>'KPI Dashboard'!$C$51:$N$51</c:f>
              <c:numCache>
                <c:formatCode>General</c:formatCode>
                <c:ptCount val="12"/>
                <c:pt idx="0">
                  <c:v>51051</c:v>
                </c:pt>
                <c:pt idx="1">
                  <c:v>53604</c:v>
                </c:pt>
                <c:pt idx="2">
                  <c:v>56284</c:v>
                </c:pt>
                <c:pt idx="3">
                  <c:v>59098.22</c:v>
                </c:pt>
                <c:pt idx="4">
                  <c:v>62053</c:v>
                </c:pt>
                <c:pt idx="5">
                  <c:v>65156</c:v>
                </c:pt>
                <c:pt idx="6">
                  <c:v>68414</c:v>
                </c:pt>
                <c:pt idx="7">
                  <c:v>71834</c:v>
                </c:pt>
                <c:pt idx="8">
                  <c:v>84125.97</c:v>
                </c:pt>
                <c:pt idx="9">
                  <c:v>79197.259999999995</c:v>
                </c:pt>
                <c:pt idx="10">
                  <c:v>83157.13</c:v>
                </c:pt>
                <c:pt idx="11">
                  <c:v>87314.98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8-44F4-9887-67CE1A7E793D}"/>
            </c:ext>
          </c:extLst>
        </c:ser>
        <c:ser>
          <c:idx val="1"/>
          <c:order val="1"/>
          <c:tx>
            <c:strRef>
              <c:f>'KPI Dashboard'!$B$52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 Dashboard'!$C$50:$N$50</c:f>
              <c:strCache>
                <c:ptCount val="12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</c:strCache>
            </c:strRef>
          </c:cat>
          <c:val>
            <c:numRef>
              <c:f>'KPI Dashboard'!$C$52:$N$52</c:f>
              <c:numCache>
                <c:formatCode>General</c:formatCode>
                <c:ptCount val="12"/>
                <c:pt idx="0">
                  <c:v>4846.33</c:v>
                </c:pt>
                <c:pt idx="1">
                  <c:v>5089.33</c:v>
                </c:pt>
                <c:pt idx="2">
                  <c:v>5343</c:v>
                </c:pt>
                <c:pt idx="3">
                  <c:v>5610.42</c:v>
                </c:pt>
                <c:pt idx="4">
                  <c:v>5890</c:v>
                </c:pt>
                <c:pt idx="5">
                  <c:v>6185</c:v>
                </c:pt>
                <c:pt idx="6">
                  <c:v>6495</c:v>
                </c:pt>
                <c:pt idx="7">
                  <c:v>6820</c:v>
                </c:pt>
                <c:pt idx="8">
                  <c:v>7460.48</c:v>
                </c:pt>
                <c:pt idx="9">
                  <c:v>6518.5</c:v>
                </c:pt>
                <c:pt idx="10">
                  <c:v>7894.43</c:v>
                </c:pt>
                <c:pt idx="11">
                  <c:v>8289.15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88-44F4-9887-67CE1A7E7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730431"/>
        <c:axId val="554730911"/>
      </c:barChart>
      <c:catAx>
        <c:axId val="55473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30911"/>
        <c:crosses val="autoZero"/>
        <c:auto val="1"/>
        <c:lblAlgn val="ctr"/>
        <c:lblOffset val="100"/>
        <c:noMultiLvlLbl val="0"/>
      </c:catAx>
      <c:valAx>
        <c:axId val="55473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3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Opex Breakdown (Latest Month)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'KPI Dashboard'!$C$54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EE-4838-8102-C29A7D74BC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EE-4838-8102-C29A7D74BC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EE-4838-8102-C29A7D74BC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EE-4838-8102-C29A7D74BC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EE-4838-8102-C29A7D74BCA5}"/>
              </c:ext>
            </c:extLst>
          </c:dPt>
          <c:cat>
            <c:strRef>
              <c:f>'KPI Dashboard'!$B$55:$B$59</c:f>
              <c:strCache>
                <c:ptCount val="5"/>
                <c:pt idx="0">
                  <c:v>Marketing &amp; Advertising</c:v>
                </c:pt>
                <c:pt idx="1">
                  <c:v>Office &amp; G&amp;A</c:v>
                </c:pt>
                <c:pt idx="2">
                  <c:v>Payroll</c:v>
                </c:pt>
                <c:pt idx="3">
                  <c:v>Professional Services</c:v>
                </c:pt>
                <c:pt idx="4">
                  <c:v>Travel &amp; Entertainment</c:v>
                </c:pt>
              </c:strCache>
            </c:strRef>
          </c:cat>
          <c:val>
            <c:numRef>
              <c:f>'KPI Dashboard'!$C$55:$C$59</c:f>
              <c:numCache>
                <c:formatCode>General</c:formatCode>
                <c:ptCount val="5"/>
                <c:pt idx="0">
                  <c:v>91625.69</c:v>
                </c:pt>
                <c:pt idx="1">
                  <c:v>90655.73</c:v>
                </c:pt>
                <c:pt idx="2">
                  <c:v>81610.000000000015</c:v>
                </c:pt>
                <c:pt idx="3">
                  <c:v>29392.09</c:v>
                </c:pt>
                <c:pt idx="4">
                  <c:v>9901.11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2-4267-BE1D-675AD39EC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Balance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'KPI Dashboard'!$B$62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'KPI Dashboard'!$C$61:$N$61</c:f>
              <c:strCache>
                <c:ptCount val="12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</c:strCache>
            </c:strRef>
          </c:cat>
          <c:val>
            <c:numRef>
              <c:f>'KPI Dashboard'!$C$62:$N$62</c:f>
              <c:numCache>
                <c:formatCode>General</c:formatCode>
                <c:ptCount val="12"/>
                <c:pt idx="0">
                  <c:v>3066455.5</c:v>
                </c:pt>
                <c:pt idx="1">
                  <c:v>2909186.5</c:v>
                </c:pt>
                <c:pt idx="2">
                  <c:v>2744982.5</c:v>
                </c:pt>
                <c:pt idx="3">
                  <c:v>2573511.48</c:v>
                </c:pt>
                <c:pt idx="4">
                  <c:v>2394437.4799999995</c:v>
                </c:pt>
                <c:pt idx="5">
                  <c:v>2207358.48</c:v>
                </c:pt>
                <c:pt idx="6">
                  <c:v>2011881.48</c:v>
                </c:pt>
                <c:pt idx="7">
                  <c:v>1807588.48</c:v>
                </c:pt>
                <c:pt idx="8">
                  <c:v>1594040.15</c:v>
                </c:pt>
                <c:pt idx="9">
                  <c:v>1370773.78</c:v>
                </c:pt>
                <c:pt idx="10">
                  <c:v>1137304.6599999999</c:v>
                </c:pt>
                <c:pt idx="11">
                  <c:v>893122.77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A-41FF-B091-CF805A592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692224"/>
        <c:axId val="1189691264"/>
      </c:areaChart>
      <c:catAx>
        <c:axId val="1189692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691264"/>
        <c:crosses val="autoZero"/>
        <c:auto val="1"/>
        <c:lblAlgn val="ctr"/>
        <c:lblOffset val="100"/>
        <c:noMultiLvlLbl val="0"/>
      </c:catAx>
      <c:valAx>
        <c:axId val="11896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69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vs. Total Opex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Dashboard'!$B$65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'KPI Dashboard'!$C$64:$N$64</c:f>
              <c:strCache>
                <c:ptCount val="12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</c:strCache>
            </c:strRef>
          </c:cat>
          <c:val>
            <c:numRef>
              <c:f>'KPI Dashboard'!$C$65:$N$65</c:f>
              <c:numCache>
                <c:formatCode>General</c:formatCode>
                <c:ptCount val="12"/>
                <c:pt idx="0">
                  <c:v>51051</c:v>
                </c:pt>
                <c:pt idx="1">
                  <c:v>53604</c:v>
                </c:pt>
                <c:pt idx="2">
                  <c:v>56284</c:v>
                </c:pt>
                <c:pt idx="3">
                  <c:v>59098.22</c:v>
                </c:pt>
                <c:pt idx="4">
                  <c:v>62053</c:v>
                </c:pt>
                <c:pt idx="5">
                  <c:v>65156</c:v>
                </c:pt>
                <c:pt idx="6">
                  <c:v>68414</c:v>
                </c:pt>
                <c:pt idx="7">
                  <c:v>71834</c:v>
                </c:pt>
                <c:pt idx="8">
                  <c:v>84125.97</c:v>
                </c:pt>
                <c:pt idx="9">
                  <c:v>79197.259999999995</c:v>
                </c:pt>
                <c:pt idx="10">
                  <c:v>83157.13</c:v>
                </c:pt>
                <c:pt idx="11">
                  <c:v>87314.98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5-4812-93FD-2B3E63199F67}"/>
            </c:ext>
          </c:extLst>
        </c:ser>
        <c:ser>
          <c:idx val="1"/>
          <c:order val="1"/>
          <c:tx>
            <c:strRef>
              <c:f>'KPI Dashboard'!$B$66</c:f>
              <c:strCache>
                <c:ptCount val="1"/>
                <c:pt idx="0">
                  <c:v>Total Opex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'KPI Dashboard'!$C$64:$N$64</c:f>
              <c:strCache>
                <c:ptCount val="12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</c:v>
                </c:pt>
                <c:pt idx="8">
                  <c:v>Jun 25</c:v>
                </c:pt>
                <c:pt idx="9">
                  <c:v>Jul 25</c:v>
                </c:pt>
                <c:pt idx="10">
                  <c:v>Aug 25</c:v>
                </c:pt>
                <c:pt idx="11">
                  <c:v>Sep 25</c:v>
                </c:pt>
              </c:strCache>
            </c:strRef>
          </c:cat>
          <c:val>
            <c:numRef>
              <c:f>'KPI Dashboard'!$C$66:$N$66</c:f>
              <c:numCache>
                <c:formatCode>General</c:formatCode>
                <c:ptCount val="12"/>
                <c:pt idx="0">
                  <c:v>177265.66999999998</c:v>
                </c:pt>
                <c:pt idx="1">
                  <c:v>186128.66999999998</c:v>
                </c:pt>
                <c:pt idx="2">
                  <c:v>195434.5</c:v>
                </c:pt>
                <c:pt idx="3">
                  <c:v>205207.28999999998</c:v>
                </c:pt>
                <c:pt idx="4">
                  <c:v>215468</c:v>
                </c:pt>
                <c:pt idx="5">
                  <c:v>226242</c:v>
                </c:pt>
                <c:pt idx="6">
                  <c:v>237553</c:v>
                </c:pt>
                <c:pt idx="7">
                  <c:v>249432</c:v>
                </c:pt>
                <c:pt idx="8">
                  <c:v>262902.28000000003</c:v>
                </c:pt>
                <c:pt idx="9">
                  <c:v>274997.38999999996</c:v>
                </c:pt>
                <c:pt idx="10">
                  <c:v>288747.27</c:v>
                </c:pt>
                <c:pt idx="11">
                  <c:v>303184.62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5-4812-93FD-2B3E63199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728672"/>
        <c:axId val="1185722432"/>
      </c:lineChart>
      <c:catAx>
        <c:axId val="118572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22432"/>
        <c:crosses val="autoZero"/>
        <c:auto val="1"/>
        <c:lblAlgn val="ctr"/>
        <c:lblOffset val="100"/>
        <c:noMultiLvlLbl val="0"/>
      </c:catAx>
      <c:valAx>
        <c:axId val="11857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2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114300</xdr:rowOff>
    </xdr:from>
    <xdr:to>
      <xdr:col>6</xdr:col>
      <xdr:colOff>31750</xdr:colOff>
      <xdr:row>20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53D97F2-63BD-8948-34FA-10ED5E6AC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114300</xdr:rowOff>
    </xdr:from>
    <xdr:to>
      <xdr:col>11</xdr:col>
      <xdr:colOff>0</xdr:colOff>
      <xdr:row>20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307E950-A743-E71F-A2F7-CB7F2DAE6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6</xdr:col>
      <xdr:colOff>31750</xdr:colOff>
      <xdr:row>33</xdr:row>
      <xdr:rowOff>139700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7FCB3FC-64CB-C47C-78F3-1D0641927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11</xdr:col>
      <xdr:colOff>0</xdr:colOff>
      <xdr:row>33</xdr:row>
      <xdr:rowOff>139700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DB7B85B-FEC6-FEAF-3945-4AA78E044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50800</xdr:rowOff>
    </xdr:from>
    <xdr:to>
      <xdr:col>7</xdr:col>
      <xdr:colOff>696064</xdr:colOff>
      <xdr:row>28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C2B8C-E5AB-6142-3AEF-5EF04C776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825500</xdr:colOff>
      <xdr:row>13</xdr:row>
      <xdr:rowOff>50800</xdr:rowOff>
    </xdr:from>
    <xdr:to>
      <xdr:col>13</xdr:col>
      <xdr:colOff>1130300</xdr:colOff>
      <xdr:row>28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E90FC2-7E74-A075-830E-E43B59851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28</xdr:row>
      <xdr:rowOff>177800</xdr:rowOff>
    </xdr:from>
    <xdr:to>
      <xdr:col>7</xdr:col>
      <xdr:colOff>696064</xdr:colOff>
      <xdr:row>43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4F125C-5DE7-6DE8-0017-40AEE5B36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812800</xdr:colOff>
      <xdr:row>29</xdr:row>
      <xdr:rowOff>0</xdr:rowOff>
    </xdr:from>
    <xdr:to>
      <xdr:col>13</xdr:col>
      <xdr:colOff>1117600</xdr:colOff>
      <xdr:row>43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41074F-DC0F-484B-CE33-C665958CE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1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4A69F4-13A8-4B8A-ADE2-778063853FA8}" name="PeriodTable" displayName="PeriodTable" ref="E5:O20" totalsRowShown="0" headerRowDxfId="22" dataDxfId="21">
  <autoFilter ref="E5:O20" xr:uid="{46DFC06E-5420-496F-B1B9-945AD9D72B85}"/>
  <tableColumns count="11">
    <tableColumn id="1" xr3:uid="{08E7D7BD-9620-4EFF-85AC-80A2C9070757}" name="Period" dataDxfId="20"/>
    <tableColumn id="2" xr3:uid="{DB49978C-C1AD-47AF-B709-DEC2309176F6}" name="Start date" dataDxfId="19"/>
    <tableColumn id="3" xr3:uid="{6F99EAC4-FB13-435D-ABC1-F1437C171F5F}" name="End date" dataDxfId="18">
      <calculatedColumnFormula>LatestMonthOfActuals</calculatedColumnFormula>
    </tableColumn>
    <tableColumn id="4" xr3:uid="{B6A19CB3-EF23-4F4A-8402-72A4CFFEE93A}" name="Display text" dataDxfId="17"/>
    <tableColumn id="8" xr3:uid="{53BD2AF3-78A9-418B-8C19-756831964C4E}" name="Periods" dataDxfId="16">
      <calculatedColumnFormula>(YEAR(PeriodTable[[#This Row],[End date]])-YEAR(PeriodTable[[#This Row],[Start date]]))*12+(MONTH(PeriodTable[[#This Row],[End date]])-MONTH(PeriodTable[[#This Row],[Start date]]))+1</calculatedColumnFormula>
    </tableColumn>
    <tableColumn id="5" xr3:uid="{A81C3D1A-026F-4277-9B19-4E3E4578EB31}" name="Prior Period Start" dataDxfId="15">
      <calculatedColumnFormula>EOMONTH(PeriodTable[[#This Row],[Start date]],-PeriodTable[[#This Row],[Periods]]-1)+1</calculatedColumnFormula>
    </tableColumn>
    <tableColumn id="6" xr3:uid="{8259C40F-413D-4AB3-9F54-E16A2107DFA5}" name="Prior Period End" dataDxfId="14">
      <calculatedColumnFormula>EOMONTH(PeriodTable[[#This Row],[Prior Period Start]],PeriodTable[[#This Row],[Periods]]-1)</calculatedColumnFormula>
    </tableColumn>
    <tableColumn id="7" xr3:uid="{E53DE773-37B9-490F-8A09-18CD2B6569BA}" name="Prior Period Display text" dataDxfId="13"/>
    <tableColumn id="9" xr3:uid="{A0EB23BB-CCE8-477E-8151-942728B3C3EB}" name="Prior Year Start" dataDxfId="12">
      <calculatedColumnFormula>EOMONTH(PeriodTable[[#This Row],[Start date]],-13)+1</calculatedColumnFormula>
    </tableColumn>
    <tableColumn id="10" xr3:uid="{DB4605AA-55E9-4F94-9496-EDB2F9CE9D62}" name="Prior Year End" dataDxfId="11">
      <calculatedColumnFormula>EOMONTH(PeriodTable[[#This Row],[Prior Year Start]],PeriodTable[[#This Row],[Periods]]-1)</calculatedColumnFormula>
    </tableColumn>
    <tableColumn id="11" xr3:uid="{F3882B49-6CE3-4286-BB49-DCBB9B3667EE}" name="Prior Year Display Text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67A586-C5E9-437A-A746-115C6531A90A}" name="FormatTable" displayName="FormatTable" ref="Q5:R16" totalsRowShown="0" headerRowDxfId="9">
  <autoFilter ref="Q5:R16" xr:uid="{232DE94C-87F1-4C93-ACBF-B44F2E774953}"/>
  <tableColumns count="2">
    <tableColumn id="1" xr3:uid="{9E9EFBA4-7EFF-4538-A279-1383D6285D7E}" name="Format"/>
    <tableColumn id="2" xr3:uid="{546501F9-5C40-4C87-8335-2B058BC16CA2}" name="Code" dataDxf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16907-D71C-49CB-9EEF-2D982F849343}" name="PBC_PROFIT_AND_LOSS" displayName="PBC_PROFIT_AND_LOSS" ref="A1:E753" totalsRowShown="0">
  <autoFilter ref="A1:E753" xr:uid="{93D16907-D71C-49CB-9EEF-2D982F849343}"/>
  <tableColumns count="5">
    <tableColumn id="1" xr3:uid="{2CB69C00-6AD5-41C6-A13F-55624A1E815D}" name="Account"/>
    <tableColumn id="2" xr3:uid="{9D1585DD-A5D3-44E3-936D-E36FBC84E702}" name="Id"/>
    <tableColumn id="3" xr3:uid="{D9E08766-9110-4629-A447-E611754EDBD8}" name="Date"/>
    <tableColumn id="4" xr3:uid="{EE45B4AC-184A-42E7-B82A-CBD406C87B68}" name="AccountBalance"/>
    <tableColumn id="5" xr3:uid="{71AA7029-2457-41EB-8752-E3B774018A1E}" name="Cla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CE24CC-9C15-486D-AC58-92981195EF9A}" name="PBC_BALANCE_SHEET" displayName="PBC_BALANCE_SHEET" ref="G1:K778" totalsRowShown="0">
  <autoFilter ref="G1:K778" xr:uid="{D1CE24CC-9C15-486D-AC58-92981195EF9A}"/>
  <tableColumns count="5">
    <tableColumn id="1" xr3:uid="{6F61E07B-2109-437B-973D-A1EEB619AED1}" name="Account"/>
    <tableColumn id="2" xr3:uid="{CD400411-5B19-43B0-825D-D862DE2EDBB4}" name="Id"/>
    <tableColumn id="3" xr3:uid="{702CFF7E-B5C1-4615-93B2-AAAA893C3DC1}" name="Date"/>
    <tableColumn id="4" xr3:uid="{7F3575D0-D327-4D48-AE99-D1B602F19C59}" name="AccountBalance"/>
    <tableColumn id="5" xr3:uid="{14737181-B205-4A12-91DD-71F9CBE33D93}" name="Cla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F44814-80D0-41D6-BB33-802F514652A1}" name="PBC_ACCOUNT_LIST" displayName="PBC_ACCOUNT_LIST" ref="M1:Y61" totalsRowShown="0">
  <autoFilter ref="M1:Y61" xr:uid="{FEF44814-80D0-41D6-BB33-802F514652A1}"/>
  <tableColumns count="13">
    <tableColumn id="1" xr3:uid="{97394E22-BE8F-4806-8972-3114364D8B0D}" name="Id"/>
    <tableColumn id="2" xr3:uid="{B1AEBA76-3B9E-45B7-B453-38DA5734387C}" name="Name"/>
    <tableColumn id="3" xr3:uid="{6DCD7CFF-DB84-43F4-9CDA-6531634F80FC}" name="SubAccount"/>
    <tableColumn id="4" xr3:uid="{4536D1A7-4821-4E29-A94E-3213CCC9F093}" name="ParentRef"/>
    <tableColumn id="5" xr3:uid="{247E13CB-1423-4D1A-A2BA-38E41116F9B3}" name="Classification"/>
    <tableColumn id="6" xr3:uid="{F436968A-3BC6-416C-9034-8EFA4FE804DB}" name="AccountType"/>
    <tableColumn id="7" xr3:uid="{6685816D-91FF-4FA3-9A61-75094FB2FE29}" name="AccountSubType"/>
    <tableColumn id="8" xr3:uid="{C9D86819-5DCF-4067-9BF7-CE5D3308C950}" name="Cash Flow Section"/>
    <tableColumn id="9" xr3:uid="{2D1118CF-DCC7-4639-A20F-0294954C4FEB}" name="Cash Flow Sub-Section"/>
    <tableColumn id="10" xr3:uid="{84150F2B-618C-45AE-9E63-AE3D52C080D3}" name="Sign_for_total_cashflow"/>
    <tableColumn id="11" xr3:uid="{855B8E0D-0311-4CC1-A304-075D60845BBB}" name="Drivers Section"/>
    <tableColumn id="12" xr3:uid="{1005DF8E-6BAE-44F6-A38C-DD49C3DAFF4E}" name="Drivers Sorting Key"/>
    <tableColumn id="13" xr3:uid="{16401FAA-23CE-4E47-BA5A-91F7AA870D22}" name="Summary Group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  <wetp:taskpane dockstate="right" visibility="1" width="350" row="1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C23724E-3C8D-4FDF-90B4-26CB78ED527F}">
  <we:reference id="WA200006775" version="1.2.2.7" store="Omex" storeType="OMEX"/>
  <we:alternateReferences>
    <we:reference id="WA200006775" version="1.2.2.7" store="WA20000677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E58C58F-693E-4FA5-A3C7-5607549EB8B5}">
  <we:reference id="WA200009404" version="1.0.0.5" store="Omex" storeType="OMEX"/>
  <we:alternateReferences>
    <we:reference id="WA200009404" version="1.0.0.5" store="WA200009404" storeType="OMEX"/>
  </we:alternateReferences>
  <we:properties>
    <we:property name="claude.fileId" value="&quot;f3de6627-0913-4197-81c7-a11dd96eda0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C86E-1E9A-49C2-A224-14A56F36B99D}">
  <sheetPr>
    <tabColor rgb="FF38434D"/>
  </sheetPr>
  <dimension ref="A1:P101"/>
  <sheetViews>
    <sheetView showGridLines="0" tabSelected="1" zoomScale="160" zoomScaleNormal="160" workbookViewId="0">
      <pane ySplit="6" topLeftCell="A7" activePane="bottomLeft" state="frozen"/>
      <selection pane="bottomLeft" activeCell="C73" sqref="C73"/>
    </sheetView>
  </sheetViews>
  <sheetFormatPr defaultColWidth="8.85546875" defaultRowHeight="15" outlineLevelRow="1"/>
  <cols>
    <col min="1" max="2" width="1.42578125" customWidth="1"/>
    <col min="3" max="3" width="36.42578125" customWidth="1"/>
    <col min="4" max="4" width="2.7109375" customWidth="1"/>
    <col min="5" max="5" width="20" customWidth="1"/>
    <col min="6" max="6" width="1.85546875" customWidth="1"/>
    <col min="7" max="7" width="20" customWidth="1"/>
    <col min="8" max="8" width="16.42578125" customWidth="1"/>
    <col min="9" max="9" width="12.7109375" customWidth="1"/>
    <col min="10" max="10" width="1.85546875" customWidth="1"/>
    <col min="11" max="11" width="20" customWidth="1"/>
    <col min="12" max="12" width="16.42578125" customWidth="1"/>
    <col min="13" max="13" width="12.7109375" customWidth="1"/>
    <col min="14" max="14" width="1.42578125" customWidth="1"/>
  </cols>
  <sheetData>
    <row r="1" spans="1:16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spans="1:16" ht="26.25">
      <c r="A2" s="122"/>
      <c r="B2" s="123"/>
      <c r="C2" s="123" t="s">
        <v>536</v>
      </c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1:16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</row>
    <row r="4" spans="1:16" ht="18.75">
      <c r="A4" s="122"/>
      <c r="B4" s="122"/>
      <c r="C4" s="148" t="s">
        <v>25</v>
      </c>
      <c r="D4" s="122"/>
      <c r="E4" s="149" t="s">
        <v>302</v>
      </c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</row>
    <row r="5" spans="1:16">
      <c r="A5" s="122"/>
      <c r="B5" s="122"/>
      <c r="C5" s="122"/>
      <c r="D5" s="122"/>
      <c r="E5" s="152" t="str">
        <f>B93</f>
        <v>Q2 2025</v>
      </c>
      <c r="F5" s="122"/>
      <c r="G5" s="152" t="str">
        <f>"vs. "&amp;B97</f>
        <v>vs. Q1 2025</v>
      </c>
      <c r="H5" s="122"/>
      <c r="I5" s="122"/>
      <c r="J5" s="122"/>
      <c r="K5" s="152" t="str">
        <f>"vs. "&amp;B100</f>
        <v>vs. Q2 2024</v>
      </c>
      <c r="L5" s="122"/>
      <c r="M5" s="122"/>
      <c r="N5" s="122"/>
      <c r="O5" s="122"/>
      <c r="P5" s="122"/>
    </row>
    <row r="6" spans="1:16">
      <c r="A6" s="122"/>
      <c r="B6" s="122"/>
      <c r="C6" s="122"/>
      <c r="D6" s="122"/>
      <c r="E6" s="153" t="s">
        <v>27</v>
      </c>
      <c r="F6" s="122"/>
      <c r="G6" s="153" t="s">
        <v>28</v>
      </c>
      <c r="H6" s="153" t="s">
        <v>29</v>
      </c>
      <c r="I6" s="153" t="s">
        <v>30</v>
      </c>
      <c r="J6" s="122"/>
      <c r="K6" s="153" t="s">
        <v>31</v>
      </c>
      <c r="L6" s="153" t="s">
        <v>29</v>
      </c>
      <c r="M6" s="153" t="s">
        <v>30</v>
      </c>
      <c r="N6" s="122"/>
      <c r="O6" s="122"/>
      <c r="P6" s="122"/>
    </row>
    <row r="7" spans="1:16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</row>
    <row r="8" spans="1:16" ht="16.5" thickBot="1">
      <c r="A8" s="122"/>
      <c r="B8" s="155" t="s">
        <v>32</v>
      </c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22"/>
      <c r="O8" s="122"/>
      <c r="P8" s="122"/>
    </row>
    <row r="9" spans="1:16" ht="8.1" customHeight="1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</row>
    <row r="10" spans="1:16">
      <c r="A10" s="122"/>
      <c r="B10" s="122"/>
      <c r="C10" s="150" t="s">
        <v>33</v>
      </c>
      <c r="D10" s="122"/>
      <c r="E10" s="156" cm="1">
        <f t="array" ref="E10">SUMPRODUCT(('Data Summary'!$M$8:$AW$8&gt;=$B$91)*('Data Summary'!$M$8:$AW$8&lt;=$B$92)*'Data Summary'!M13:AW13)</f>
        <v>224373.97</v>
      </c>
      <c r="F10" s="122"/>
      <c r="G10" s="156" cm="1">
        <f t="array" ref="G10">SUMPRODUCT(('Data Summary'!$M$8:$AW$8&gt;=$B$95)*('Data Summary'!$M$8:$AW$8&lt;=$B$96)*'Data Summary'!M13:AW13)</f>
        <v>186307.22</v>
      </c>
      <c r="H10" s="157">
        <f>E10-G10</f>
        <v>38066.75</v>
      </c>
      <c r="I10" s="158">
        <f>IFERROR(E10/G10-1,0)</f>
        <v>0.20432246265066922</v>
      </c>
      <c r="J10" s="122"/>
      <c r="K10" s="156" cm="1">
        <f t="array" ref="K10">SUMPRODUCT(('Data Summary'!$M$8:$AW$8&gt;=$B$98)*('Data Summary'!$M$8:$AW$8&lt;=$B$99)*'Data Summary'!M13:AW13)</f>
        <v>143829</v>
      </c>
      <c r="L10" s="157">
        <f>E10-K10</f>
        <v>80544.97</v>
      </c>
      <c r="M10" s="158">
        <f>IFERROR(E10/K10-1,0)</f>
        <v>0.56000507547156686</v>
      </c>
      <c r="N10" s="122"/>
      <c r="O10" s="122"/>
      <c r="P10" s="122"/>
    </row>
    <row r="11" spans="1:16">
      <c r="A11" s="122"/>
      <c r="B11" s="122"/>
      <c r="C11" s="151" t="s">
        <v>34</v>
      </c>
      <c r="D11" s="122"/>
      <c r="E11" s="160">
        <f>E10</f>
        <v>224373.97</v>
      </c>
      <c r="F11" s="161"/>
      <c r="G11" s="160">
        <f>G10</f>
        <v>186307.22</v>
      </c>
      <c r="H11" s="162">
        <f>E11-G11</f>
        <v>38066.75</v>
      </c>
      <c r="I11" s="163">
        <f>IFERROR(E11/G11-1,0)</f>
        <v>0.20432246265066922</v>
      </c>
      <c r="J11" s="161"/>
      <c r="K11" s="160">
        <f>K10</f>
        <v>143829</v>
      </c>
      <c r="L11" s="162">
        <f>E11-K11</f>
        <v>80544.97</v>
      </c>
      <c r="M11" s="163">
        <f>IFERROR(E11/K11-1,0)</f>
        <v>0.56000507547156686</v>
      </c>
      <c r="N11" s="122"/>
      <c r="O11" s="122"/>
      <c r="P11" s="122"/>
    </row>
    <row r="12" spans="1:16" ht="8.1" customHeight="1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</row>
    <row r="13" spans="1:16">
      <c r="A13" s="122"/>
      <c r="B13" s="122"/>
      <c r="C13" s="150" t="s">
        <v>35</v>
      </c>
      <c r="D13" s="122"/>
      <c r="E13" s="156" cm="1">
        <f t="array" ref="E13">SUMPRODUCT(('Data Summary'!$M$8:$AW$8&gt;=$B$91)*('Data Summary'!$M$8:$AW$8&lt;=$B$92)*('Data Summary'!M15:AW15+'Data Summary'!M16:AW16))</f>
        <v>20775.48</v>
      </c>
      <c r="F13" s="122"/>
      <c r="G13" s="156" cm="1">
        <f t="array" ref="G13">SUMPRODUCT(('Data Summary'!$M$8:$AW$8&gt;=$B$95)*('Data Summary'!$M$8:$AW$8&lt;=$B$96)*('Data Summary'!M15:AW15+'Data Summary'!M16:AW16))</f>
        <v>17685.419999999998</v>
      </c>
      <c r="H13" s="157">
        <f>E13-G13</f>
        <v>3090.0600000000013</v>
      </c>
      <c r="I13" s="158">
        <f>IFERROR(E13/G13-1,0)</f>
        <v>0.17472358586903791</v>
      </c>
      <c r="J13" s="122"/>
      <c r="K13" s="156" cm="1">
        <f t="array" ref="K13">SUMPRODUCT(('Data Summary'!$M$8:$AW$8&gt;=$B$98)*('Data Summary'!$M$8:$AW$8&lt;=$B$99)*('Data Summary'!M15:AW15+'Data Summary'!M16:AW16))</f>
        <v>12551.5</v>
      </c>
      <c r="L13" s="157">
        <f>E13-K13</f>
        <v>8223.98</v>
      </c>
      <c r="M13" s="158">
        <f>IFERROR(E13/K13-1,0)</f>
        <v>0.6552188981396645</v>
      </c>
      <c r="N13" s="122"/>
      <c r="O13" s="122"/>
      <c r="P13" s="122"/>
    </row>
    <row r="14" spans="1:16">
      <c r="A14" s="122"/>
      <c r="B14" s="122"/>
      <c r="C14" s="151" t="s">
        <v>36</v>
      </c>
      <c r="D14" s="122"/>
      <c r="E14" s="160">
        <f>E11-E13</f>
        <v>203598.49</v>
      </c>
      <c r="F14" s="161"/>
      <c r="G14" s="160">
        <f>G11-G13</f>
        <v>168621.8</v>
      </c>
      <c r="H14" s="162">
        <f>E14-G14</f>
        <v>34976.69</v>
      </c>
      <c r="I14" s="163">
        <f>IFERROR(E14/G14-1,0)</f>
        <v>0.20742685702560415</v>
      </c>
      <c r="J14" s="161"/>
      <c r="K14" s="160">
        <f>K11-K13</f>
        <v>131277.5</v>
      </c>
      <c r="L14" s="162">
        <f>E14-K14</f>
        <v>72320.989999999991</v>
      </c>
      <c r="M14" s="163">
        <f>IFERROR(E14/K14-1,0)</f>
        <v>0.55090163965645278</v>
      </c>
      <c r="N14" s="122"/>
      <c r="O14" s="122"/>
      <c r="P14" s="122"/>
    </row>
    <row r="15" spans="1:16" ht="8.1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</row>
    <row r="16" spans="1:16">
      <c r="A16" s="122"/>
      <c r="B16" s="122"/>
      <c r="C16" s="150" t="s">
        <v>37</v>
      </c>
      <c r="D16" s="122"/>
      <c r="E16" s="156" cm="1">
        <f t="array" ref="E16">SUMPRODUCT(('Data Summary'!$M$8:$AW$8&gt;=$B$91)*('Data Summary'!$M$8:$AW$8&lt;=$B$92)*'Data Summary'!M17:AW17)</f>
        <v>226320.72</v>
      </c>
      <c r="F16" s="122"/>
      <c r="G16" s="156" cm="1">
        <f t="array" ref="G16">SUMPRODUCT(('Data Summary'!$M$8:$AW$8&gt;=$B$95)*('Data Summary'!$M$8:$AW$8&lt;=$B$96)*'Data Summary'!M17:AW17)</f>
        <v>195505.87</v>
      </c>
      <c r="H16" s="157">
        <f t="shared" ref="H16:H21" si="0">E16-G16</f>
        <v>30814.850000000006</v>
      </c>
      <c r="I16" s="158">
        <f t="shared" ref="I16:I21" si="1">IFERROR(E16/G16-1,0)</f>
        <v>0.15761598360192464</v>
      </c>
      <c r="J16" s="122"/>
      <c r="K16" s="156" cm="1">
        <f t="array" ref="K16">SUMPRODUCT(('Data Summary'!$M$8:$AW$8&gt;=$B$98)*('Data Summary'!$M$8:$AW$8&lt;=$B$99)*'Data Summary'!M17:AW17)</f>
        <v>125723</v>
      </c>
      <c r="L16" s="157">
        <f t="shared" ref="L16:L21" si="2">E16-K16</f>
        <v>100597.72</v>
      </c>
      <c r="M16" s="158">
        <f t="shared" ref="M16:M21" si="3">IFERROR(E16/K16-1,0)</f>
        <v>0.80015367116597602</v>
      </c>
      <c r="N16" s="122"/>
      <c r="O16" s="122"/>
      <c r="P16" s="122"/>
    </row>
    <row r="17" spans="1:16">
      <c r="A17" s="122"/>
      <c r="B17" s="122"/>
      <c r="C17" s="150" t="s">
        <v>38</v>
      </c>
      <c r="D17" s="122"/>
      <c r="E17" s="156" cm="1">
        <f t="array" ref="E17">SUMPRODUCT(('Data Summary'!$M$8:$AW$8&gt;=$B$91)*('Data Summary'!$M$8:$AW$8&lt;=$B$92)*'Data Summary'!M18:AW18)</f>
        <v>224926.82</v>
      </c>
      <c r="F17" s="122"/>
      <c r="G17" s="156" cm="1">
        <f t="array" ref="G17">SUMPRODUCT(('Data Summary'!$M$8:$AW$8&gt;=$B$95)*('Data Summary'!$M$8:$AW$8&lt;=$B$96)*'Data Summary'!M18:AW18)</f>
        <v>193436.37</v>
      </c>
      <c r="H17" s="157">
        <f t="shared" si="0"/>
        <v>31490.450000000012</v>
      </c>
      <c r="I17" s="158">
        <f t="shared" si="1"/>
        <v>0.16279487668218762</v>
      </c>
      <c r="J17" s="122"/>
      <c r="K17" s="156" cm="1">
        <f t="array" ref="K17">SUMPRODUCT(('Data Summary'!$M$8:$AW$8&gt;=$B$98)*('Data Summary'!$M$8:$AW$8&lt;=$B$99)*'Data Summary'!M18:AW18)</f>
        <v>132220.5</v>
      </c>
      <c r="L17" s="157">
        <f t="shared" si="2"/>
        <v>92706.32</v>
      </c>
      <c r="M17" s="158">
        <f t="shared" si="3"/>
        <v>0.70114936791193494</v>
      </c>
      <c r="N17" s="122"/>
      <c r="O17" s="122"/>
      <c r="P17" s="122"/>
    </row>
    <row r="18" spans="1:16">
      <c r="A18" s="122"/>
      <c r="B18" s="122"/>
      <c r="C18" s="150" t="s">
        <v>39</v>
      </c>
      <c r="D18" s="122"/>
      <c r="E18" s="156" cm="1">
        <f t="array" ref="E18">SUMPRODUCT(('Data Summary'!$M$8:$AW$8&gt;=$B$91)*('Data Summary'!$M$8:$AW$8&lt;=$B$92)*'Data Summary'!M19:AW19)</f>
        <v>201582.84000000003</v>
      </c>
      <c r="F18" s="122"/>
      <c r="G18" s="156" cm="1">
        <f t="array" ref="G18">SUMPRODUCT(('Data Summary'!$M$8:$AW$8&gt;=$B$95)*('Data Summary'!$M$8:$AW$8&lt;=$B$96)*'Data Summary'!M19:AW19)</f>
        <v>174134.87</v>
      </c>
      <c r="H18" s="157">
        <f t="shared" si="0"/>
        <v>27447.97000000003</v>
      </c>
      <c r="I18" s="158">
        <f t="shared" si="1"/>
        <v>0.15762477670325326</v>
      </c>
      <c r="J18" s="122"/>
      <c r="K18" s="156" cm="1">
        <f t="array" ref="K18">SUMPRODUCT(('Data Summary'!$M$8:$AW$8&gt;=$B$98)*('Data Summary'!$M$8:$AW$8&lt;=$B$99)*'Data Summary'!M19:AW19)</f>
        <v>108961</v>
      </c>
      <c r="L18" s="157">
        <f t="shared" si="2"/>
        <v>92621.840000000026</v>
      </c>
      <c r="M18" s="158">
        <f t="shared" si="3"/>
        <v>0.85004579620231113</v>
      </c>
      <c r="N18" s="122"/>
      <c r="O18" s="122"/>
      <c r="P18" s="122"/>
    </row>
    <row r="19" spans="1:16">
      <c r="A19" s="122"/>
      <c r="B19" s="122"/>
      <c r="C19" s="150" t="s">
        <v>40</v>
      </c>
      <c r="D19" s="122"/>
      <c r="E19" s="156" cm="1">
        <f t="array" ref="E19">SUMPRODUCT(('Data Summary'!$M$8:$AW$8&gt;=$B$91)*('Data Summary'!$M$8:$AW$8&lt;=$B$92)*'Data Summary'!M20:AW20)</f>
        <v>72600</v>
      </c>
      <c r="F19" s="122"/>
      <c r="G19" s="156" cm="1">
        <f t="array" ref="G19">SUMPRODUCT(('Data Summary'!$M$8:$AW$8&gt;=$B$95)*('Data Summary'!$M$8:$AW$8&lt;=$B$96)*'Data Summary'!M20:AW20)</f>
        <v>62714.720000000001</v>
      </c>
      <c r="H19" s="157">
        <f t="shared" si="0"/>
        <v>9885.2799999999988</v>
      </c>
      <c r="I19" s="158">
        <f t="shared" si="1"/>
        <v>0.15762296315761271</v>
      </c>
      <c r="J19" s="122"/>
      <c r="K19" s="156" cm="1">
        <f t="array" ref="K19">SUMPRODUCT(('Data Summary'!$M$8:$AW$8&gt;=$B$98)*('Data Summary'!$M$8:$AW$8&lt;=$B$99)*'Data Summary'!M20:AW20)</f>
        <v>39437</v>
      </c>
      <c r="L19" s="157">
        <f t="shared" si="2"/>
        <v>33163</v>
      </c>
      <c r="M19" s="158">
        <f t="shared" si="3"/>
        <v>0.84091081978852356</v>
      </c>
      <c r="N19" s="122"/>
      <c r="O19" s="122"/>
      <c r="P19" s="122"/>
    </row>
    <row r="20" spans="1:16">
      <c r="A20" s="122"/>
      <c r="B20" s="122"/>
      <c r="C20" s="150" t="s">
        <v>41</v>
      </c>
      <c r="D20" s="122"/>
      <c r="E20" s="156" cm="1">
        <f t="array" ref="E20">SUMPRODUCT(('Data Summary'!$M$8:$AW$8&gt;=$B$91)*('Data Summary'!$M$8:$AW$8&lt;=$B$92)*'Data Summary'!M21:AW21)</f>
        <v>24456.9</v>
      </c>
      <c r="F20" s="122"/>
      <c r="G20" s="156" cm="1">
        <f t="array" ref="G20">SUMPRODUCT(('Data Summary'!$M$8:$AW$8&gt;=$B$95)*('Data Summary'!$M$8:$AW$8&lt;=$B$96)*'Data Summary'!M21:AW21)</f>
        <v>21125.46</v>
      </c>
      <c r="H20" s="157">
        <f t="shared" si="0"/>
        <v>3331.4400000000023</v>
      </c>
      <c r="I20" s="158">
        <f t="shared" si="1"/>
        <v>0.1576978678807468</v>
      </c>
      <c r="J20" s="122"/>
      <c r="K20" s="156" cm="1">
        <f t="array" ref="K20">SUMPRODUCT(('Data Summary'!$M$8:$AW$8&gt;=$B$98)*('Data Summary'!$M$8:$AW$8&lt;=$B$99)*'Data Summary'!M21:AW21)</f>
        <v>13593</v>
      </c>
      <c r="L20" s="157">
        <f t="shared" si="2"/>
        <v>10863.900000000001</v>
      </c>
      <c r="M20" s="158">
        <f t="shared" si="3"/>
        <v>0.79922754358861181</v>
      </c>
      <c r="N20" s="122"/>
      <c r="O20" s="122"/>
      <c r="P20" s="122"/>
    </row>
    <row r="21" spans="1:16">
      <c r="A21" s="122"/>
      <c r="B21" s="122"/>
      <c r="C21" s="151" t="s">
        <v>42</v>
      </c>
      <c r="D21" s="122"/>
      <c r="E21" s="160">
        <f>SUM(E16:E20)</f>
        <v>749887.28000000014</v>
      </c>
      <c r="F21" s="161"/>
      <c r="G21" s="160">
        <f>SUM(G16:G20)</f>
        <v>646917.28999999992</v>
      </c>
      <c r="H21" s="162">
        <f t="shared" si="0"/>
        <v>102969.99000000022</v>
      </c>
      <c r="I21" s="163">
        <f t="shared" si="1"/>
        <v>0.15917025497958215</v>
      </c>
      <c r="J21" s="161"/>
      <c r="K21" s="160">
        <f>SUM(K16:K20)</f>
        <v>419934.5</v>
      </c>
      <c r="L21" s="162">
        <f t="shared" si="2"/>
        <v>329952.78000000014</v>
      </c>
      <c r="M21" s="163">
        <f t="shared" si="3"/>
        <v>0.78572439273267647</v>
      </c>
      <c r="N21" s="122"/>
      <c r="O21" s="122"/>
      <c r="P21" s="122"/>
    </row>
    <row r="22" spans="1:16" ht="8.1" customHeight="1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</row>
    <row r="23" spans="1:16">
      <c r="A23" s="122"/>
      <c r="B23" s="122"/>
      <c r="C23" s="151" t="s">
        <v>43</v>
      </c>
      <c r="D23" s="122"/>
      <c r="E23" s="160">
        <f>E14-E21</f>
        <v>-546288.79000000015</v>
      </c>
      <c r="F23" s="161"/>
      <c r="G23" s="160">
        <f>G14-G21</f>
        <v>-478295.48999999993</v>
      </c>
      <c r="H23" s="162">
        <f>E23-G23</f>
        <v>-67993.300000000221</v>
      </c>
      <c r="I23" s="163">
        <f>IFERROR(E23/G23-1,0)</f>
        <v>0.14215751856660885</v>
      </c>
      <c r="J23" s="161"/>
      <c r="K23" s="160">
        <f>K14-K21</f>
        <v>-288657</v>
      </c>
      <c r="L23" s="162">
        <f>E23-K23</f>
        <v>-257631.79000000015</v>
      </c>
      <c r="M23" s="163">
        <f>IFERROR(E23/K23-1,0)</f>
        <v>0.89251876794950458</v>
      </c>
      <c r="N23" s="122"/>
      <c r="O23" s="122"/>
      <c r="P23" s="122"/>
    </row>
    <row r="24" spans="1:16" ht="8.1" customHeight="1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</row>
    <row r="25" spans="1:16">
      <c r="A25" s="122"/>
      <c r="B25" s="122"/>
      <c r="C25" s="150" t="s">
        <v>44</v>
      </c>
      <c r="D25" s="122"/>
      <c r="E25" s="156" cm="1">
        <f t="array" ref="E25">SUMPRODUCT(('Data Summary'!$M$8:$AW$8&gt;=$B$91)*('Data Summary'!$M$8:$AW$8&lt;=$B$92)*'Data Summary'!M22:AW22)</f>
        <v>0</v>
      </c>
      <c r="F25" s="122"/>
      <c r="G25" s="156" cm="1">
        <f t="array" ref="G25">SUMPRODUCT(('Data Summary'!$M$8:$AW$8&gt;=$B$95)*('Data Summary'!$M$8:$AW$8&lt;=$B$96)*'Data Summary'!M22:AW22)</f>
        <v>0</v>
      </c>
      <c r="H25" s="157">
        <f>E25-G25</f>
        <v>0</v>
      </c>
      <c r="I25" s="158">
        <f>IFERROR(E25/G25-1,0)</f>
        <v>0</v>
      </c>
      <c r="J25" s="122"/>
      <c r="K25" s="156" cm="1">
        <f t="array" ref="K25">SUMPRODUCT(('Data Summary'!$M$8:$AW$8&gt;=$B$98)*('Data Summary'!$M$8:$AW$8&lt;=$B$99)*'Data Summary'!M22:AW22)</f>
        <v>0</v>
      </c>
      <c r="L25" s="157">
        <f>E25-K25</f>
        <v>0</v>
      </c>
      <c r="M25" s="158">
        <f>IFERROR(E25/K25-1,0)</f>
        <v>0</v>
      </c>
      <c r="N25" s="122"/>
      <c r="O25" s="122"/>
      <c r="P25" s="122"/>
    </row>
    <row r="26" spans="1:16">
      <c r="A26" s="122"/>
      <c r="B26" s="122"/>
      <c r="C26" s="150" t="s">
        <v>45</v>
      </c>
      <c r="D26" s="122"/>
      <c r="E26" s="156" cm="1">
        <f t="array" ref="E26">SUMPRODUCT(('Data Summary'!$M$8:$AW$8&gt;=$B$91)*('Data Summary'!$M$8:$AW$8&lt;=$B$92)*'Data Summary'!M23:AW23)</f>
        <v>0</v>
      </c>
      <c r="F26" s="122"/>
      <c r="G26" s="156" cm="1">
        <f t="array" ref="G26">SUMPRODUCT(('Data Summary'!$M$8:$AW$8&gt;=$B$95)*('Data Summary'!$M$8:$AW$8&lt;=$B$96)*'Data Summary'!M23:AW23)</f>
        <v>0</v>
      </c>
      <c r="H26" s="157">
        <f>E26-G26</f>
        <v>0</v>
      </c>
      <c r="I26" s="158">
        <f>IFERROR(E26/G26-1,0)</f>
        <v>0</v>
      </c>
      <c r="J26" s="122"/>
      <c r="K26" s="156" cm="1">
        <f t="array" ref="K26">SUMPRODUCT(('Data Summary'!$M$8:$AW$8&gt;=$B$98)*('Data Summary'!$M$8:$AW$8&lt;=$B$99)*'Data Summary'!M23:AW23)</f>
        <v>0</v>
      </c>
      <c r="L26" s="157">
        <f>E26-K26</f>
        <v>0</v>
      </c>
      <c r="M26" s="158">
        <f>IFERROR(E26/K26-1,0)</f>
        <v>0</v>
      </c>
      <c r="N26" s="122"/>
      <c r="O26" s="122"/>
      <c r="P26" s="122"/>
    </row>
    <row r="27" spans="1:16">
      <c r="A27" s="122"/>
      <c r="B27" s="122"/>
      <c r="C27" s="150" t="s">
        <v>46</v>
      </c>
      <c r="D27" s="122"/>
      <c r="E27" s="156" cm="1">
        <f t="array" ref="E27">SUMPRODUCT(('Data Summary'!$M$8:$AW$8&gt;=$B$91)*('Data Summary'!$M$8:$AW$8&lt;=$B$92)*('Data Summary'!M24:AW24+'Data Summary'!M25:AW25))</f>
        <v>64486.74</v>
      </c>
      <c r="F27" s="122"/>
      <c r="G27" s="156" cm="1">
        <f t="array" ref="G27">SUMPRODUCT(('Data Summary'!$M$8:$AW$8&gt;=$B$95)*('Data Summary'!$M$8:$AW$8&lt;=$B$96)*('Data Summary'!M24:AW24+'Data Summary'!M25:AW25))</f>
        <v>64486.740000000005</v>
      </c>
      <c r="H27" s="157">
        <f>E27-G27</f>
        <v>0</v>
      </c>
      <c r="I27" s="158">
        <f>IFERROR(E27/G27-1,0)</f>
        <v>-1.1102230246251565E-16</v>
      </c>
      <c r="J27" s="122"/>
      <c r="K27" s="156" cm="1">
        <f t="array" ref="K27">SUMPRODUCT(('Data Summary'!$M$8:$AW$8&gt;=$B$98)*('Data Summary'!$M$8:$AW$8&lt;=$B$99)*('Data Summary'!M24:AW24+'Data Summary'!M25:AW25))</f>
        <v>64488</v>
      </c>
      <c r="L27" s="157">
        <f>E27-K27</f>
        <v>-1.2600000000020373</v>
      </c>
      <c r="M27" s="158">
        <f>IFERROR(E27/K27-1,0)</f>
        <v>-1.953851879421542E-5</v>
      </c>
      <c r="N27" s="122"/>
      <c r="O27" s="122"/>
      <c r="P27" s="122"/>
    </row>
    <row r="28" spans="1:16" ht="8.1" customHeight="1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</row>
    <row r="29" spans="1:16" ht="16.5" thickBot="1">
      <c r="A29" s="122"/>
      <c r="B29" s="122"/>
      <c r="C29" s="154" t="s">
        <v>47</v>
      </c>
      <c r="D29" s="122"/>
      <c r="E29" s="164">
        <f>E23+E25-E26-E27</f>
        <v>-610775.53000000014</v>
      </c>
      <c r="F29" s="165"/>
      <c r="G29" s="164">
        <f>G23+G25-G26-G27</f>
        <v>-542782.23</v>
      </c>
      <c r="H29" s="166">
        <f>E29-G29</f>
        <v>-67993.300000000163</v>
      </c>
      <c r="I29" s="167">
        <f>IFERROR(E29/G29-1,0)</f>
        <v>0.12526810245796027</v>
      </c>
      <c r="J29" s="165"/>
      <c r="K29" s="164">
        <f>K23+K25-K26-K27</f>
        <v>-353145</v>
      </c>
      <c r="L29" s="166">
        <f>E29-K29</f>
        <v>-257630.53000000014</v>
      </c>
      <c r="M29" s="167">
        <f>IFERROR(E29/K29-1,0)</f>
        <v>0.72953186368205736</v>
      </c>
      <c r="N29" s="122"/>
      <c r="O29" s="122"/>
      <c r="P29" s="122"/>
    </row>
    <row r="30" spans="1:16" ht="8.1" customHeight="1" thickTop="1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</row>
    <row r="31" spans="1:16" ht="8.1" customHeight="1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</row>
    <row r="32" spans="1:16" ht="16.5" thickBot="1">
      <c r="A32" s="122"/>
      <c r="B32" s="155" t="s">
        <v>48</v>
      </c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22"/>
      <c r="O32" s="122"/>
      <c r="P32" s="122"/>
    </row>
    <row r="33" spans="1:16" ht="8.1" customHeight="1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</row>
    <row r="34" spans="1:16">
      <c r="A34" s="122"/>
      <c r="B34" s="122"/>
      <c r="C34" s="159" t="s">
        <v>49</v>
      </c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</row>
    <row r="35" spans="1:16">
      <c r="A35" s="122"/>
      <c r="B35" s="122"/>
      <c r="C35" s="150" t="s">
        <v>50</v>
      </c>
      <c r="D35" s="122"/>
      <c r="E35" s="156">
        <f>INDEX('Data Summary'!M29:AW29,MATCH($B$92,'Data Summary'!$M$8:$AW$8,0))</f>
        <v>1594040.15</v>
      </c>
      <c r="F35" s="122"/>
      <c r="G35" s="156">
        <f>INDEX('Data Summary'!M29:AW29,MATCH($B$96,'Data Summary'!$M$8:$AW$8,0))</f>
        <v>2207358.48</v>
      </c>
      <c r="H35" s="157">
        <f>E35-G35</f>
        <v>-613318.33000000007</v>
      </c>
      <c r="I35" s="158">
        <f>IFERROR(E35/G35-1,0)</f>
        <v>-0.27785171079234949</v>
      </c>
      <c r="J35" s="122"/>
      <c r="K35" s="156">
        <f>INDEX('Data Summary'!M29:AW29,MATCH($B$99,'Data Summary'!$M$8:$AW$8,0))</f>
        <v>3656851.5</v>
      </c>
      <c r="L35" s="157">
        <f>E35-K35</f>
        <v>-2062811.35</v>
      </c>
      <c r="M35" s="158">
        <f>IFERROR(E35/K35-1,0)</f>
        <v>-0.56409491881198903</v>
      </c>
      <c r="N35" s="122"/>
      <c r="O35" s="122"/>
      <c r="P35" s="122"/>
    </row>
    <row r="36" spans="1:16">
      <c r="A36" s="122"/>
      <c r="B36" s="122"/>
      <c r="C36" s="150" t="s">
        <v>51</v>
      </c>
      <c r="D36" s="122"/>
      <c r="E36" s="156">
        <f>INDEX('Data Summary'!M28:AW28,MATCH($B$92,'Data Summary'!$M$8:$AW$8,0))</f>
        <v>69302.55</v>
      </c>
      <c r="F36" s="122"/>
      <c r="G36" s="156">
        <f>INDEX('Data Summary'!M28:AW28,MATCH($B$96,'Data Summary'!$M$8:$AW$8,0))</f>
        <v>56307.77</v>
      </c>
      <c r="H36" s="157">
        <f t="shared" ref="H36:H54" si="4">E36-G36</f>
        <v>12994.780000000006</v>
      </c>
      <c r="I36" s="158">
        <f t="shared" ref="I36:I54" si="5">IFERROR(E36/G36-1,0)</f>
        <v>0.23078129359411692</v>
      </c>
      <c r="J36" s="122"/>
      <c r="K36" s="156">
        <f>INDEX('Data Summary'!M28:AW28,MATCH($B$99,'Data Summary'!$M$8:$AW$8,0))</f>
        <v>44983</v>
      </c>
      <c r="L36" s="157">
        <f t="shared" ref="L36:L54" si="6">E36-K36</f>
        <v>24319.550000000003</v>
      </c>
      <c r="M36" s="158">
        <f t="shared" ref="M36:M54" si="7">IFERROR(E36/K36-1,0)</f>
        <v>0.5406386857257186</v>
      </c>
      <c r="N36" s="122"/>
      <c r="O36" s="122"/>
      <c r="P36" s="122"/>
    </row>
    <row r="37" spans="1:16">
      <c r="A37" s="122"/>
      <c r="B37" s="122"/>
      <c r="C37" s="150" t="s">
        <v>52</v>
      </c>
      <c r="D37" s="122"/>
      <c r="E37" s="156">
        <f>INDEX('Data Summary'!M30:AW30,MATCH($B$92,'Data Summary'!$M$8:$AW$8,0))</f>
        <v>25819.5</v>
      </c>
      <c r="F37" s="122"/>
      <c r="G37" s="156">
        <f>INDEX('Data Summary'!M30:AW30,MATCH($B$96,'Data Summary'!$M$8:$AW$8,0))</f>
        <v>26119.5</v>
      </c>
      <c r="H37" s="157">
        <f t="shared" si="4"/>
        <v>-300</v>
      </c>
      <c r="I37" s="158">
        <f t="shared" si="5"/>
        <v>-1.1485671624648197E-2</v>
      </c>
      <c r="J37" s="122"/>
      <c r="K37" s="156">
        <f>INDEX('Data Summary'!M30:AW30,MATCH($B$99,'Data Summary'!$M$8:$AW$8,0))</f>
        <v>26119.5</v>
      </c>
      <c r="L37" s="157">
        <f t="shared" si="6"/>
        <v>-300</v>
      </c>
      <c r="M37" s="158">
        <f t="shared" si="7"/>
        <v>-1.1485671624648197E-2</v>
      </c>
      <c r="N37" s="122"/>
      <c r="O37" s="122"/>
      <c r="P37" s="122"/>
    </row>
    <row r="38" spans="1:16">
      <c r="A38" s="122"/>
      <c r="B38" s="122"/>
      <c r="C38" s="150" t="s">
        <v>53</v>
      </c>
      <c r="D38" s="122"/>
      <c r="E38" s="156">
        <f>INDEX('Data Summary'!M31:AW31,MATCH($B$92,'Data Summary'!$M$8:$AW$8,0))</f>
        <v>48553.539999999994</v>
      </c>
      <c r="F38" s="122"/>
      <c r="G38" s="156">
        <f>INDEX('Data Summary'!M31:AW31,MATCH($B$96,'Data Summary'!$M$8:$AW$8,0))</f>
        <v>57705.52</v>
      </c>
      <c r="H38" s="157">
        <f t="shared" si="4"/>
        <v>-9151.9800000000032</v>
      </c>
      <c r="I38" s="158">
        <f t="shared" si="5"/>
        <v>-0.15859799894360205</v>
      </c>
      <c r="J38" s="122"/>
      <c r="K38" s="156">
        <f>INDEX('Data Summary'!M31:AW31,MATCH($B$99,'Data Summary'!$M$8:$AW$8,0))</f>
        <v>85163</v>
      </c>
      <c r="L38" s="157">
        <f t="shared" si="6"/>
        <v>-36609.460000000006</v>
      </c>
      <c r="M38" s="158">
        <f t="shared" si="7"/>
        <v>-0.42987518053614837</v>
      </c>
      <c r="N38" s="122"/>
      <c r="O38" s="122"/>
      <c r="P38" s="122"/>
    </row>
    <row r="39" spans="1:16">
      <c r="A39" s="122"/>
      <c r="B39" s="122"/>
      <c r="C39" s="150" t="s">
        <v>54</v>
      </c>
      <c r="D39" s="122"/>
      <c r="E39" s="156">
        <f>INDEX('Data Summary'!M32:AW32,MATCH($B$92,'Data Summary'!$M$8:$AW$8,0))</f>
        <v>0</v>
      </c>
      <c r="F39" s="122"/>
      <c r="G39" s="156">
        <f>INDEX('Data Summary'!M32:AW32,MATCH($B$96,'Data Summary'!$M$8:$AW$8,0))</f>
        <v>0</v>
      </c>
      <c r="H39" s="157">
        <f t="shared" si="4"/>
        <v>0</v>
      </c>
      <c r="I39" s="158">
        <f t="shared" si="5"/>
        <v>0</v>
      </c>
      <c r="J39" s="122"/>
      <c r="K39" s="156">
        <f>INDEX('Data Summary'!M32:AW32,MATCH($B$99,'Data Summary'!$M$8:$AW$8,0))</f>
        <v>0</v>
      </c>
      <c r="L39" s="157">
        <f t="shared" si="6"/>
        <v>0</v>
      </c>
      <c r="M39" s="158">
        <f t="shared" si="7"/>
        <v>0</v>
      </c>
      <c r="N39" s="122"/>
      <c r="O39" s="122"/>
      <c r="P39" s="122"/>
    </row>
    <row r="40" spans="1:16">
      <c r="A40" s="122"/>
      <c r="B40" s="122"/>
      <c r="C40" s="151" t="s">
        <v>55</v>
      </c>
      <c r="D40" s="122"/>
      <c r="E40" s="160">
        <f>SUM(E35:E39)</f>
        <v>1737715.74</v>
      </c>
      <c r="F40" s="161"/>
      <c r="G40" s="160">
        <f>SUM(G35:G39)</f>
        <v>2347491.27</v>
      </c>
      <c r="H40" s="162">
        <f t="shared" si="4"/>
        <v>-609775.53</v>
      </c>
      <c r="I40" s="163">
        <f t="shared" si="5"/>
        <v>-0.25975625033953798</v>
      </c>
      <c r="J40" s="161"/>
      <c r="K40" s="160">
        <f>SUM(K35:K39)</f>
        <v>3813117</v>
      </c>
      <c r="L40" s="162">
        <f t="shared" si="6"/>
        <v>-2075401.26</v>
      </c>
      <c r="M40" s="163">
        <f t="shared" si="7"/>
        <v>-0.54427945956024959</v>
      </c>
      <c r="N40" s="122"/>
      <c r="O40" s="122"/>
      <c r="P40" s="122"/>
    </row>
    <row r="41" spans="1:16" ht="8.1" customHeight="1">
      <c r="A41" s="122"/>
      <c r="B41" s="122"/>
      <c r="C41" s="122"/>
      <c r="D41" s="122"/>
      <c r="E41" s="122"/>
      <c r="F41" s="122"/>
      <c r="G41" s="122"/>
      <c r="H41" s="157">
        <f t="shared" si="4"/>
        <v>0</v>
      </c>
      <c r="I41" s="158">
        <f t="shared" si="5"/>
        <v>0</v>
      </c>
      <c r="J41" s="122"/>
      <c r="K41" s="122"/>
      <c r="L41" s="157">
        <f t="shared" si="6"/>
        <v>0</v>
      </c>
      <c r="M41" s="158">
        <f t="shared" si="7"/>
        <v>0</v>
      </c>
      <c r="N41" s="122"/>
      <c r="O41" s="122"/>
      <c r="P41" s="122"/>
    </row>
    <row r="42" spans="1:16" ht="8.1" customHeight="1">
      <c r="A42" s="122"/>
      <c r="B42" s="122"/>
      <c r="C42" s="159" t="s">
        <v>56</v>
      </c>
      <c r="D42" s="122"/>
      <c r="E42" s="122"/>
      <c r="F42" s="122"/>
      <c r="G42" s="122"/>
      <c r="H42" s="157">
        <f t="shared" si="4"/>
        <v>0</v>
      </c>
      <c r="I42" s="158">
        <f t="shared" si="5"/>
        <v>0</v>
      </c>
      <c r="J42" s="122"/>
      <c r="K42" s="122"/>
      <c r="L42" s="157">
        <f t="shared" si="6"/>
        <v>0</v>
      </c>
      <c r="M42" s="158">
        <f t="shared" si="7"/>
        <v>0</v>
      </c>
      <c r="N42" s="122"/>
      <c r="O42" s="122"/>
      <c r="P42" s="122"/>
    </row>
    <row r="43" spans="1:16">
      <c r="A43" s="122"/>
      <c r="B43" s="122"/>
      <c r="C43" s="150" t="s">
        <v>57</v>
      </c>
      <c r="D43" s="122"/>
      <c r="E43" s="156">
        <f>INDEX('Data Summary'!M33:AW33,MATCH($B$92,'Data Summary'!$M$8:$AW$8,0))</f>
        <v>56349.5</v>
      </c>
      <c r="F43" s="122"/>
      <c r="G43" s="156">
        <f>INDEX('Data Summary'!M33:AW33,MATCH($B$96,'Data Summary'!$M$8:$AW$8,0))</f>
        <v>55349.5</v>
      </c>
      <c r="H43" s="157">
        <f t="shared" si="4"/>
        <v>1000</v>
      </c>
      <c r="I43" s="158">
        <f t="shared" si="5"/>
        <v>1.8067010542100581E-2</v>
      </c>
      <c r="J43" s="122"/>
      <c r="K43" s="156">
        <f>INDEX('Data Summary'!M33:AW33,MATCH($B$99,'Data Summary'!$M$8:$AW$8,0))</f>
        <v>55349.5</v>
      </c>
      <c r="L43" s="157">
        <f t="shared" si="6"/>
        <v>1000</v>
      </c>
      <c r="M43" s="158">
        <f t="shared" si="7"/>
        <v>1.8067010542100581E-2</v>
      </c>
      <c r="N43" s="122"/>
      <c r="O43" s="122"/>
      <c r="P43" s="122"/>
    </row>
    <row r="44" spans="1:16">
      <c r="A44" s="122"/>
      <c r="B44" s="122"/>
      <c r="C44" s="150" t="s">
        <v>58</v>
      </c>
      <c r="D44" s="122"/>
      <c r="E44" s="156">
        <f>INDEX('Data Summary'!M34:AW34,MATCH($B$92,'Data Summary'!$M$8:$AW$8,0))</f>
        <v>-4942</v>
      </c>
      <c r="F44" s="122"/>
      <c r="G44" s="156">
        <f>INDEX('Data Summary'!M34:AW34,MATCH($B$96,'Data Summary'!$M$8:$AW$8,0))</f>
        <v>-4942</v>
      </c>
      <c r="H44" s="157">
        <f t="shared" si="4"/>
        <v>0</v>
      </c>
      <c r="I44" s="158">
        <f t="shared" si="5"/>
        <v>0</v>
      </c>
      <c r="J44" s="122"/>
      <c r="K44" s="156">
        <f>INDEX('Data Summary'!M34:AW34,MATCH($B$99,'Data Summary'!$M$8:$AW$8,0))</f>
        <v>-4942</v>
      </c>
      <c r="L44" s="157">
        <f t="shared" si="6"/>
        <v>0</v>
      </c>
      <c r="M44" s="158">
        <f t="shared" si="7"/>
        <v>0</v>
      </c>
      <c r="N44" s="122"/>
      <c r="O44" s="122"/>
      <c r="P44" s="122"/>
    </row>
    <row r="45" spans="1:16">
      <c r="A45" s="122"/>
      <c r="B45" s="122"/>
      <c r="C45" s="150" t="s">
        <v>59</v>
      </c>
      <c r="D45" s="122"/>
      <c r="E45" s="156">
        <f>INDEX('Data Summary'!M35:AW35,MATCH($B$92,'Data Summary'!$M$8:$AW$8,0))</f>
        <v>1530000</v>
      </c>
      <c r="F45" s="122"/>
      <c r="G45" s="156">
        <f>INDEX('Data Summary'!M35:AW35,MATCH($B$96,'Data Summary'!$M$8:$AW$8,0))</f>
        <v>1530000</v>
      </c>
      <c r="H45" s="157">
        <f t="shared" si="4"/>
        <v>0</v>
      </c>
      <c r="I45" s="158">
        <f t="shared" si="5"/>
        <v>0</v>
      </c>
      <c r="J45" s="122"/>
      <c r="K45" s="156">
        <f>INDEX('Data Summary'!M35:AW35,MATCH($B$99,'Data Summary'!$M$8:$AW$8,0))</f>
        <v>1530000</v>
      </c>
      <c r="L45" s="157">
        <f t="shared" si="6"/>
        <v>0</v>
      </c>
      <c r="M45" s="158">
        <f t="shared" si="7"/>
        <v>0</v>
      </c>
      <c r="N45" s="122"/>
      <c r="O45" s="122"/>
      <c r="P45" s="122"/>
    </row>
    <row r="46" spans="1:16">
      <c r="A46" s="122"/>
      <c r="B46" s="122"/>
      <c r="C46" s="150" t="s">
        <v>60</v>
      </c>
      <c r="D46" s="122"/>
      <c r="E46" s="156">
        <f>INDEX('Data Summary'!M36:AW36,MATCH($B$92,'Data Summary'!$M$8:$AW$8,0))</f>
        <v>23270</v>
      </c>
      <c r="F46" s="122"/>
      <c r="G46" s="156">
        <f>INDEX('Data Summary'!M36:AW36,MATCH($B$96,'Data Summary'!$M$8:$AW$8,0))</f>
        <v>23270</v>
      </c>
      <c r="H46" s="157">
        <f t="shared" si="4"/>
        <v>0</v>
      </c>
      <c r="I46" s="158">
        <f t="shared" si="5"/>
        <v>0</v>
      </c>
      <c r="J46" s="122"/>
      <c r="K46" s="156">
        <f>INDEX('Data Summary'!M36:AW36,MATCH($B$99,'Data Summary'!$M$8:$AW$8,0))</f>
        <v>23270</v>
      </c>
      <c r="L46" s="157">
        <f t="shared" si="6"/>
        <v>0</v>
      </c>
      <c r="M46" s="158">
        <f t="shared" si="7"/>
        <v>0</v>
      </c>
      <c r="N46" s="122"/>
      <c r="O46" s="122"/>
      <c r="P46" s="122"/>
    </row>
    <row r="47" spans="1:16">
      <c r="A47" s="122"/>
      <c r="B47" s="122"/>
      <c r="C47" s="151" t="s">
        <v>61</v>
      </c>
      <c r="D47" s="122"/>
      <c r="E47" s="160">
        <f>SUM(E43:E46)</f>
        <v>1604677.5</v>
      </c>
      <c r="F47" s="161"/>
      <c r="G47" s="160">
        <f>SUM(G43:G46)</f>
        <v>1603677.5</v>
      </c>
      <c r="H47" s="162">
        <f t="shared" si="4"/>
        <v>1000</v>
      </c>
      <c r="I47" s="163">
        <f t="shared" si="5"/>
        <v>6.2356677075037226E-4</v>
      </c>
      <c r="J47" s="161"/>
      <c r="K47" s="160">
        <f>SUM(K43:K46)</f>
        <v>1603677.5</v>
      </c>
      <c r="L47" s="162">
        <f t="shared" si="6"/>
        <v>1000</v>
      </c>
      <c r="M47" s="163">
        <f t="shared" si="7"/>
        <v>6.2356677075037226E-4</v>
      </c>
      <c r="N47" s="122"/>
      <c r="O47" s="122"/>
      <c r="P47" s="122"/>
    </row>
    <row r="48" spans="1:16" ht="8.1" customHeight="1">
      <c r="A48" s="122"/>
      <c r="B48" s="122"/>
      <c r="C48" s="122"/>
      <c r="D48" s="122"/>
      <c r="E48" s="122"/>
      <c r="F48" s="122"/>
      <c r="G48" s="122"/>
      <c r="H48" s="157">
        <f t="shared" si="4"/>
        <v>0</v>
      </c>
      <c r="I48" s="158">
        <f t="shared" si="5"/>
        <v>0</v>
      </c>
      <c r="J48" s="122"/>
      <c r="K48" s="122"/>
      <c r="L48" s="157">
        <f t="shared" si="6"/>
        <v>0</v>
      </c>
      <c r="M48" s="158">
        <f t="shared" si="7"/>
        <v>0</v>
      </c>
      <c r="N48" s="122"/>
      <c r="O48" s="122"/>
      <c r="P48" s="122"/>
    </row>
    <row r="49" spans="1:16" ht="8.1" customHeight="1">
      <c r="A49" s="122"/>
      <c r="B49" s="122"/>
      <c r="C49" s="159" t="s">
        <v>62</v>
      </c>
      <c r="D49" s="122"/>
      <c r="E49" s="122"/>
      <c r="F49" s="122"/>
      <c r="G49" s="122"/>
      <c r="H49" s="157">
        <f t="shared" si="4"/>
        <v>0</v>
      </c>
      <c r="I49" s="158">
        <f t="shared" si="5"/>
        <v>0</v>
      </c>
      <c r="J49" s="122"/>
      <c r="K49" s="122"/>
      <c r="L49" s="157">
        <f t="shared" si="6"/>
        <v>0</v>
      </c>
      <c r="M49" s="158">
        <f t="shared" si="7"/>
        <v>0</v>
      </c>
      <c r="N49" s="122"/>
      <c r="O49" s="122"/>
      <c r="P49" s="122"/>
    </row>
    <row r="50" spans="1:16">
      <c r="A50" s="122"/>
      <c r="B50" s="122"/>
      <c r="C50" s="150" t="s">
        <v>63</v>
      </c>
      <c r="D50" s="122"/>
      <c r="E50" s="156">
        <f>INDEX('Data Summary'!M37:AW37,MATCH($B$92,'Data Summary'!$M$8:$AW$8,0))</f>
        <v>3500000</v>
      </c>
      <c r="F50" s="122"/>
      <c r="G50" s="156">
        <f>INDEX('Data Summary'!M37:AW37,MATCH($B$96,'Data Summary'!$M$8:$AW$8,0))</f>
        <v>3500000</v>
      </c>
      <c r="H50" s="157">
        <f t="shared" si="4"/>
        <v>0</v>
      </c>
      <c r="I50" s="158">
        <f t="shared" si="5"/>
        <v>0</v>
      </c>
      <c r="J50" s="122"/>
      <c r="K50" s="156">
        <f>INDEX('Data Summary'!M37:AW37,MATCH($B$99,'Data Summary'!$M$8:$AW$8,0))</f>
        <v>3500000</v>
      </c>
      <c r="L50" s="157">
        <f t="shared" si="6"/>
        <v>0</v>
      </c>
      <c r="M50" s="158">
        <f t="shared" si="7"/>
        <v>0</v>
      </c>
      <c r="N50" s="122"/>
      <c r="O50" s="122"/>
      <c r="P50" s="122"/>
    </row>
    <row r="51" spans="1:16">
      <c r="A51" s="122"/>
      <c r="B51" s="122"/>
      <c r="C51" s="150" t="s">
        <v>64</v>
      </c>
      <c r="D51" s="122"/>
      <c r="E51" s="156">
        <f>INDEX('Data Summary'!M38:AW38,MATCH($B$92,'Data Summary'!$M$8:$AW$8,0))</f>
        <v>-3366961.76</v>
      </c>
      <c r="F51" s="122"/>
      <c r="G51" s="156">
        <f>INDEX('Data Summary'!M38:AW38,MATCH($B$96,'Data Summary'!$M$8:$AW$8,0))</f>
        <v>-2756186.23</v>
      </c>
      <c r="H51" s="157">
        <f t="shared" si="4"/>
        <v>-610775.5299999998</v>
      </c>
      <c r="I51" s="158">
        <f t="shared" si="5"/>
        <v>0.2216016912616241</v>
      </c>
      <c r="J51" s="122"/>
      <c r="K51" s="156">
        <f>INDEX('Data Summary'!M38:AW38,MATCH($B$99,'Data Summary'!$M$8:$AW$8,0))</f>
        <v>-1290560.5</v>
      </c>
      <c r="L51" s="157">
        <f t="shared" si="6"/>
        <v>-2076401.2599999998</v>
      </c>
      <c r="M51" s="158">
        <f t="shared" si="7"/>
        <v>1.6089143128121464</v>
      </c>
      <c r="N51" s="122"/>
      <c r="O51" s="122"/>
      <c r="P51" s="122"/>
    </row>
    <row r="52" spans="1:16">
      <c r="A52" s="122"/>
      <c r="B52" s="122"/>
      <c r="C52" s="151" t="s">
        <v>65</v>
      </c>
      <c r="D52" s="122"/>
      <c r="E52" s="160">
        <f>E50+E51</f>
        <v>133038.24000000022</v>
      </c>
      <c r="F52" s="161"/>
      <c r="G52" s="160">
        <f>G50+G51</f>
        <v>743813.77</v>
      </c>
      <c r="H52" s="162">
        <f t="shared" si="4"/>
        <v>-610775.5299999998</v>
      </c>
      <c r="I52" s="163">
        <f t="shared" si="5"/>
        <v>-0.8211403910954751</v>
      </c>
      <c r="J52" s="161"/>
      <c r="K52" s="160">
        <f>K50+K51</f>
        <v>2209439.5</v>
      </c>
      <c r="L52" s="162">
        <f t="shared" si="6"/>
        <v>-2076401.2599999998</v>
      </c>
      <c r="M52" s="163">
        <f t="shared" si="7"/>
        <v>-0.93978642999729112</v>
      </c>
      <c r="N52" s="122"/>
      <c r="O52" s="122"/>
      <c r="P52" s="122"/>
    </row>
    <row r="53" spans="1:16" ht="8.1" customHeight="1">
      <c r="A53" s="122"/>
      <c r="B53" s="122"/>
      <c r="C53" s="122"/>
      <c r="D53" s="122"/>
      <c r="E53" s="122"/>
      <c r="F53" s="122"/>
      <c r="G53" s="122"/>
      <c r="H53" s="157">
        <f t="shared" si="4"/>
        <v>0</v>
      </c>
      <c r="I53" s="158">
        <f t="shared" si="5"/>
        <v>0</v>
      </c>
      <c r="J53" s="122"/>
      <c r="K53" s="122"/>
      <c r="L53" s="157">
        <f t="shared" si="6"/>
        <v>0</v>
      </c>
      <c r="M53" s="158">
        <f t="shared" si="7"/>
        <v>0</v>
      </c>
      <c r="N53" s="122"/>
      <c r="O53" s="122"/>
      <c r="P53" s="122"/>
    </row>
    <row r="54" spans="1:16" ht="16.5" thickBot="1">
      <c r="A54" s="122"/>
      <c r="B54" s="122"/>
      <c r="C54" s="154" t="s">
        <v>66</v>
      </c>
      <c r="D54" s="122"/>
      <c r="E54" s="164">
        <f>E47+E52</f>
        <v>1737715.7400000002</v>
      </c>
      <c r="F54" s="165"/>
      <c r="G54" s="164">
        <f>G47+G52</f>
        <v>2347491.27</v>
      </c>
      <c r="H54" s="168">
        <f t="shared" si="4"/>
        <v>-609775.5299999998</v>
      </c>
      <c r="I54" s="169">
        <f t="shared" si="5"/>
        <v>-0.25975625033953786</v>
      </c>
      <c r="J54" s="165"/>
      <c r="K54" s="164">
        <f>K47+K52</f>
        <v>3813117</v>
      </c>
      <c r="L54" s="168">
        <f t="shared" si="6"/>
        <v>-2075401.2599999998</v>
      </c>
      <c r="M54" s="169">
        <f t="shared" si="7"/>
        <v>-0.54427945956024948</v>
      </c>
      <c r="N54" s="122"/>
      <c r="O54" s="122"/>
      <c r="P54" s="122"/>
    </row>
    <row r="55" spans="1:16" ht="8.1" customHeight="1" thickTop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</row>
    <row r="56" spans="1:16" ht="8.1" customHeight="1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</row>
    <row r="57" spans="1:16" ht="16.5" customHeight="1" thickBot="1">
      <c r="A57" s="122"/>
      <c r="B57" s="154" t="s">
        <v>67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</row>
    <row r="58" spans="1:16" ht="8.1" customHeight="1">
      <c r="A58" s="122"/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22"/>
      <c r="O58" s="122"/>
      <c r="P58" s="122"/>
    </row>
    <row r="59" spans="1:16" ht="14.45" customHeight="1">
      <c r="A59" s="122"/>
      <c r="B59" s="122"/>
      <c r="C59" s="159" t="s">
        <v>68</v>
      </c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</row>
    <row r="60" spans="1:16" ht="14.45" customHeight="1">
      <c r="A60" s="122"/>
      <c r="B60" s="122"/>
      <c r="C60" s="150" t="s">
        <v>47</v>
      </c>
      <c r="D60" s="122"/>
      <c r="E60" s="176">
        <f>E29</f>
        <v>-610775.53000000014</v>
      </c>
      <c r="F60" s="122"/>
      <c r="G60" s="176">
        <f>G29</f>
        <v>-542782.23</v>
      </c>
      <c r="H60" s="180">
        <f>E60-G60</f>
        <v>-67993.300000000163</v>
      </c>
      <c r="I60" s="181">
        <f>IFERROR(E60/G60-1,0)</f>
        <v>0.12526810245796027</v>
      </c>
      <c r="J60" s="122"/>
      <c r="K60" s="176">
        <f>K29</f>
        <v>-353145</v>
      </c>
      <c r="L60" s="180">
        <f>E60-K60</f>
        <v>-257630.53000000014</v>
      </c>
      <c r="M60" s="181">
        <f>IFERROR(E60/K60-1,0)</f>
        <v>0.72953186368205736</v>
      </c>
      <c r="N60" s="122"/>
      <c r="O60" s="122"/>
      <c r="P60" s="122"/>
    </row>
    <row r="61" spans="1:16" ht="14.45" customHeight="1">
      <c r="A61" s="122"/>
      <c r="B61" s="122"/>
      <c r="C61" s="150" t="s">
        <v>45</v>
      </c>
      <c r="D61" s="122"/>
      <c r="E61" s="176">
        <f>E26</f>
        <v>0</v>
      </c>
      <c r="F61" s="122"/>
      <c r="G61" s="176">
        <f>G26</f>
        <v>0</v>
      </c>
      <c r="H61" s="172">
        <f>E61-G61</f>
        <v>0</v>
      </c>
      <c r="I61" s="174">
        <f>IFERROR(E61/G61-1,0)</f>
        <v>0</v>
      </c>
      <c r="J61" s="122"/>
      <c r="K61" s="176">
        <f>K26</f>
        <v>0</v>
      </c>
      <c r="L61" s="172">
        <f>E61-K61</f>
        <v>0</v>
      </c>
      <c r="M61" s="174">
        <f>IFERROR(E61/K61-1,0)</f>
        <v>0</v>
      </c>
      <c r="N61" s="122"/>
      <c r="O61" s="122"/>
      <c r="P61" s="122"/>
    </row>
    <row r="62" spans="1:16" ht="8.1" customHeight="1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</row>
    <row r="63" spans="1:16" ht="14.45" customHeight="1">
      <c r="A63" s="122"/>
      <c r="B63" s="122"/>
      <c r="C63" s="159" t="s">
        <v>69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</row>
    <row r="64" spans="1:16" ht="14.45" customHeight="1">
      <c r="A64" s="122"/>
      <c r="B64" s="122"/>
      <c r="C64" s="150" t="s">
        <v>70</v>
      </c>
      <c r="D64" s="122"/>
      <c r="E64" s="176">
        <f>-(E36-INDEX('Data Summary'!M28:AW28,MATCH($B$91-1,'Data Summary'!$M$8:$AW$8,0)))</f>
        <v>-12994.780000000006</v>
      </c>
      <c r="F64" s="122"/>
      <c r="G64" s="176">
        <f>-(G36-INDEX('Data Summary'!M28:AW28,MATCH($B$95-1,'Data Summary'!$M$8:$AW$8,0)))</f>
        <v>-3993.7699999999968</v>
      </c>
      <c r="H64" s="182">
        <f t="shared" ref="H64:H70" si="8">E64-G64</f>
        <v>-9001.0100000000093</v>
      </c>
      <c r="I64" s="183">
        <f t="shared" ref="I64:I70" si="9">IFERROR(E64/G64-1,0)</f>
        <v>2.2537627354604837</v>
      </c>
      <c r="J64" s="122"/>
      <c r="K64" s="176">
        <f>-(K36-INDEX('Data Summary'!M28:AW28,MATCH($B$98-1,'Data Summary'!$M$8:$AW$8,0)))</f>
        <v>-3996</v>
      </c>
      <c r="L64" s="180">
        <f t="shared" ref="L64:L70" si="10">E64-K64</f>
        <v>-8998.7800000000061</v>
      </c>
      <c r="M64" s="181">
        <f t="shared" ref="M64:M70" si="11">IFERROR(E64/K64-1,0)</f>
        <v>2.2519469469469486</v>
      </c>
      <c r="N64" s="122"/>
      <c r="O64" s="122"/>
      <c r="P64" s="122"/>
    </row>
    <row r="65" spans="1:16" ht="14.45" customHeight="1">
      <c r="A65" s="122"/>
      <c r="B65" s="122"/>
      <c r="C65" s="150" t="s">
        <v>71</v>
      </c>
      <c r="D65" s="122"/>
      <c r="E65" s="176">
        <f>-(E37-INDEX('Data Summary'!M30:AW30,MATCH($B$91-1,'Data Summary'!$M$8:$AW$8,0)))</f>
        <v>300</v>
      </c>
      <c r="F65" s="122"/>
      <c r="G65" s="176">
        <f>-(G37-INDEX('Data Summary'!M30:AW30,MATCH($B$95-1,'Data Summary'!$M$8:$AW$8,0)))</f>
        <v>0</v>
      </c>
      <c r="H65" s="180">
        <f t="shared" si="8"/>
        <v>300</v>
      </c>
      <c r="I65" s="181">
        <f t="shared" si="9"/>
        <v>0</v>
      </c>
      <c r="J65" s="122"/>
      <c r="K65" s="176">
        <f>-(K37-INDEX('Data Summary'!M30:AW30,MATCH($B$98-1,'Data Summary'!$M$8:$AW$8,0)))</f>
        <v>0</v>
      </c>
      <c r="L65" s="180">
        <f t="shared" si="10"/>
        <v>300</v>
      </c>
      <c r="M65" s="181">
        <f t="shared" si="11"/>
        <v>0</v>
      </c>
      <c r="N65" s="122"/>
      <c r="O65" s="122"/>
      <c r="P65" s="122"/>
    </row>
    <row r="66" spans="1:16" ht="14.45" customHeight="1">
      <c r="A66" s="122"/>
      <c r="B66" s="122"/>
      <c r="C66" s="150" t="s">
        <v>72</v>
      </c>
      <c r="D66" s="122"/>
      <c r="E66" s="176">
        <f>-(E39-INDEX('Data Summary'!M32:AW32,MATCH($B$91-1,'Data Summary'!$M$8:$AW$8,0)))</f>
        <v>0</v>
      </c>
      <c r="F66" s="122"/>
      <c r="G66" s="176">
        <f>-(G39-INDEX('Data Summary'!M32:AW32,MATCH($B$95-1,'Data Summary'!$M$8:$AW$8,0)))</f>
        <v>0</v>
      </c>
      <c r="H66" s="172">
        <f t="shared" si="8"/>
        <v>0</v>
      </c>
      <c r="I66" s="174">
        <f t="shared" si="9"/>
        <v>0</v>
      </c>
      <c r="J66" s="122"/>
      <c r="K66" s="176">
        <f>-(K39-INDEX('Data Summary'!M32:AW32,MATCH($B$98-1,'Data Summary'!$M$8:$AW$8,0)))</f>
        <v>0</v>
      </c>
      <c r="L66" s="172">
        <f t="shared" si="10"/>
        <v>0</v>
      </c>
      <c r="M66" s="174">
        <f t="shared" si="11"/>
        <v>0</v>
      </c>
      <c r="N66" s="122"/>
      <c r="O66" s="122"/>
      <c r="P66" s="122"/>
    </row>
    <row r="67" spans="1:16" ht="14.45" customHeight="1">
      <c r="A67" s="122"/>
      <c r="B67" s="122"/>
      <c r="C67" s="150" t="s">
        <v>73</v>
      </c>
      <c r="D67" s="122"/>
      <c r="E67" s="176">
        <f>E43-INDEX('Data Summary'!M33:AW33,MATCH($B$91-1,'Data Summary'!$M$8:$AW$8,0))</f>
        <v>1000</v>
      </c>
      <c r="F67" s="122"/>
      <c r="G67" s="176">
        <f>G43-INDEX('Data Summary'!M33:AW33,MATCH($B$95-1,'Data Summary'!$M$8:$AW$8,0))</f>
        <v>0</v>
      </c>
      <c r="H67" s="180">
        <f t="shared" si="8"/>
        <v>1000</v>
      </c>
      <c r="I67" s="181">
        <f t="shared" si="9"/>
        <v>0</v>
      </c>
      <c r="J67" s="122"/>
      <c r="K67" s="176">
        <f>K43-INDEX('Data Summary'!M33:AW33,MATCH($B$98-1,'Data Summary'!$M$8:$AW$8,0))</f>
        <v>0</v>
      </c>
      <c r="L67" s="172">
        <f t="shared" si="10"/>
        <v>1000</v>
      </c>
      <c r="M67" s="174">
        <f t="shared" si="11"/>
        <v>0</v>
      </c>
      <c r="N67" s="122"/>
      <c r="O67" s="122"/>
      <c r="P67" s="122"/>
    </row>
    <row r="68" spans="1:16" ht="14.45" customHeight="1">
      <c r="A68" s="122"/>
      <c r="B68" s="122"/>
      <c r="C68" s="150" t="s">
        <v>74</v>
      </c>
      <c r="D68" s="122"/>
      <c r="E68" s="176">
        <f>E44-INDEX('Data Summary'!M34:AW34,MATCH($B$91-1,'Data Summary'!$M$8:$AW$8,0))</f>
        <v>0</v>
      </c>
      <c r="F68" s="122"/>
      <c r="G68" s="176">
        <f>G44-INDEX('Data Summary'!M34:AW34,MATCH($B$95-1,'Data Summary'!$M$8:$AW$8,0))</f>
        <v>0</v>
      </c>
      <c r="H68" s="172">
        <f t="shared" si="8"/>
        <v>0</v>
      </c>
      <c r="I68" s="174">
        <f t="shared" si="9"/>
        <v>0</v>
      </c>
      <c r="J68" s="122"/>
      <c r="K68" s="176">
        <f>K44-INDEX('Data Summary'!M34:AW34,MATCH($B$98-1,'Data Summary'!$M$8:$AW$8,0))</f>
        <v>0</v>
      </c>
      <c r="L68" s="172">
        <f t="shared" si="10"/>
        <v>0</v>
      </c>
      <c r="M68" s="174">
        <f t="shared" si="11"/>
        <v>0</v>
      </c>
      <c r="N68" s="122"/>
      <c r="O68" s="122"/>
      <c r="P68" s="122"/>
    </row>
    <row r="69" spans="1:16" ht="14.45" customHeight="1">
      <c r="A69" s="122"/>
      <c r="B69" s="122"/>
      <c r="C69" s="150" t="s">
        <v>75</v>
      </c>
      <c r="D69" s="122"/>
      <c r="E69" s="176">
        <f>E46-INDEX('Data Summary'!M36:AW36,MATCH($B$91-1,'Data Summary'!$M$8:$AW$8,0))</f>
        <v>0</v>
      </c>
      <c r="F69" s="122"/>
      <c r="G69" s="176">
        <f>G46-INDEX('Data Summary'!M36:AW36,MATCH($B$95-1,'Data Summary'!$M$8:$AW$8,0))</f>
        <v>0</v>
      </c>
      <c r="H69" s="172">
        <f t="shared" si="8"/>
        <v>0</v>
      </c>
      <c r="I69" s="174">
        <f t="shared" si="9"/>
        <v>0</v>
      </c>
      <c r="J69" s="122"/>
      <c r="K69" s="176">
        <f>K46-INDEX('Data Summary'!M36:AW36,MATCH($B$98-1,'Data Summary'!$M$8:$AW$8,0))</f>
        <v>0</v>
      </c>
      <c r="L69" s="172">
        <f t="shared" si="10"/>
        <v>0</v>
      </c>
      <c r="M69" s="174">
        <f t="shared" si="11"/>
        <v>0</v>
      </c>
      <c r="N69" s="122"/>
      <c r="O69" s="122"/>
      <c r="P69" s="122"/>
    </row>
    <row r="70" spans="1:16" ht="14.45" customHeight="1">
      <c r="A70" s="122"/>
      <c r="B70" s="122"/>
      <c r="C70" s="151" t="s">
        <v>76</v>
      </c>
      <c r="D70" s="122"/>
      <c r="E70" s="177">
        <f>E60+E61+SUM(E64:E69)</f>
        <v>-622470.31000000017</v>
      </c>
      <c r="F70" s="122"/>
      <c r="G70" s="177">
        <f>G60+G61+SUM(G64:G69)</f>
        <v>-546776</v>
      </c>
      <c r="H70" s="184">
        <f t="shared" si="8"/>
        <v>-75694.310000000172</v>
      </c>
      <c r="I70" s="185">
        <f t="shared" si="9"/>
        <v>0.13843751371676927</v>
      </c>
      <c r="J70" s="122"/>
      <c r="K70" s="177">
        <f>K60+K61+SUM(K64:K69)</f>
        <v>-357141</v>
      </c>
      <c r="L70" s="184">
        <f t="shared" si="10"/>
        <v>-265329.31000000017</v>
      </c>
      <c r="M70" s="185">
        <f t="shared" si="11"/>
        <v>0.74292593121484285</v>
      </c>
      <c r="N70" s="122"/>
      <c r="O70" s="122"/>
      <c r="P70" s="122"/>
    </row>
    <row r="71" spans="1:16" ht="8.1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</row>
    <row r="72" spans="1:16" ht="14.45" customHeight="1">
      <c r="A72" s="122"/>
      <c r="B72" s="122"/>
      <c r="C72" s="159" t="s">
        <v>77</v>
      </c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</row>
    <row r="73" spans="1:16" ht="14.45" customHeight="1">
      <c r="A73" s="122"/>
      <c r="B73" s="122"/>
      <c r="C73" s="150" t="s">
        <v>78</v>
      </c>
      <c r="D73" s="122"/>
      <c r="E73" s="176">
        <f>-(E38-INDEX('Data Summary'!M31:AW31,MATCH($B$91-1,'Data Summary'!$M$8:$AW$8,0)))-E61</f>
        <v>9151.9800000000032</v>
      </c>
      <c r="F73" s="122"/>
      <c r="G73" s="176">
        <f>-(G38-INDEX('Data Summary'!M31:AW31,MATCH($B$95-1,'Data Summary'!$M$8:$AW$8,0)))-G61</f>
        <v>9151.9800000000032</v>
      </c>
      <c r="H73" s="172">
        <f>E73-G73</f>
        <v>0</v>
      </c>
      <c r="I73" s="174">
        <f>IFERROR(E73/G73-1,0)</f>
        <v>0</v>
      </c>
      <c r="J73" s="122"/>
      <c r="K73" s="176">
        <f>-(K38-INDEX('Data Summary'!M31:AW31,MATCH($B$98-1,'Data Summary'!$M$8:$AW$8,0)))-K61</f>
        <v>9152</v>
      </c>
      <c r="L73" s="180">
        <f>E73-K73</f>
        <v>-1.9999999996798579E-2</v>
      </c>
      <c r="M73" s="181">
        <f>IFERROR(E73/K73-1,0)</f>
        <v>-2.1853146849881711E-6</v>
      </c>
      <c r="N73" s="122"/>
      <c r="O73" s="122"/>
      <c r="P73" s="122"/>
    </row>
    <row r="74" spans="1:16" ht="14.45" customHeight="1">
      <c r="A74" s="122"/>
      <c r="B74" s="122"/>
      <c r="C74" s="151" t="s">
        <v>79</v>
      </c>
      <c r="D74" s="122"/>
      <c r="E74" s="177">
        <f>E73</f>
        <v>9151.9800000000032</v>
      </c>
      <c r="F74" s="122"/>
      <c r="G74" s="177">
        <f>G73</f>
        <v>9151.9800000000032</v>
      </c>
      <c r="H74" s="173">
        <f>E74-G74</f>
        <v>0</v>
      </c>
      <c r="I74" s="175">
        <f>IFERROR(E74/G74-1,0)</f>
        <v>0</v>
      </c>
      <c r="J74" s="122"/>
      <c r="K74" s="177">
        <f>K73</f>
        <v>9152</v>
      </c>
      <c r="L74" s="184">
        <f>E74-K74</f>
        <v>-1.9999999996798579E-2</v>
      </c>
      <c r="M74" s="185">
        <f>IFERROR(E74/K74-1,0)</f>
        <v>-2.1853146849881711E-6</v>
      </c>
      <c r="N74" s="122"/>
      <c r="O74" s="122"/>
      <c r="P74" s="122"/>
    </row>
    <row r="75" spans="1:16" ht="8.1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</row>
    <row r="76" spans="1:16" ht="14.45" customHeight="1">
      <c r="A76" s="122"/>
      <c r="B76" s="122"/>
      <c r="C76" s="159" t="s">
        <v>80</v>
      </c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</row>
    <row r="77" spans="1:16" ht="14.45" customHeight="1">
      <c r="A77" s="122"/>
      <c r="B77" s="122"/>
      <c r="C77" s="150" t="s">
        <v>81</v>
      </c>
      <c r="D77" s="122"/>
      <c r="E77" s="176">
        <f>E45-INDEX('Data Summary'!M35:AW35,MATCH($B$91-1,'Data Summary'!$M$8:$AW$8,0))</f>
        <v>0</v>
      </c>
      <c r="F77" s="122"/>
      <c r="G77" s="176">
        <f>G45-INDEX('Data Summary'!M35:AW35,MATCH($B$95-1,'Data Summary'!$M$8:$AW$8,0))</f>
        <v>0</v>
      </c>
      <c r="H77" s="172">
        <f>E77-G77</f>
        <v>0</v>
      </c>
      <c r="I77" s="174">
        <f>IFERROR(E77/G77-1,0)</f>
        <v>0</v>
      </c>
      <c r="J77" s="122"/>
      <c r="K77" s="176">
        <f>K45-INDEX('Data Summary'!M35:AW35,MATCH($B$98-1,'Data Summary'!$M$8:$AW$8,0))</f>
        <v>0</v>
      </c>
      <c r="L77" s="172">
        <f>E77-K77</f>
        <v>0</v>
      </c>
      <c r="M77" s="174">
        <f>IFERROR(E77/K77-1,0)</f>
        <v>0</v>
      </c>
      <c r="N77" s="122"/>
      <c r="O77" s="122"/>
      <c r="P77" s="122"/>
    </row>
    <row r="78" spans="1:16" ht="14.45" customHeight="1">
      <c r="A78" s="122"/>
      <c r="B78" s="122"/>
      <c r="C78" s="150" t="s">
        <v>82</v>
      </c>
      <c r="D78" s="122"/>
      <c r="E78" s="176">
        <f>E50-INDEX('Data Summary'!M37:AW37,MATCH($B$91-1,'Data Summary'!$M$8:$AW$8,0))</f>
        <v>0</v>
      </c>
      <c r="F78" s="122"/>
      <c r="G78" s="176">
        <f>G50-INDEX('Data Summary'!M37:AW37,MATCH($B$95-1,'Data Summary'!$M$8:$AW$8,0))</f>
        <v>0</v>
      </c>
      <c r="H78" s="172">
        <f>E78-G78</f>
        <v>0</v>
      </c>
      <c r="I78" s="174">
        <f>IFERROR(E78/G78-1,0)</f>
        <v>0</v>
      </c>
      <c r="J78" s="122"/>
      <c r="K78" s="176">
        <f>K50-INDEX('Data Summary'!M37:AW37,MATCH($B$98-1,'Data Summary'!$M$8:$AW$8,0))</f>
        <v>0</v>
      </c>
      <c r="L78" s="172">
        <f>E78-K78</f>
        <v>0</v>
      </c>
      <c r="M78" s="174">
        <f>IFERROR(E78/K78-1,0)</f>
        <v>0</v>
      </c>
      <c r="N78" s="122"/>
      <c r="O78" s="122"/>
      <c r="P78" s="122"/>
    </row>
    <row r="79" spans="1:16" ht="14.45" customHeight="1">
      <c r="A79" s="122"/>
      <c r="B79" s="122"/>
      <c r="C79" s="151" t="s">
        <v>83</v>
      </c>
      <c r="D79" s="122"/>
      <c r="E79" s="177">
        <f>SUM(E77:E78)</f>
        <v>0</v>
      </c>
      <c r="F79" s="122"/>
      <c r="G79" s="177">
        <f>SUM(G77:G78)</f>
        <v>0</v>
      </c>
      <c r="H79" s="173">
        <f>E79-G79</f>
        <v>0</v>
      </c>
      <c r="I79" s="175">
        <f>IFERROR(E79/G79-1,0)</f>
        <v>0</v>
      </c>
      <c r="J79" s="122"/>
      <c r="K79" s="177">
        <f>SUM(K77:K78)</f>
        <v>0</v>
      </c>
      <c r="L79" s="173">
        <f>E79-K79</f>
        <v>0</v>
      </c>
      <c r="M79" s="175">
        <f>IFERROR(E79/K79-1,0)</f>
        <v>0</v>
      </c>
      <c r="N79" s="122"/>
      <c r="O79" s="122"/>
      <c r="P79" s="122"/>
    </row>
    <row r="80" spans="1:16" ht="8.1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</row>
    <row r="81" spans="1:16" ht="14.45" customHeight="1">
      <c r="A81" s="122"/>
      <c r="B81" s="122"/>
      <c r="C81" s="151" t="s">
        <v>84</v>
      </c>
      <c r="D81" s="122"/>
      <c r="E81" s="178">
        <f>E70+E74+E79</f>
        <v>-613318.33000000019</v>
      </c>
      <c r="F81" s="122"/>
      <c r="G81" s="178">
        <f>G70+G74+G79</f>
        <v>-537624.02</v>
      </c>
      <c r="H81" s="184">
        <f>E81-G81</f>
        <v>-75694.310000000172</v>
      </c>
      <c r="I81" s="185">
        <f>IFERROR(E81/G81-1,0)</f>
        <v>0.14079413713695343</v>
      </c>
      <c r="J81" s="122"/>
      <c r="K81" s="178">
        <f>K70+K74+K79</f>
        <v>-347989</v>
      </c>
      <c r="L81" s="184">
        <f>E81-K81</f>
        <v>-265329.33000000019</v>
      </c>
      <c r="M81" s="185">
        <f>IFERROR(E81/K81-1,0)</f>
        <v>0.76246470434410329</v>
      </c>
      <c r="N81" s="122"/>
      <c r="O81" s="122"/>
      <c r="P81" s="122"/>
    </row>
    <row r="82" spans="1:16" ht="14.45" customHeight="1">
      <c r="A82" s="122"/>
      <c r="B82" s="122"/>
      <c r="C82" s="150" t="s">
        <v>85</v>
      </c>
      <c r="D82" s="122"/>
      <c r="E82" s="176">
        <f>INDEX('Data Summary'!M29:AW29,MATCH($B$91-1,'Data Summary'!$M$8:$AW$8,0))</f>
        <v>2207358.48</v>
      </c>
      <c r="F82" s="122"/>
      <c r="G82" s="176">
        <f>INDEX('Data Summary'!M29:AW29,MATCH($B$95-1,'Data Summary'!$M$8:$AW$8,0))</f>
        <v>2744982.5</v>
      </c>
      <c r="H82" s="180">
        <f>E82-G82</f>
        <v>-537624.02</v>
      </c>
      <c r="I82" s="181">
        <f>IFERROR(E82/G82-1,0)</f>
        <v>-0.19585699362382092</v>
      </c>
      <c r="J82" s="122"/>
      <c r="K82" s="176">
        <f>INDEX('Data Summary'!M29:AW29,MATCH($B$98-1,'Data Summary'!$M$8:$AW$8,0))</f>
        <v>4004840.5</v>
      </c>
      <c r="L82" s="180">
        <f>E82-K82</f>
        <v>-1797482.02</v>
      </c>
      <c r="M82" s="181">
        <f>IFERROR(E82/K82-1,0)</f>
        <v>-0.44882736778156329</v>
      </c>
      <c r="N82" s="122"/>
      <c r="O82" s="122"/>
      <c r="P82" s="122"/>
    </row>
    <row r="83" spans="1:16" ht="16.5" customHeight="1" thickBot="1">
      <c r="A83" s="122"/>
      <c r="B83" s="122"/>
      <c r="C83" s="151" t="s">
        <v>86</v>
      </c>
      <c r="D83" s="122"/>
      <c r="E83" s="179">
        <f>E81+E82</f>
        <v>1594040.15</v>
      </c>
      <c r="F83" s="122"/>
      <c r="G83" s="179">
        <f>G81+G82</f>
        <v>2207358.48</v>
      </c>
      <c r="H83" s="184">
        <f>E83-G83</f>
        <v>-613318.33000000007</v>
      </c>
      <c r="I83" s="185">
        <f>IFERROR(E83/G83-1,0)</f>
        <v>-0.27785171079234949</v>
      </c>
      <c r="J83" s="122"/>
      <c r="K83" s="179">
        <f>K81+K82</f>
        <v>3656851.5</v>
      </c>
      <c r="L83" s="184">
        <f>E83-K83</f>
        <v>-2062811.35</v>
      </c>
      <c r="M83" s="185">
        <f>IFERROR(E83/K83-1,0)</f>
        <v>-0.56409491881198903</v>
      </c>
      <c r="N83" s="122"/>
      <c r="O83" s="122"/>
      <c r="P83" s="122"/>
    </row>
    <row r="84" spans="1:16" ht="14.45" customHeight="1" thickTop="1">
      <c r="A84" s="122"/>
      <c r="B84" s="122"/>
      <c r="C84" s="150" t="s">
        <v>87</v>
      </c>
      <c r="D84" s="122"/>
      <c r="E84" s="176">
        <f>E83-E35</f>
        <v>0</v>
      </c>
      <c r="F84" s="122"/>
      <c r="G84" s="176">
        <f>G83-G35</f>
        <v>0</v>
      </c>
      <c r="H84" s="172">
        <f>E84-G84</f>
        <v>0</v>
      </c>
      <c r="I84" s="174">
        <f>IFERROR(E84/G84-1,0)</f>
        <v>0</v>
      </c>
      <c r="J84" s="122"/>
      <c r="K84" s="176">
        <f>K83-K35</f>
        <v>0</v>
      </c>
      <c r="L84" s="172">
        <f>E84-K84</f>
        <v>0</v>
      </c>
      <c r="M84" s="174">
        <f>IFERROR(E84/K84-1,0)</f>
        <v>0</v>
      </c>
      <c r="N84" s="122"/>
      <c r="O84" s="122"/>
      <c r="P84" s="122"/>
    </row>
    <row r="85" spans="1:16" ht="8.1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</row>
    <row r="86" spans="1:1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</row>
    <row r="87" spans="1:16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</row>
    <row r="88" spans="1:16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</row>
    <row r="89" spans="1:16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</row>
    <row r="90" spans="1:16" hidden="1" outlineLevel="1">
      <c r="A90" s="122" t="s">
        <v>27</v>
      </c>
      <c r="B90" s="122" t="str">
        <f>E4</f>
        <v>Last Quarter</v>
      </c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</row>
    <row r="91" spans="1:16" hidden="1" outlineLevel="1">
      <c r="A91" t="s">
        <v>88</v>
      </c>
      <c r="B91">
        <f>VLOOKUP(B90,Lists!E6:O20,2,FALSE)</f>
        <v>45748</v>
      </c>
    </row>
    <row r="92" spans="1:16" hidden="1" outlineLevel="1">
      <c r="A92" t="s">
        <v>89</v>
      </c>
      <c r="B92">
        <f>VLOOKUP(B90,Lists!E6:O20,3,FALSE)</f>
        <v>45838</v>
      </c>
    </row>
    <row r="93" spans="1:16" hidden="1" outlineLevel="1">
      <c r="A93" s="122" t="s">
        <v>90</v>
      </c>
      <c r="B93" t="str">
        <f>VLOOKUP(B90,Lists!E6:O20,4,FALSE)</f>
        <v>Q2 2025</v>
      </c>
    </row>
    <row r="94" spans="1:16" hidden="1" outlineLevel="1">
      <c r="A94" s="122" t="s">
        <v>91</v>
      </c>
      <c r="B94">
        <f>VLOOKUP(B90,Lists!E6:O20,5,FALSE)</f>
        <v>3</v>
      </c>
    </row>
    <row r="95" spans="1:16" hidden="1" outlineLevel="1">
      <c r="A95" s="122" t="s">
        <v>92</v>
      </c>
      <c r="B95">
        <f>VLOOKUP(B90,Lists!E6:O20,6,FALSE)</f>
        <v>45658</v>
      </c>
    </row>
    <row r="96" spans="1:16" hidden="1" outlineLevel="1">
      <c r="A96" s="122" t="s">
        <v>93</v>
      </c>
      <c r="B96">
        <f>VLOOKUP(B90,Lists!E6:O20,7,FALSE)</f>
        <v>45747</v>
      </c>
    </row>
    <row r="97" spans="1:2" hidden="1" outlineLevel="1">
      <c r="A97" s="122" t="s">
        <v>94</v>
      </c>
      <c r="B97" t="str">
        <f>VLOOKUP(B90,Lists!E6:O20,8,FALSE)</f>
        <v>Q1 2025</v>
      </c>
    </row>
    <row r="98" spans="1:2" hidden="1" outlineLevel="1">
      <c r="A98" s="122" t="s">
        <v>95</v>
      </c>
      <c r="B98">
        <f>VLOOKUP(B90,Lists!E6:O20,9,FALSE)</f>
        <v>45383</v>
      </c>
    </row>
    <row r="99" spans="1:2" hidden="1" outlineLevel="1">
      <c r="A99" s="122" t="s">
        <v>96</v>
      </c>
      <c r="B99">
        <f>VLOOKUP(B90,Lists!E6:O20,10,FALSE)</f>
        <v>45473</v>
      </c>
    </row>
    <row r="100" spans="1:2" hidden="1" outlineLevel="1">
      <c r="A100" s="122" t="s">
        <v>97</v>
      </c>
      <c r="B100" t="str">
        <f>VLOOKUP(B90,Lists!E6:O20,11,FALSE)</f>
        <v>Q2 2024</v>
      </c>
    </row>
    <row r="101" spans="1:2" collapsed="1"/>
  </sheetData>
  <conditionalFormatting sqref="H10:I30">
    <cfRule type="cellIs" dxfId="7" priority="1" operator="greaterThan">
      <formula>0</formula>
    </cfRule>
    <cfRule type="cellIs" dxfId="6" priority="2" operator="lessThan">
      <formula>0</formula>
    </cfRule>
  </conditionalFormatting>
  <conditionalFormatting sqref="H35:I54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L10:M30"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L35:M54">
    <cfRule type="cellIs" dxfId="1" priority="7" operator="greaterThan">
      <formula>0</formula>
    </cfRule>
    <cfRule type="cellIs" dxfId="0" priority="8" operator="lessThan">
      <formula>0</formula>
    </cfRule>
  </conditionalFormatting>
  <dataValidations count="1">
    <dataValidation type="list" allowBlank="1" showInputMessage="1" showErrorMessage="1" sqref="E4" xr:uid="{0C59914F-58BC-4192-86D5-400B135F5ADE}">
      <formula1>"This Month,Last Month,Next Month,This Quarter,Last Quarter,Next Quarter,This Year,Last Year,Next Year,YTD,Forecast,Quarter to Date,Trailing 3 Months,Trailing 6 Months,Trailing 12 Months"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47E6-8BBE-5A41-B1A0-E6B653EDA7D8}">
  <sheetPr>
    <tabColor rgb="FF156082"/>
  </sheetPr>
  <dimension ref="A1:Q65"/>
  <sheetViews>
    <sheetView showGridLines="0" zoomScale="170" zoomScaleNormal="170" workbookViewId="0">
      <selection activeCell="H6" sqref="H6"/>
    </sheetView>
  </sheetViews>
  <sheetFormatPr defaultColWidth="11.42578125" defaultRowHeight="15" outlineLevelCol="1"/>
  <cols>
    <col min="1" max="1" width="2.42578125" customWidth="1"/>
    <col min="2" max="2" width="23.5703125" customWidth="1"/>
    <col min="3" max="3" width="13.42578125" bestFit="1" customWidth="1"/>
    <col min="4" max="4" width="19.140625" customWidth="1"/>
    <col min="5" max="5" width="8.140625" bestFit="1" customWidth="1"/>
    <col min="6" max="6" width="19.140625" customWidth="1"/>
    <col min="7" max="7" width="10.28515625" bestFit="1" customWidth="1"/>
    <col min="8" max="8" width="19.140625" customWidth="1"/>
    <col min="9" max="9" width="32.28515625" bestFit="1" customWidth="1"/>
    <col min="10" max="10" width="22.140625" bestFit="1" customWidth="1"/>
    <col min="11" max="11" width="15.85546875" bestFit="1" customWidth="1"/>
    <col min="12" max="12" width="2.42578125" customWidth="1"/>
    <col min="13" max="16" width="0.7109375" customWidth="1" outlineLevel="1"/>
    <col min="17" max="17" width="0.140625" customWidth="1" outlineLevel="1"/>
    <col min="18" max="18" width="10.85546875"/>
  </cols>
  <sheetData>
    <row r="1" spans="1:12" ht="8.1" customHeight="1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</row>
    <row r="2" spans="1:12" ht="35.1" customHeight="1">
      <c r="A2" s="215"/>
      <c r="B2" s="224" t="s">
        <v>24</v>
      </c>
      <c r="C2" s="215"/>
      <c r="D2" s="225" t="s">
        <v>433</v>
      </c>
      <c r="E2" s="226"/>
      <c r="F2" s="226"/>
      <c r="G2" s="215"/>
      <c r="H2" s="226"/>
      <c r="I2" s="226"/>
      <c r="J2" s="226"/>
      <c r="K2" s="241" t="s">
        <v>434</v>
      </c>
      <c r="L2" s="215"/>
    </row>
    <row r="3" spans="1:12" ht="8.1" customHeight="1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</row>
    <row r="4" spans="1:12" ht="8.1" customHeight="1">
      <c r="A4" s="215"/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</row>
    <row r="5" spans="1:12" ht="18" customHeight="1">
      <c r="A5" s="215"/>
      <c r="B5" s="266" t="s">
        <v>497</v>
      </c>
      <c r="C5" s="215"/>
      <c r="D5" s="266" t="s">
        <v>498</v>
      </c>
      <c r="E5" s="215"/>
      <c r="F5" s="266" t="s">
        <v>499</v>
      </c>
      <c r="G5" s="215"/>
      <c r="H5" s="266" t="s">
        <v>500</v>
      </c>
      <c r="I5" s="215"/>
      <c r="J5" s="215"/>
      <c r="K5" s="215"/>
      <c r="L5" s="215"/>
    </row>
    <row r="6" spans="1:12" ht="30" customHeight="1">
      <c r="A6" s="215"/>
      <c r="B6" s="267">
        <f ca="1">SUMIF('AR Data'!J2:J35,"&lt;&gt;Paid",'AR Data'!G2:G35)</f>
        <v>5495500</v>
      </c>
      <c r="C6" s="215"/>
      <c r="D6" s="269">
        <f ca="1">'AR Data'!P14</f>
        <v>227.4</v>
      </c>
      <c r="E6" s="215"/>
      <c r="F6" s="270">
        <f ca="1">SUMIF('AR Data'!J2:J35,"Past Due",'AR Data'!G2:G35)/SUMIF('AR Data'!J2:J35,"&lt;&gt;Paid",'AR Data'!G2:G35)</f>
        <v>1</v>
      </c>
      <c r="G6" s="215"/>
      <c r="H6" s="271">
        <f ca="1">COUNTIF('AR Data'!J2:J35,"&lt;&gt;Paid")</f>
        <v>30</v>
      </c>
      <c r="I6" s="215"/>
      <c r="J6" s="215"/>
      <c r="K6" s="215"/>
      <c r="L6" s="215"/>
    </row>
    <row r="7" spans="1:12" ht="8.1" customHeight="1">
      <c r="A7" s="215"/>
      <c r="B7" s="268" t="s">
        <v>532</v>
      </c>
      <c r="C7" s="215"/>
      <c r="D7" s="268" t="s">
        <v>533</v>
      </c>
      <c r="E7" s="215"/>
      <c r="F7" s="268" t="s">
        <v>534</v>
      </c>
      <c r="G7" s="215"/>
      <c r="H7" s="268" t="s">
        <v>535</v>
      </c>
      <c r="I7" s="215"/>
      <c r="J7" s="215"/>
      <c r="K7" s="215"/>
      <c r="L7" s="215"/>
    </row>
    <row r="8" spans="1:12" ht="9.9499999999999993" customHeight="1">
      <c r="A8" s="215"/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>
      <c r="A9" s="215"/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</row>
    <row r="10" spans="1:12">
      <c r="A10" s="215"/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</row>
    <row r="11" spans="1:12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2" spans="1:12">
      <c r="A12" s="215"/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</row>
    <row r="13" spans="1:12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</row>
    <row r="14" spans="1:12">
      <c r="A14" s="215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</row>
    <row r="15" spans="1:12">
      <c r="A15" s="215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</row>
    <row r="16" spans="1:12">
      <c r="A16" s="215"/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</row>
    <row r="17" spans="1:12">
      <c r="A17" s="215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</row>
    <row r="18" spans="1:12">
      <c r="A18" s="215"/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</row>
    <row r="19" spans="1:12">
      <c r="A19" s="215"/>
      <c r="B19" s="215"/>
      <c r="C19" s="215"/>
      <c r="D19" s="215"/>
      <c r="E19" s="215"/>
      <c r="F19" s="215"/>
      <c r="G19" s="215"/>
      <c r="H19" s="215"/>
      <c r="I19" s="215"/>
      <c r="J19" s="215"/>
      <c r="K19" s="215"/>
      <c r="L19" s="215"/>
    </row>
    <row r="20" spans="1:12">
      <c r="A20" s="215"/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</row>
    <row r="21" spans="1:12">
      <c r="A21" s="215"/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5"/>
    </row>
    <row r="22" spans="1:12">
      <c r="A22" s="215"/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</row>
    <row r="23" spans="1:12">
      <c r="A23" s="215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</row>
    <row r="24" spans="1:12">
      <c r="A24" s="215"/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</row>
    <row r="25" spans="1:12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</row>
    <row r="26" spans="1:12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</row>
    <row r="27" spans="1:12">
      <c r="A27" s="215"/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</row>
    <row r="28" spans="1:12">
      <c r="A28" s="215"/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</row>
    <row r="29" spans="1:12">
      <c r="A29" s="215"/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</row>
    <row r="30" spans="1:12">
      <c r="A30" s="215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</row>
    <row r="31" spans="1:12">
      <c r="A31" s="215"/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</row>
    <row r="32" spans="1:12">
      <c r="A32" s="215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</row>
    <row r="33" spans="1:12">
      <c r="A33" s="215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</row>
    <row r="34" spans="1:12">
      <c r="A34" s="215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5" spans="1:12">
      <c r="A35" s="215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</row>
    <row r="36" spans="1:12" ht="18.75">
      <c r="A36" s="215"/>
      <c r="B36" s="227" t="s">
        <v>501</v>
      </c>
      <c r="C36" s="215"/>
      <c r="D36" s="215"/>
      <c r="E36" s="215"/>
      <c r="F36" s="215"/>
      <c r="G36" s="215"/>
      <c r="H36" s="215"/>
      <c r="I36" s="242" t="s">
        <v>511</v>
      </c>
      <c r="J36" s="215"/>
      <c r="K36" s="215"/>
      <c r="L36" s="215"/>
    </row>
    <row r="37" spans="1:12">
      <c r="A37" s="215"/>
      <c r="B37" s="229"/>
      <c r="C37" s="230" t="s">
        <v>502</v>
      </c>
      <c r="D37" s="230" t="s">
        <v>145</v>
      </c>
      <c r="E37" s="230" t="s">
        <v>503</v>
      </c>
      <c r="F37" s="230" t="s">
        <v>504</v>
      </c>
      <c r="G37" s="230" t="s">
        <v>505</v>
      </c>
      <c r="H37" s="247"/>
      <c r="I37" s="245" t="s">
        <v>142</v>
      </c>
      <c r="J37" s="244" t="s">
        <v>496</v>
      </c>
      <c r="K37" s="248" t="s">
        <v>512</v>
      </c>
      <c r="L37" s="215"/>
    </row>
    <row r="38" spans="1:12">
      <c r="A38" s="215"/>
      <c r="B38" s="229"/>
      <c r="C38" s="231" t="s">
        <v>506</v>
      </c>
      <c r="D38" s="232">
        <f ca="1">SUMIFS('AR Data'!G2:G35,'AR Data'!I2:I35,"Current")</f>
        <v>0</v>
      </c>
      <c r="E38" s="233">
        <f ca="1">COUNTIFS('AR Data'!I2:I35,"Current")</f>
        <v>0</v>
      </c>
      <c r="F38" s="234">
        <f ca="1">IF(D42=0,0,D38/D42)</f>
        <v>0</v>
      </c>
      <c r="G38" s="235">
        <f ca="1">IFERROR(AVERAGEIFS('AR Data'!H2:H35,'AR Data'!I2:I35,"Current"),0)</f>
        <v>0</v>
      </c>
      <c r="H38" s="247"/>
      <c r="I38" s="246" t="str">
        <f>'AR Data'!M3</f>
        <v>Jun-25</v>
      </c>
      <c r="J38" s="243">
        <f>'AR Data'!P3</f>
        <v>124.81751824817519</v>
      </c>
      <c r="K38" s="249">
        <v>45</v>
      </c>
      <c r="L38" s="215"/>
    </row>
    <row r="39" spans="1:12">
      <c r="A39" s="215"/>
      <c r="B39" s="229"/>
      <c r="C39" s="231" t="s">
        <v>507</v>
      </c>
      <c r="D39" s="232">
        <f ca="1">SUMIFS('AR Data'!G2:G35,'AR Data'!I2:I35,"31-60")</f>
        <v>2689000</v>
      </c>
      <c r="E39" s="233">
        <f ca="1">COUNTIFS('AR Data'!I2:I35,"31-60")</f>
        <v>12</v>
      </c>
      <c r="F39" s="234">
        <f ca="1">IF(D42=0,0,D39/D42)</f>
        <v>0.48930943499226642</v>
      </c>
      <c r="G39" s="235">
        <f ca="1">IFERROR(AVERAGEIFS('AR Data'!H2:H35,'AR Data'!I2:I35,"31-60"),0)</f>
        <v>43.166666666666664</v>
      </c>
      <c r="H39" s="247"/>
      <c r="I39" s="246" t="str">
        <f>'AR Data'!M4</f>
        <v>Jul-25</v>
      </c>
      <c r="J39" s="243">
        <f>'AR Data'!P4</f>
        <v>123.38028169014083</v>
      </c>
      <c r="K39" s="249">
        <v>45</v>
      </c>
      <c r="L39" s="215"/>
    </row>
    <row r="40" spans="1:12">
      <c r="A40" s="215"/>
      <c r="B40" s="229"/>
      <c r="C40" s="231" t="s">
        <v>508</v>
      </c>
      <c r="D40" s="232">
        <f ca="1">SUMIFS('AR Data'!G2:G35,'AR Data'!I2:I35,"61-90")</f>
        <v>1351500</v>
      </c>
      <c r="E40" s="233">
        <f ca="1">COUNTIFS('AR Data'!I2:I35,"61-90")</f>
        <v>7</v>
      </c>
      <c r="F40" s="234">
        <f ca="1">IF(D42=0,0,D40/D42)</f>
        <v>0.24592848694386316</v>
      </c>
      <c r="G40" s="235">
        <f ca="1">IFERROR(AVERAGEIFS('AR Data'!H2:H35,'AR Data'!I2:I35,"61-90"),0)</f>
        <v>71.571428571428569</v>
      </c>
      <c r="H40" s="247"/>
      <c r="I40" s="246" t="str">
        <f>'AR Data'!M5</f>
        <v>Aug-25</v>
      </c>
      <c r="J40" s="243">
        <f>'AR Data'!P5</f>
        <v>131.25</v>
      </c>
      <c r="K40" s="249">
        <v>45</v>
      </c>
      <c r="L40" s="215"/>
    </row>
    <row r="41" spans="1:12">
      <c r="A41" s="215"/>
      <c r="B41" s="229"/>
      <c r="C41" s="231" t="s">
        <v>509</v>
      </c>
      <c r="D41" s="232">
        <f ca="1">SUMIFS('AR Data'!G2:G35,'AR Data'!I2:I35,"90+")</f>
        <v>1455000</v>
      </c>
      <c r="E41" s="233">
        <f ca="1">COUNTIFS('AR Data'!I2:I35,"90+")</f>
        <v>11</v>
      </c>
      <c r="F41" s="234">
        <f ca="1">IF(D42=0,0,D41/D42)</f>
        <v>0.26476207806387042</v>
      </c>
      <c r="G41" s="235">
        <f ca="1">IFERROR(AVERAGEIFS('AR Data'!H2:H35,'AR Data'!I2:I35,"90+"),0)</f>
        <v>229.36363636363637</v>
      </c>
      <c r="H41" s="247"/>
      <c r="I41" s="246" t="str">
        <f>'AR Data'!M6</f>
        <v>Sep-25</v>
      </c>
      <c r="J41" s="243">
        <f>'AR Data'!P6</f>
        <v>145.89928057553956</v>
      </c>
      <c r="K41" s="249">
        <v>45</v>
      </c>
      <c r="L41" s="215"/>
    </row>
    <row r="42" spans="1:12">
      <c r="A42" s="215"/>
      <c r="B42" s="229"/>
      <c r="C42" s="236" t="s">
        <v>510</v>
      </c>
      <c r="D42" s="237">
        <f ca="1">SUM(D38:D41)</f>
        <v>5495500</v>
      </c>
      <c r="E42" s="238">
        <f ca="1">SUM(E38:E41)</f>
        <v>30</v>
      </c>
      <c r="F42" s="239">
        <f ca="1">SUM(F38:F41)</f>
        <v>1</v>
      </c>
      <c r="G42" s="240">
        <f ca="1">IFERROR(AVERAGEIFS('AR Data'!H2:H35,'AR Data'!J2:J35,"&lt;&gt;Paid"),0)</f>
        <v>118.06666666666666</v>
      </c>
      <c r="H42" s="247"/>
      <c r="I42" s="246" t="str">
        <f>'AR Data'!M7</f>
        <v>Oct-25</v>
      </c>
      <c r="J42" s="243">
        <f>'AR Data'!P7</f>
        <v>125.34246575342466</v>
      </c>
      <c r="K42" s="249">
        <v>45</v>
      </c>
      <c r="L42" s="215"/>
    </row>
    <row r="43" spans="1:12">
      <c r="A43" s="215"/>
      <c r="B43" s="215"/>
      <c r="C43" s="215"/>
      <c r="D43" s="215"/>
      <c r="E43" s="215"/>
      <c r="F43" s="215"/>
      <c r="G43" s="215"/>
      <c r="H43" s="215"/>
      <c r="I43" s="246" t="str">
        <f>'AR Data'!M8</f>
        <v>Nov-25</v>
      </c>
      <c r="J43" s="243">
        <f>'AR Data'!P8</f>
        <v>129.26174496644296</v>
      </c>
      <c r="K43" s="249">
        <v>45</v>
      </c>
      <c r="L43" s="215"/>
    </row>
    <row r="44" spans="1:12" ht="18.75">
      <c r="A44" s="215"/>
      <c r="B44" s="242" t="s">
        <v>525</v>
      </c>
      <c r="C44" s="215"/>
      <c r="D44" s="215"/>
      <c r="E44" s="215"/>
      <c r="F44" s="215"/>
      <c r="G44" s="215"/>
      <c r="H44" s="215"/>
      <c r="I44" s="246" t="str">
        <f>'AR Data'!M9</f>
        <v>Dec-25</v>
      </c>
      <c r="J44" s="243">
        <f>'AR Data'!P9</f>
        <v>139.73684210526315</v>
      </c>
      <c r="K44" s="249">
        <v>45</v>
      </c>
      <c r="L44" s="215"/>
    </row>
    <row r="45" spans="1:12">
      <c r="A45" s="215"/>
      <c r="B45" s="261" t="s">
        <v>436</v>
      </c>
      <c r="C45" s="244" t="s">
        <v>494</v>
      </c>
      <c r="D45" s="244" t="s">
        <v>504</v>
      </c>
      <c r="E45" s="248" t="s">
        <v>526</v>
      </c>
      <c r="F45" s="215"/>
      <c r="G45" s="215"/>
      <c r="H45" s="215"/>
      <c r="I45" s="246" t="str">
        <f>'AR Data'!M10</f>
        <v>Jan-26</v>
      </c>
      <c r="J45" s="243">
        <f>'AR Data'!P10</f>
        <v>157.71428571428572</v>
      </c>
      <c r="K45" s="249">
        <v>45</v>
      </c>
      <c r="L45" s="215"/>
    </row>
    <row r="46" spans="1:12">
      <c r="A46" s="215"/>
      <c r="B46" s="262" t="s">
        <v>469</v>
      </c>
      <c r="C46" s="256">
        <f ca="1">SUMIFS('AR Data'!G2:G35,'AR Data'!B2:B35,B46,'AR Data'!J2:J35,"&lt;&gt;Paid")</f>
        <v>665000</v>
      </c>
      <c r="D46" s="257">
        <f t="shared" ref="D46:D58" ca="1" si="0">IF($C$59=0,0,C46/$C$59)</f>
        <v>0.12100809753434628</v>
      </c>
      <c r="E46" s="264" t="str">
        <f t="shared" ref="E46:E59" ca="1" si="1">IF(D46&gt;=0.15,"⚠ High",IF(D46&gt;=0.1,"Medium","Low"))</f>
        <v>Medium</v>
      </c>
      <c r="F46" s="215"/>
      <c r="G46" s="215"/>
      <c r="H46" s="215"/>
      <c r="I46" s="246" t="str">
        <f>'AR Data'!M11</f>
        <v>Feb-26</v>
      </c>
      <c r="J46" s="243">
        <f>'AR Data'!P11</f>
        <v>148.69565217391303</v>
      </c>
      <c r="K46" s="249">
        <v>45</v>
      </c>
      <c r="L46" s="215"/>
    </row>
    <row r="47" spans="1:12">
      <c r="A47" s="215"/>
      <c r="B47" s="262" t="s">
        <v>476</v>
      </c>
      <c r="C47" s="256">
        <f ca="1">SUMIFS('AR Data'!G2:G35,'AR Data'!B2:B35,B47,'AR Data'!J2:J35,"&lt;&gt;Paid")</f>
        <v>912000</v>
      </c>
      <c r="D47" s="257">
        <f t="shared" ca="1" si="0"/>
        <v>0.16595396233281776</v>
      </c>
      <c r="E47" s="264" t="str">
        <f t="shared" ca="1" si="1"/>
        <v>⚠ High</v>
      </c>
      <c r="F47" s="215"/>
      <c r="G47" s="215"/>
      <c r="H47" s="215"/>
      <c r="I47" s="246" t="str">
        <f>'AR Data'!M12</f>
        <v>Mar-26</v>
      </c>
      <c r="J47" s="243">
        <f>'AR Data'!P12</f>
        <v>157.34265734265736</v>
      </c>
      <c r="K47" s="249">
        <v>45</v>
      </c>
      <c r="L47" s="215"/>
    </row>
    <row r="48" spans="1:12">
      <c r="A48" s="215"/>
      <c r="B48" s="262" t="s">
        <v>455</v>
      </c>
      <c r="C48" s="256">
        <f ca="1">SUMIFS('AR Data'!G2:G35,'AR Data'!B2:B35,B48,'AR Data'!J2:J35,"&lt;&gt;Paid")</f>
        <v>698000</v>
      </c>
      <c r="D48" s="257">
        <f t="shared" ca="1" si="0"/>
        <v>0.12701301064507325</v>
      </c>
      <c r="E48" s="264" t="str">
        <f t="shared" ca="1" si="1"/>
        <v>Medium</v>
      </c>
      <c r="F48" s="215"/>
      <c r="G48" s="215"/>
      <c r="H48" s="215"/>
      <c r="I48" s="246" t="str">
        <f>'AR Data'!M13</f>
        <v>Apr-26</v>
      </c>
      <c r="J48" s="243">
        <f>'AR Data'!P13</f>
        <v>157.70270270270271</v>
      </c>
      <c r="K48" s="249">
        <v>45</v>
      </c>
      <c r="L48" s="215"/>
    </row>
    <row r="49" spans="1:12">
      <c r="A49" s="215"/>
      <c r="B49" s="262" t="s">
        <v>447</v>
      </c>
      <c r="C49" s="256">
        <f ca="1">SUMIFS('AR Data'!G2:G35,'AR Data'!B2:B35,B49,'AR Data'!J2:J35,"&lt;&gt;Paid")</f>
        <v>594500</v>
      </c>
      <c r="D49" s="257">
        <f t="shared" ca="1" si="0"/>
        <v>0.10817941952506596</v>
      </c>
      <c r="E49" s="264" t="str">
        <f t="shared" ca="1" si="1"/>
        <v>Medium</v>
      </c>
      <c r="F49" s="215"/>
      <c r="G49" s="215"/>
      <c r="H49" s="215"/>
      <c r="I49" s="246" t="str">
        <f>'AR Data'!M14</f>
        <v>May-26</v>
      </c>
      <c r="J49" s="243">
        <f ca="1">'AR Data'!P14</f>
        <v>227.4</v>
      </c>
      <c r="K49" s="249">
        <v>45</v>
      </c>
      <c r="L49" s="215"/>
    </row>
    <row r="50" spans="1:12">
      <c r="A50" s="215"/>
      <c r="B50" s="262" t="s">
        <v>462</v>
      </c>
      <c r="C50" s="256">
        <f ca="1">SUMIFS('AR Data'!G2:G35,'AR Data'!B2:B35,B50,'AR Data'!J2:J35,"&lt;&gt;Paid")</f>
        <v>575000</v>
      </c>
      <c r="D50" s="257">
        <f t="shared" ca="1" si="0"/>
        <v>0.10463106177781821</v>
      </c>
      <c r="E50" s="264" t="str">
        <f t="shared" ca="1" si="1"/>
        <v>Medium</v>
      </c>
      <c r="F50" s="215"/>
      <c r="G50" s="215"/>
      <c r="H50" s="215"/>
      <c r="I50" s="215"/>
      <c r="J50" s="215"/>
      <c r="K50" s="215"/>
      <c r="L50" s="215"/>
    </row>
    <row r="51" spans="1:12" ht="18.75">
      <c r="A51" s="215"/>
      <c r="B51" s="262" t="s">
        <v>486</v>
      </c>
      <c r="C51" s="256">
        <f ca="1">SUMIFS('AR Data'!G2:G35,'AR Data'!B2:B35,B51,'AR Data'!J2:J35,"&lt;&gt;Paid")</f>
        <v>495000</v>
      </c>
      <c r="D51" s="257">
        <f t="shared" ca="1" si="0"/>
        <v>9.0073696660904382E-2</v>
      </c>
      <c r="E51" s="264" t="str">
        <f t="shared" ca="1" si="1"/>
        <v>Low</v>
      </c>
      <c r="F51" s="215"/>
      <c r="G51" s="215"/>
      <c r="H51" s="215"/>
      <c r="I51" s="250" t="s">
        <v>530</v>
      </c>
      <c r="J51" s="215"/>
      <c r="K51" s="215"/>
      <c r="L51" s="215"/>
    </row>
    <row r="52" spans="1:12">
      <c r="A52" s="215"/>
      <c r="B52" s="262" t="s">
        <v>490</v>
      </c>
      <c r="C52" s="256">
        <f ca="1">SUMIFS('AR Data'!G2:G35,'AR Data'!B2:B35,B52,'AR Data'!J2:J35,"&lt;&gt;Paid")</f>
        <v>360000</v>
      </c>
      <c r="D52" s="257">
        <f t="shared" ca="1" si="0"/>
        <v>6.550814302611227E-2</v>
      </c>
      <c r="E52" s="264" t="str">
        <f t="shared" ca="1" si="1"/>
        <v>Low</v>
      </c>
      <c r="F52" s="215"/>
      <c r="G52" s="215"/>
      <c r="H52" s="215"/>
      <c r="I52" s="261" t="s">
        <v>531</v>
      </c>
      <c r="J52" s="258" t="s">
        <v>436</v>
      </c>
      <c r="K52" s="248" t="s">
        <v>441</v>
      </c>
      <c r="L52" s="215"/>
    </row>
    <row r="53" spans="1:12">
      <c r="A53" s="215"/>
      <c r="B53" s="262" t="s">
        <v>451</v>
      </c>
      <c r="C53" s="256">
        <f ca="1">SUMIFS('AR Data'!G2:G35,'AR Data'!B2:B35,B53,'AR Data'!J2:J35,"&lt;&gt;Paid")</f>
        <v>266000</v>
      </c>
      <c r="D53" s="257">
        <f t="shared" ca="1" si="0"/>
        <v>4.8403239013738511E-2</v>
      </c>
      <c r="E53" s="264" t="str">
        <f t="shared" ca="1" si="1"/>
        <v>Low</v>
      </c>
      <c r="F53" s="215"/>
      <c r="G53" s="215"/>
      <c r="H53" s="215"/>
      <c r="I53" s="262" t="str" cm="1">
        <f t="array" aca="1" ref="I53" ca="1">IFERROR(INDEX('AR Data'!A2:A35,MATCH(LARGE(IF('AR Data'!J2:J35="Past Due",'AR Data'!G2:G35),1),'AR Data'!G2:G35,0)),"")</f>
        <v>INV-1017</v>
      </c>
      <c r="J53" s="255" t="str" cm="1">
        <f t="array" aca="1" ref="J53" ca="1">IFERROR(INDEX('AR Data'!B2:B35,MATCH(LARGE(IF('AR Data'!J2:J35="Past Due",'AR Data'!G2:G35),1),'AR Data'!G2:G35,0)),"")</f>
        <v>GlobalTech Solutions</v>
      </c>
      <c r="K53" s="265" cm="1">
        <f t="array" aca="1" ref="K53" ca="1">IFERROR(LARGE(IF('AR Data'!J2:J35="Past Due",'AR Data'!G2:G35),1),"")</f>
        <v>520000</v>
      </c>
      <c r="L53" s="215"/>
    </row>
    <row r="54" spans="1:12">
      <c r="A54" s="215"/>
      <c r="B54" s="262" t="s">
        <v>480</v>
      </c>
      <c r="C54" s="256">
        <f ca="1">SUMIFS('AR Data'!G2:G35,'AR Data'!B2:B35,B54,'AR Data'!J2:J35,"&lt;&gt;Paid")</f>
        <v>279000</v>
      </c>
      <c r="D54" s="257">
        <f t="shared" ca="1" si="0"/>
        <v>5.076881084523701E-2</v>
      </c>
      <c r="E54" s="264" t="str">
        <f t="shared" ca="1" si="1"/>
        <v>Low</v>
      </c>
      <c r="F54" s="215"/>
      <c r="G54" s="215"/>
      <c r="H54" s="215"/>
      <c r="I54" s="262" t="str" cm="1">
        <f t="array" aca="1" ref="I54" ca="1">IFERROR(INDEX('AR Data'!A2:A35,MATCH(LARGE(IF('AR Data'!J2:J35="Past Due",'AR Data'!G2:G35),2),'AR Data'!G2:G35,0)),"")</f>
        <v>INV-1022</v>
      </c>
      <c r="J54" s="255" t="str" cm="1">
        <f t="array" aca="1" ref="J54" ca="1">IFERROR(INDEX('AR Data'!B2:B35,MATCH(LARGE(IF('AR Data'!J2:J35="Past Due",'AR Data'!G2:G35),2),'AR Data'!G2:G35,0)),"")</f>
        <v>Ironclad Manufacturing</v>
      </c>
      <c r="K54" s="265" cm="1">
        <f t="array" aca="1" ref="K54" ca="1">IFERROR(LARGE(IF('AR Data'!J2:J35="Past Due",'AR Data'!G2:G35),2),"")</f>
        <v>445000</v>
      </c>
      <c r="L54" s="215"/>
    </row>
    <row r="55" spans="1:12">
      <c r="A55" s="215"/>
      <c r="B55" s="262" t="s">
        <v>459</v>
      </c>
      <c r="C55" s="256">
        <f ca="1">SUMIFS('AR Data'!G2:G35,'AR Data'!B2:B35,B55,'AR Data'!J2:J35,"&lt;&gt;Paid")</f>
        <v>201500</v>
      </c>
      <c r="D55" s="257">
        <f t="shared" ca="1" si="0"/>
        <v>3.6666363388226729E-2</v>
      </c>
      <c r="E55" s="264" t="str">
        <f t="shared" ca="1" si="1"/>
        <v>Low</v>
      </c>
      <c r="F55" s="215"/>
      <c r="G55" s="215"/>
      <c r="H55" s="215"/>
      <c r="I55" s="262" t="str" cm="1">
        <f t="array" aca="1" ref="I55" ca="1">IFERROR(INDEX('AR Data'!A2:A35,MATCH(LARGE(IF('AR Data'!J2:J35="Past Due",'AR Data'!G2:G35),3),'AR Data'!G2:G35,0)),"")</f>
        <v>INV-1007</v>
      </c>
      <c r="J55" s="255" t="str" cm="1">
        <f t="array" aca="1" ref="J55" ca="1">IFERROR(INDEX('AR Data'!B2:B35,MATCH(LARGE(IF('AR Data'!J2:J35="Past Due",'AR Data'!G2:G35),3),'AR Data'!G2:G35,0)),"")</f>
        <v>Cascade Industries</v>
      </c>
      <c r="K55" s="265" cm="1">
        <f t="array" aca="1" ref="K55" ca="1">IFERROR(LARGE(IF('AR Data'!J2:J35="Past Due",'AR Data'!G2:G35),3),"")</f>
        <v>425000</v>
      </c>
      <c r="L55" s="215"/>
    </row>
    <row r="56" spans="1:12">
      <c r="A56" s="215"/>
      <c r="B56" s="262" t="s">
        <v>473</v>
      </c>
      <c r="C56" s="256">
        <f ca="1">SUMIFS('AR Data'!G2:G35,'AR Data'!B2:B35,B56,'AR Data'!J2:J35,"&lt;&gt;Paid")</f>
        <v>198000</v>
      </c>
      <c r="D56" s="257">
        <f t="shared" ca="1" si="0"/>
        <v>3.602947866436175E-2</v>
      </c>
      <c r="E56" s="264" t="str">
        <f t="shared" ca="1" si="1"/>
        <v>Low</v>
      </c>
      <c r="F56" s="215"/>
      <c r="G56" s="215"/>
      <c r="H56" s="215"/>
      <c r="I56" s="262" t="str" cm="1">
        <f t="array" aca="1" ref="I56" ca="1">IFERROR(INDEX('AR Data'!A2:A35,MATCH(LARGE(IF('AR Data'!J2:J35="Past Due",'AR Data'!G2:G35),4),'AR Data'!G2:G35,0)),"")</f>
        <v>INV-1023</v>
      </c>
      <c r="J56" s="255" t="str" cm="1">
        <f t="array" aca="1" ref="J56" ca="1">IFERROR(INDEX('AR Data'!B2:B35,MATCH(LARGE(IF('AR Data'!J2:J35="Past Due",'AR Data'!G2:G35),4),'AR Data'!G2:G35,0)),"")</f>
        <v>Ironclad Manufacturing</v>
      </c>
      <c r="K56" s="265" cm="1">
        <f t="array" aca="1" ref="K56" ca="1">IFERROR(LARGE(IF('AR Data'!J2:J35="Past Due",'AR Data'!G2:G35),4),"")</f>
        <v>367000</v>
      </c>
      <c r="L56" s="215"/>
    </row>
    <row r="57" spans="1:12">
      <c r="A57" s="215"/>
      <c r="B57" s="262" t="s">
        <v>483</v>
      </c>
      <c r="C57" s="256">
        <f ca="1">SUMIFS('AR Data'!G2:G35,'AR Data'!B2:B35,B57,'AR Data'!J2:J35,"&lt;&gt;Paid")</f>
        <v>173500</v>
      </c>
      <c r="D57" s="257">
        <f t="shared" ca="1" si="0"/>
        <v>3.1571285597306889E-2</v>
      </c>
      <c r="E57" s="264" t="str">
        <f t="shared" ca="1" si="1"/>
        <v>Low</v>
      </c>
      <c r="F57" s="215"/>
      <c r="G57" s="215"/>
      <c r="H57" s="215"/>
      <c r="I57" s="262" t="str" cm="1">
        <f t="array" aca="1" ref="I57" ca="1">IFERROR(INDEX('AR Data'!A2:A35,MATCH(LARGE(IF('AR Data'!J2:J35="Past Due",'AR Data'!G2:G35),5),'AR Data'!G2:G35,0)),"")</f>
        <v>INV-1012</v>
      </c>
      <c r="J57" s="255" t="str" cm="1">
        <f t="array" aca="1" ref="J57" ca="1">IFERROR(INDEX('AR Data'!B2:B35,MATCH(LARGE(IF('AR Data'!J2:J35="Past Due",'AR Data'!G2:G35),5),'AR Data'!G2:G35,0)),"")</f>
        <v>Evergreen Health</v>
      </c>
      <c r="K57" s="265" cm="1">
        <f t="array" aca="1" ref="K57" ca="1">IFERROR(LARGE(IF('AR Data'!J2:J35="Past Due",'AR Data'!G2:G35),5),"")</f>
        <v>298000</v>
      </c>
      <c r="L57" s="215"/>
    </row>
    <row r="58" spans="1:12">
      <c r="A58" s="215"/>
      <c r="B58" s="262" t="s">
        <v>466</v>
      </c>
      <c r="C58" s="256">
        <f ca="1">SUMIFS('AR Data'!G2:G35,'AR Data'!B2:B35,B58,'AR Data'!J2:J35,"&lt;&gt;Paid")</f>
        <v>78000</v>
      </c>
      <c r="D58" s="257">
        <f t="shared" ca="1" si="0"/>
        <v>1.4193430988990993E-2</v>
      </c>
      <c r="E58" s="264" t="str">
        <f t="shared" ca="1" si="1"/>
        <v>Low</v>
      </c>
      <c r="F58" s="215"/>
      <c r="G58" s="215"/>
      <c r="H58" s="215"/>
      <c r="I58" s="215"/>
      <c r="J58" s="215"/>
      <c r="K58" s="215"/>
      <c r="L58" s="215"/>
    </row>
    <row r="59" spans="1:12">
      <c r="A59" s="215"/>
      <c r="B59" s="263" t="s">
        <v>510</v>
      </c>
      <c r="C59" s="259">
        <f ca="1">SUM(C46:C58)</f>
        <v>5495500</v>
      </c>
      <c r="D59" s="260">
        <f ca="1">SUM(D46:D58)</f>
        <v>1.0000000000000002</v>
      </c>
      <c r="E59" s="228" t="str">
        <f t="shared" ca="1" si="1"/>
        <v>⚠ High</v>
      </c>
      <c r="F59" s="215"/>
      <c r="G59" s="215"/>
      <c r="H59" s="215"/>
      <c r="I59" s="251" t="s">
        <v>527</v>
      </c>
      <c r="J59" s="252" cm="1">
        <f t="array" aca="1" ref="J59" ca="1">SUMPRODUCT(LARGE(C46:C58,{1,2,3}))/C59</f>
        <v>0.41397507051223731</v>
      </c>
      <c r="K59" s="215"/>
      <c r="L59" s="215"/>
    </row>
    <row r="60" spans="1:12">
      <c r="A60" s="215"/>
      <c r="B60" s="215"/>
      <c r="C60" s="215"/>
      <c r="D60" s="215"/>
      <c r="E60" s="215"/>
      <c r="F60" s="215"/>
      <c r="G60" s="215"/>
      <c r="H60" s="215"/>
      <c r="I60" s="251" t="s">
        <v>528</v>
      </c>
      <c r="J60" s="253" cm="1">
        <f t="array" aca="1" ref="J60" ca="1">SUMPRODUCT(LARGE(C46:C58,{1,2,3,4,5}))/C59</f>
        <v>0.62678555181512141</v>
      </c>
      <c r="K60" s="215"/>
      <c r="L60" s="215"/>
    </row>
    <row r="61" spans="1:12">
      <c r="A61" s="215"/>
      <c r="B61" s="215"/>
      <c r="C61" s="215"/>
      <c r="D61" s="215"/>
      <c r="E61" s="215"/>
      <c r="F61" s="215"/>
      <c r="G61" s="215"/>
      <c r="H61" s="215"/>
      <c r="I61" s="251" t="s">
        <v>529</v>
      </c>
      <c r="J61" s="254" cm="1">
        <f t="array" aca="1" ref="J61" ca="1">SUMPRODUCT((C46:C58/C59)^2)*10000</f>
        <v>1021.3210648250339</v>
      </c>
      <c r="K61" s="215"/>
      <c r="L61" s="215"/>
    </row>
    <row r="62" spans="1:12">
      <c r="A62" s="215"/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</row>
    <row r="63" spans="1:12">
      <c r="A63" s="215"/>
      <c r="B63" s="215"/>
      <c r="C63" s="215"/>
      <c r="D63" s="215"/>
      <c r="E63" s="215"/>
      <c r="F63" s="215"/>
      <c r="G63" s="215"/>
      <c r="H63" s="215"/>
      <c r="I63" s="215"/>
      <c r="J63" s="215"/>
      <c r="K63" s="215"/>
      <c r="L63" s="215"/>
    </row>
    <row r="64" spans="1:12">
      <c r="A64" s="215"/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</row>
    <row r="65" spans="1:12">
      <c r="A65" s="215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0707-5241-44B2-88A3-32E782196DED}">
  <sheetPr>
    <tabColor rgb="FF38434D"/>
  </sheetPr>
  <dimension ref="A1:P67"/>
  <sheetViews>
    <sheetView showGridLines="0" zoomScale="130" zoomScaleNormal="130" workbookViewId="0">
      <selection activeCell="Q17" sqref="Q17"/>
    </sheetView>
  </sheetViews>
  <sheetFormatPr defaultColWidth="8.85546875" defaultRowHeight="15"/>
  <cols>
    <col min="1" max="1" width="1.42578125" customWidth="1"/>
    <col min="2" max="2" width="1.140625" customWidth="1"/>
    <col min="3" max="3" width="18.7109375" bestFit="1" customWidth="1"/>
    <col min="4" max="5" width="15.42578125" customWidth="1"/>
    <col min="6" max="6" width="19.85546875" bestFit="1" customWidth="1"/>
    <col min="7" max="7" width="2.7109375" customWidth="1"/>
    <col min="8" max="9" width="15.42578125" customWidth="1"/>
    <col min="10" max="10" width="18.85546875" bestFit="1" customWidth="1"/>
    <col min="11" max="11" width="17.140625" bestFit="1" customWidth="1"/>
    <col min="12" max="12" width="2.7109375" customWidth="1"/>
    <col min="13" max="15" width="15.42578125" customWidth="1"/>
    <col min="16" max="16" width="1.42578125" customWidth="1"/>
  </cols>
  <sheetData>
    <row r="1" spans="1:16" ht="8.1" customHeight="1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spans="1:16" ht="33" customHeight="1" thickBot="1">
      <c r="A2" s="122"/>
      <c r="B2" s="135" t="s">
        <v>24</v>
      </c>
      <c r="C2" s="135" t="s">
        <v>536</v>
      </c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  <c r="O2" s="138" t="str">
        <f ca="1">"As of: "&amp;TEXT(TODAY(),"MMM DD, YYYY")</f>
        <v>As of: Jun 05, 2026</v>
      </c>
      <c r="P2" s="122"/>
    </row>
    <row r="3" spans="1:16" ht="6" customHeight="1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</row>
    <row r="4" spans="1:16" ht="21.95" customHeight="1">
      <c r="A4" s="122"/>
      <c r="B4" s="139" t="s">
        <v>115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1" t="str">
        <f>"Latest Actuals: "&amp;TEXT('Data Summary'!AH8,"MMM YYYY")</f>
        <v>Latest Actuals: Sep 2025</v>
      </c>
      <c r="P4" s="122"/>
    </row>
    <row r="5" spans="1:16" ht="8.1" customHeight="1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</row>
    <row r="6" spans="1:16" ht="14.1" customHeight="1">
      <c r="A6" s="122"/>
      <c r="B6" s="122"/>
      <c r="C6" s="126" t="s">
        <v>116</v>
      </c>
      <c r="D6" s="126" t="s">
        <v>117</v>
      </c>
      <c r="E6" s="126" t="s">
        <v>118</v>
      </c>
      <c r="F6" s="129" t="s">
        <v>119</v>
      </c>
      <c r="G6" s="122"/>
      <c r="H6" s="126" t="s">
        <v>120</v>
      </c>
      <c r="I6" s="126" t="s">
        <v>121</v>
      </c>
      <c r="J6" s="126" t="s">
        <v>122</v>
      </c>
      <c r="K6" s="129" t="s">
        <v>123</v>
      </c>
      <c r="L6" s="122"/>
      <c r="M6" s="126" t="s">
        <v>124</v>
      </c>
      <c r="N6" s="129" t="s">
        <v>125</v>
      </c>
      <c r="O6" s="122"/>
      <c r="P6" s="122"/>
    </row>
    <row r="7" spans="1:16" ht="30" customHeight="1">
      <c r="A7" s="122"/>
      <c r="B7" s="122"/>
      <c r="C7" s="127" cm="1">
        <f t="array" ref="C7">SUMPRODUCT(('Data Summary'!M3:AW3="Actual")*'Data Summary'!M13:AW13)</f>
        <v>1294745.56</v>
      </c>
      <c r="D7" s="127" cm="1">
        <f t="array" ref="D7">SUMPRODUCT(('Data Summary'!M3:AW3="Actual")*'Data Summary'!M15:AW15)</f>
        <v>118232.13999999998</v>
      </c>
      <c r="E7" s="132">
        <f>IFERROR(1-D7/C7, 0)</f>
        <v>0.90868310836300537</v>
      </c>
      <c r="F7" s="133" cm="1">
        <f t="array" ref="F7">C7-D7-SUMPRODUCT(('Data Summary'!M3:AW3="Actual")*(('Data Summary'!M17:AW17+'Data Summary'!M18:AW18+'Data Summary'!M19:AW19+'Data Summary'!M20:AW20+'Data Summary'!M21:AW21)))</f>
        <v>-3062766.7700000005</v>
      </c>
      <c r="G7" s="122"/>
      <c r="H7" s="127">
        <f>'Data Summary'!AH29</f>
        <v>893122.77</v>
      </c>
      <c r="I7" s="127">
        <f>'Data Summary'!AH28</f>
        <v>73923.66</v>
      </c>
      <c r="J7" s="127" cm="1">
        <f t="array" ref="J7">SUMPRODUCT(('Data Summary'!M3:AW3="Actual")*(('Data Summary'!M17:AW17+'Data Summary'!M18:AW18+'Data Summary'!M19:AW19+'Data Summary'!M20:AW20+'Data Summary'!M21:AW21)))</f>
        <v>4239280.1900000004</v>
      </c>
      <c r="K7" s="130">
        <f>'Data Summary'!AH35</f>
        <v>1530000</v>
      </c>
      <c r="L7" s="122"/>
      <c r="M7" s="142">
        <f>D11-C11</f>
        <v>215869.64</v>
      </c>
      <c r="N7" s="143">
        <f>IFERROR(ROUND(H7/M7,1),"N/A")</f>
        <v>4.0999999999999996</v>
      </c>
      <c r="O7" s="122"/>
      <c r="P7" s="122"/>
    </row>
    <row r="8" spans="1:16" ht="14.1" customHeight="1">
      <c r="A8" s="122"/>
      <c r="B8" s="122"/>
      <c r="C8" s="128" t="s">
        <v>126</v>
      </c>
      <c r="D8" s="128" t="s">
        <v>126</v>
      </c>
      <c r="E8" s="128" t="s">
        <v>127</v>
      </c>
      <c r="F8" s="131" t="s">
        <v>128</v>
      </c>
      <c r="G8" s="122"/>
      <c r="H8" s="128" t="s">
        <v>129</v>
      </c>
      <c r="I8" s="128" t="s">
        <v>129</v>
      </c>
      <c r="J8" s="128" t="s">
        <v>126</v>
      </c>
      <c r="K8" s="131" t="s">
        <v>129</v>
      </c>
      <c r="L8" s="122"/>
      <c r="M8" s="128" t="s">
        <v>130</v>
      </c>
      <c r="N8" s="131" t="s">
        <v>131</v>
      </c>
      <c r="O8" s="122"/>
      <c r="P8" s="122"/>
    </row>
    <row r="9" spans="1:16" ht="8.1" customHeight="1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</row>
    <row r="10" spans="1:16" ht="14.1" customHeight="1">
      <c r="A10" s="122"/>
      <c r="B10" s="122"/>
      <c r="C10" s="126" t="s">
        <v>132</v>
      </c>
      <c r="D10" s="126" t="s">
        <v>133</v>
      </c>
      <c r="E10" s="126" t="s">
        <v>134</v>
      </c>
      <c r="F10" s="129" t="s">
        <v>135</v>
      </c>
      <c r="G10" s="122"/>
      <c r="H10" s="126" t="s">
        <v>136</v>
      </c>
      <c r="I10" s="126" t="s">
        <v>137</v>
      </c>
      <c r="J10" s="126" t="s">
        <v>138</v>
      </c>
      <c r="K10" s="129" t="s">
        <v>139</v>
      </c>
      <c r="L10" s="122"/>
      <c r="M10" s="126" t="s">
        <v>140</v>
      </c>
      <c r="N10" s="129" t="s">
        <v>141</v>
      </c>
      <c r="O10" s="122"/>
      <c r="P10" s="122"/>
    </row>
    <row r="11" spans="1:16" ht="30" customHeight="1">
      <c r="A11" s="122"/>
      <c r="B11" s="122"/>
      <c r="C11" s="127">
        <f>'Data Summary'!AH13</f>
        <v>87314.98</v>
      </c>
      <c r="D11" s="134">
        <f>'Data Summary'!AH17+'Data Summary'!AH18+'Data Summary'!AH19+'Data Summary'!AH20+'Data Summary'!AH21</f>
        <v>303184.62</v>
      </c>
      <c r="E11" s="127">
        <f>'Data Summary'!AH19</f>
        <v>81610.000000000015</v>
      </c>
      <c r="F11" s="130">
        <f>'Data Summary'!AH17</f>
        <v>91625.69</v>
      </c>
      <c r="G11" s="122"/>
      <c r="H11" s="127">
        <f>'Data Summary'!AH20</f>
        <v>29392.09</v>
      </c>
      <c r="I11" s="127">
        <f>'Data Summary'!AH18</f>
        <v>90655.73</v>
      </c>
      <c r="J11" s="127">
        <f>'Data Summary'!AH21</f>
        <v>9901.11</v>
      </c>
      <c r="K11" s="130">
        <f>'Data Summary'!AH25</f>
        <v>21495.42</v>
      </c>
      <c r="L11" s="122"/>
      <c r="M11" s="132">
        <f>IFERROR('Data Summary'!AH15/'Data Summary'!AH13,0)</f>
        <v>9.4933881906632739E-2</v>
      </c>
      <c r="N11" s="144">
        <f>IFERROR(D11/C11,0)</f>
        <v>3.4723093334041879</v>
      </c>
      <c r="O11" s="122"/>
      <c r="P11" s="122"/>
    </row>
    <row r="12" spans="1:16" ht="14.1" customHeight="1">
      <c r="A12" s="122"/>
      <c r="B12" s="122"/>
      <c r="C12" s="128" t="str">
        <f>TEXT('Data Summary'!AH8,"MMM YYYY")</f>
        <v>Sep 2025</v>
      </c>
      <c r="D12" s="128" t="str">
        <f>TEXT('Data Summary'!AH8,"MMM YYYY")</f>
        <v>Sep 2025</v>
      </c>
      <c r="E12" s="128" t="str">
        <f>TEXT('Data Summary'!AH8,"MMM YYYY")</f>
        <v>Sep 2025</v>
      </c>
      <c r="F12" s="131" t="str">
        <f>TEXT('Data Summary'!AH8,"MMM YYYY")</f>
        <v>Sep 2025</v>
      </c>
      <c r="G12" s="122"/>
      <c r="H12" s="128" t="str">
        <f>TEXT('Data Summary'!AH8,"MMM YYYY")</f>
        <v>Sep 2025</v>
      </c>
      <c r="I12" s="128" t="str">
        <f>TEXT('Data Summary'!AH8,"MMM YYYY")</f>
        <v>Sep 2025</v>
      </c>
      <c r="J12" s="128" t="str">
        <f>TEXT('Data Summary'!AH8,"MMM YYYY")</f>
        <v>Sep 2025</v>
      </c>
      <c r="K12" s="131" t="str">
        <f>TEXT('Data Summary'!AH8,"MMM YYYY")</f>
        <v>Sep 2025</v>
      </c>
      <c r="L12" s="122"/>
      <c r="M12" s="128" t="str">
        <f>TEXT('Data Summary'!AH8,"MMM YYYY")</f>
        <v>Sep 2025</v>
      </c>
      <c r="N12" s="131" t="str">
        <f>TEXT('Data Summary'!AH8,"MMM YYYY")</f>
        <v>Sep 2025</v>
      </c>
      <c r="O12" s="122"/>
      <c r="P12" s="122"/>
    </row>
    <row r="13" spans="1:16" ht="12" customHeight="1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</row>
    <row r="14" spans="1:16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</row>
    <row r="15" spans="1:16">
      <c r="A15" s="122"/>
      <c r="B15" s="124"/>
      <c r="C15" s="122"/>
      <c r="D15" s="122"/>
      <c r="E15" s="122"/>
      <c r="F15" s="122"/>
      <c r="G15" s="122"/>
      <c r="H15" s="122"/>
      <c r="I15" s="124"/>
      <c r="J15" s="122"/>
      <c r="K15" s="122"/>
      <c r="L15" s="122"/>
      <c r="M15" s="122"/>
      <c r="N15" s="122"/>
      <c r="O15" s="122"/>
      <c r="P15" s="122"/>
    </row>
    <row r="16" spans="1:16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</row>
    <row r="17" spans="1:16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</row>
    <row r="18" spans="1:16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</row>
    <row r="19" spans="1:16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</row>
    <row r="20" spans="1:16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</row>
    <row r="21" spans="1:16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</row>
    <row r="22" spans="1:16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</row>
    <row r="23" spans="1:16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</row>
    <row r="24" spans="1:16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</row>
    <row r="25" spans="1:16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</row>
    <row r="26" spans="1:16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</row>
    <row r="27" spans="1:16">
      <c r="A27" s="122"/>
      <c r="B27" s="124"/>
      <c r="C27" s="122"/>
      <c r="D27" s="122"/>
      <c r="E27" s="122"/>
      <c r="F27" s="122"/>
      <c r="G27" s="122"/>
      <c r="H27" s="122"/>
      <c r="I27" s="124"/>
      <c r="J27" s="122"/>
      <c r="K27" s="122"/>
      <c r="L27" s="122"/>
      <c r="M27" s="122"/>
      <c r="N27" s="122"/>
      <c r="O27" s="122"/>
      <c r="P27" s="122"/>
    </row>
    <row r="28" spans="1:16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</row>
    <row r="29" spans="1:16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</row>
    <row r="30" spans="1:16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</row>
    <row r="31" spans="1:16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</row>
    <row r="32" spans="1:16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</row>
    <row r="33" spans="1:16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</row>
    <row r="34" spans="1:16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</row>
    <row r="35" spans="1:16">
      <c r="A35" s="122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122"/>
      <c r="P35" s="122"/>
    </row>
    <row r="36" spans="1:16">
      <c r="A36" s="122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122"/>
      <c r="P36" s="122"/>
    </row>
    <row r="37" spans="1:16">
      <c r="A37" s="122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122"/>
      <c r="P37" s="122"/>
    </row>
    <row r="38" spans="1:16">
      <c r="A38" s="122"/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122"/>
      <c r="P38" s="122"/>
    </row>
    <row r="39" spans="1:16">
      <c r="A39" s="122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122"/>
      <c r="P39" s="122"/>
    </row>
    <row r="40" spans="1:16">
      <c r="A40" s="122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122"/>
      <c r="P40" s="122"/>
    </row>
    <row r="41" spans="1:16">
      <c r="A41" s="122"/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122"/>
      <c r="P41" s="122"/>
    </row>
    <row r="42" spans="1:16">
      <c r="A42" s="122"/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122"/>
      <c r="P42" s="122"/>
    </row>
    <row r="43" spans="1:16">
      <c r="A43" s="122"/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122"/>
      <c r="P43" s="122"/>
    </row>
    <row r="44" spans="1:16">
      <c r="A44" s="122"/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122"/>
      <c r="P44" s="122"/>
    </row>
    <row r="45" spans="1:16">
      <c r="A45" s="122"/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122"/>
      <c r="P45" s="122"/>
    </row>
    <row r="46" spans="1:16">
      <c r="A46" s="122"/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122"/>
      <c r="P46" s="122"/>
    </row>
    <row r="47" spans="1:16">
      <c r="A47" s="122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122"/>
      <c r="P47" s="122"/>
    </row>
    <row r="48" spans="1:16">
      <c r="A48" s="122"/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122"/>
      <c r="P48" s="122"/>
    </row>
    <row r="49" spans="1:16">
      <c r="A49" s="122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122"/>
      <c r="P49" s="122"/>
    </row>
    <row r="50" spans="1:16">
      <c r="A50" s="122"/>
      <c r="B50" s="125" t="s">
        <v>142</v>
      </c>
      <c r="C50" s="122" t="str">
        <f>TEXT('Data Summary'!W8,"MMM YY")</f>
        <v>Oct 24</v>
      </c>
      <c r="D50" s="122" t="str">
        <f>TEXT('Data Summary'!X8,"MMM YY")</f>
        <v>Nov 24</v>
      </c>
      <c r="E50" s="122" t="str">
        <f>TEXT('Data Summary'!Y8,"MMM YY")</f>
        <v>Dec 24</v>
      </c>
      <c r="F50" s="122" t="str">
        <f>TEXT('Data Summary'!Z8,"MMM YY")</f>
        <v>Jan 25</v>
      </c>
      <c r="G50" s="122" t="str">
        <f>TEXT('Data Summary'!AA8,"MMM YY")</f>
        <v>Feb 25</v>
      </c>
      <c r="H50" s="122" t="str">
        <f>TEXT('Data Summary'!AB8,"MMM YY")</f>
        <v>Mar 25</v>
      </c>
      <c r="I50" s="122" t="str">
        <f>TEXT('Data Summary'!AC8,"MMM YY")</f>
        <v>Apr 25</v>
      </c>
      <c r="J50" s="122" t="str">
        <f>TEXT('Data Summary'!AD8,"MMM YY")</f>
        <v>May 25</v>
      </c>
      <c r="K50" s="122" t="str">
        <f>TEXT('Data Summary'!AE8,"MMM YY")</f>
        <v>Jun 25</v>
      </c>
      <c r="L50" s="122" t="str">
        <f>TEXT('Data Summary'!AF8,"MMM YY")</f>
        <v>Jul 25</v>
      </c>
      <c r="M50" s="122" t="str">
        <f>TEXT('Data Summary'!AG8,"MMM YY")</f>
        <v>Aug 25</v>
      </c>
      <c r="N50" s="122" t="str">
        <f>TEXT('Data Summary'!AH8,"MMM YY")</f>
        <v>Sep 25</v>
      </c>
      <c r="O50" s="122"/>
      <c r="P50" s="122"/>
    </row>
    <row r="51" spans="1:16">
      <c r="B51" s="122" t="s">
        <v>33</v>
      </c>
      <c r="C51" s="122">
        <f>'Data Summary'!W13</f>
        <v>51051</v>
      </c>
      <c r="D51" s="122">
        <f>'Data Summary'!X13</f>
        <v>53604</v>
      </c>
      <c r="E51" s="122">
        <f>'Data Summary'!Y13</f>
        <v>56284</v>
      </c>
      <c r="F51" s="122">
        <f>'Data Summary'!Z13</f>
        <v>59098.22</v>
      </c>
      <c r="G51" s="122">
        <f>'Data Summary'!AA13</f>
        <v>62053</v>
      </c>
      <c r="H51" s="122">
        <f>'Data Summary'!AB13</f>
        <v>65156</v>
      </c>
      <c r="I51" s="122">
        <f>'Data Summary'!AC13</f>
        <v>68414</v>
      </c>
      <c r="J51" s="122">
        <f>'Data Summary'!AD13</f>
        <v>71834</v>
      </c>
      <c r="K51" s="122">
        <f>'Data Summary'!AE13</f>
        <v>84125.97</v>
      </c>
      <c r="L51" s="122">
        <f>'Data Summary'!AF13</f>
        <v>79197.259999999995</v>
      </c>
      <c r="M51" s="122">
        <f>'Data Summary'!AG13</f>
        <v>83157.13</v>
      </c>
      <c r="N51" s="122">
        <f>'Data Summary'!AH13</f>
        <v>87314.98</v>
      </c>
      <c r="O51" s="215"/>
      <c r="P51" s="215"/>
    </row>
    <row r="52" spans="1:16">
      <c r="B52" s="122" t="s">
        <v>143</v>
      </c>
      <c r="C52" s="122">
        <f>'Data Summary'!W15</f>
        <v>4846.33</v>
      </c>
      <c r="D52" s="122">
        <f>'Data Summary'!X15</f>
        <v>5089.33</v>
      </c>
      <c r="E52" s="122">
        <f>'Data Summary'!Y15</f>
        <v>5343</v>
      </c>
      <c r="F52" s="122">
        <f>'Data Summary'!Z15</f>
        <v>5610.42</v>
      </c>
      <c r="G52" s="122">
        <f>'Data Summary'!AA15</f>
        <v>5890</v>
      </c>
      <c r="H52" s="122">
        <f>'Data Summary'!AB15</f>
        <v>6185</v>
      </c>
      <c r="I52" s="122">
        <f>'Data Summary'!AC15</f>
        <v>6495</v>
      </c>
      <c r="J52" s="122">
        <f>'Data Summary'!AD15</f>
        <v>6820</v>
      </c>
      <c r="K52" s="122">
        <f>'Data Summary'!AE15</f>
        <v>7460.48</v>
      </c>
      <c r="L52" s="122">
        <f>'Data Summary'!AF15</f>
        <v>6518.5</v>
      </c>
      <c r="M52" s="122">
        <f>'Data Summary'!AG15</f>
        <v>7894.43</v>
      </c>
      <c r="N52" s="122">
        <f>'Data Summary'!AH15</f>
        <v>8289.15</v>
      </c>
      <c r="O52" s="215"/>
      <c r="P52" s="215"/>
    </row>
    <row r="53" spans="1:16"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215"/>
      <c r="P53" s="215"/>
    </row>
    <row r="54" spans="1:16">
      <c r="B54" s="122" t="s">
        <v>144</v>
      </c>
      <c r="C54" s="122" t="s">
        <v>145</v>
      </c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215"/>
      <c r="P54" s="215"/>
    </row>
    <row r="55" spans="1:16">
      <c r="B55" s="122" t="s">
        <v>37</v>
      </c>
      <c r="C55" s="122">
        <f>'Data Summary'!AH17</f>
        <v>91625.69</v>
      </c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215"/>
      <c r="P55" s="215"/>
    </row>
    <row r="56" spans="1:16">
      <c r="B56" s="122" t="s">
        <v>146</v>
      </c>
      <c r="C56" s="122">
        <f>'Data Summary'!AH18</f>
        <v>90655.73</v>
      </c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215"/>
      <c r="P56" s="215"/>
    </row>
    <row r="57" spans="1:16">
      <c r="B57" s="122" t="s">
        <v>39</v>
      </c>
      <c r="C57" s="122">
        <f>'Data Summary'!AH19</f>
        <v>81610.000000000015</v>
      </c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215"/>
      <c r="P57" s="215"/>
    </row>
    <row r="58" spans="1:16">
      <c r="B58" s="122" t="s">
        <v>40</v>
      </c>
      <c r="C58" s="122">
        <f>'Data Summary'!AH20</f>
        <v>29392.09</v>
      </c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215"/>
      <c r="P58" s="215"/>
    </row>
    <row r="59" spans="1:16">
      <c r="B59" s="122" t="s">
        <v>41</v>
      </c>
      <c r="C59" s="122">
        <f>'Data Summary'!AH21</f>
        <v>9901.11</v>
      </c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215"/>
      <c r="P59" s="215"/>
    </row>
    <row r="60" spans="1:16"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215"/>
      <c r="P60" s="215"/>
    </row>
    <row r="61" spans="1:16">
      <c r="B61" s="122" t="s">
        <v>142</v>
      </c>
      <c r="C61" s="122" t="str">
        <f t="shared" ref="C61:N61" si="0">C50</f>
        <v>Oct 24</v>
      </c>
      <c r="D61" s="122" t="str">
        <f t="shared" si="0"/>
        <v>Nov 24</v>
      </c>
      <c r="E61" s="122" t="str">
        <f t="shared" si="0"/>
        <v>Dec 24</v>
      </c>
      <c r="F61" s="122" t="str">
        <f t="shared" si="0"/>
        <v>Jan 25</v>
      </c>
      <c r="G61" s="122" t="str">
        <f t="shared" si="0"/>
        <v>Feb 25</v>
      </c>
      <c r="H61" s="122" t="str">
        <f t="shared" si="0"/>
        <v>Mar 25</v>
      </c>
      <c r="I61" s="122" t="str">
        <f t="shared" si="0"/>
        <v>Apr 25</v>
      </c>
      <c r="J61" s="122" t="str">
        <f t="shared" si="0"/>
        <v>May 25</v>
      </c>
      <c r="K61" s="122" t="str">
        <f t="shared" si="0"/>
        <v>Jun 25</v>
      </c>
      <c r="L61" s="122" t="str">
        <f t="shared" si="0"/>
        <v>Jul 25</v>
      </c>
      <c r="M61" s="122" t="str">
        <f t="shared" si="0"/>
        <v>Aug 25</v>
      </c>
      <c r="N61" s="122" t="str">
        <f t="shared" si="0"/>
        <v>Sep 25</v>
      </c>
      <c r="O61" s="215"/>
      <c r="P61" s="215"/>
    </row>
    <row r="62" spans="1:16">
      <c r="B62" s="122" t="s">
        <v>50</v>
      </c>
      <c r="C62" s="122">
        <f>'Data Summary'!W29</f>
        <v>3066455.5</v>
      </c>
      <c r="D62" s="122">
        <f>'Data Summary'!X29</f>
        <v>2909186.5</v>
      </c>
      <c r="E62" s="122">
        <f>'Data Summary'!Y29</f>
        <v>2744982.5</v>
      </c>
      <c r="F62" s="122">
        <f>'Data Summary'!Z29</f>
        <v>2573511.48</v>
      </c>
      <c r="G62" s="122">
        <f>'Data Summary'!AA29</f>
        <v>2394437.4799999995</v>
      </c>
      <c r="H62" s="122">
        <f>'Data Summary'!AB29</f>
        <v>2207358.48</v>
      </c>
      <c r="I62" s="122">
        <f>'Data Summary'!AC29</f>
        <v>2011881.48</v>
      </c>
      <c r="J62" s="122">
        <f>'Data Summary'!AD29</f>
        <v>1807588.48</v>
      </c>
      <c r="K62" s="122">
        <f>'Data Summary'!AE29</f>
        <v>1594040.15</v>
      </c>
      <c r="L62" s="122">
        <f>'Data Summary'!AF29</f>
        <v>1370773.78</v>
      </c>
      <c r="M62" s="122">
        <f>'Data Summary'!AG29</f>
        <v>1137304.6599999999</v>
      </c>
      <c r="N62" s="122">
        <f>'Data Summary'!AH29</f>
        <v>893122.77</v>
      </c>
      <c r="O62" s="215"/>
      <c r="P62" s="215"/>
    </row>
    <row r="63" spans="1:16"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215"/>
      <c r="P63" s="215"/>
    </row>
    <row r="64" spans="1:16">
      <c r="B64" s="122" t="s">
        <v>142</v>
      </c>
      <c r="C64" s="122" t="str">
        <f t="shared" ref="C64:N64" si="1">C50</f>
        <v>Oct 24</v>
      </c>
      <c r="D64" s="122" t="str">
        <f t="shared" si="1"/>
        <v>Nov 24</v>
      </c>
      <c r="E64" s="122" t="str">
        <f t="shared" si="1"/>
        <v>Dec 24</v>
      </c>
      <c r="F64" s="122" t="str">
        <f t="shared" si="1"/>
        <v>Jan 25</v>
      </c>
      <c r="G64" s="122" t="str">
        <f t="shared" si="1"/>
        <v>Feb 25</v>
      </c>
      <c r="H64" s="122" t="str">
        <f t="shared" si="1"/>
        <v>Mar 25</v>
      </c>
      <c r="I64" s="122" t="str">
        <f t="shared" si="1"/>
        <v>Apr 25</v>
      </c>
      <c r="J64" s="122" t="str">
        <f t="shared" si="1"/>
        <v>May 25</v>
      </c>
      <c r="K64" s="122" t="str">
        <f t="shared" si="1"/>
        <v>Jun 25</v>
      </c>
      <c r="L64" s="122" t="str">
        <f t="shared" si="1"/>
        <v>Jul 25</v>
      </c>
      <c r="M64" s="122" t="str">
        <f t="shared" si="1"/>
        <v>Aug 25</v>
      </c>
      <c r="N64" s="122" t="str">
        <f t="shared" si="1"/>
        <v>Sep 25</v>
      </c>
      <c r="O64" s="215"/>
      <c r="P64" s="215"/>
    </row>
    <row r="65" spans="2:16">
      <c r="B65" s="122" t="s">
        <v>33</v>
      </c>
      <c r="C65" s="122">
        <f t="shared" ref="C65:N65" si="2">C51</f>
        <v>51051</v>
      </c>
      <c r="D65" s="122">
        <f t="shared" si="2"/>
        <v>53604</v>
      </c>
      <c r="E65" s="122">
        <f t="shared" si="2"/>
        <v>56284</v>
      </c>
      <c r="F65" s="122">
        <f t="shared" si="2"/>
        <v>59098.22</v>
      </c>
      <c r="G65" s="122">
        <f t="shared" si="2"/>
        <v>62053</v>
      </c>
      <c r="H65" s="122">
        <f t="shared" si="2"/>
        <v>65156</v>
      </c>
      <c r="I65" s="122">
        <f t="shared" si="2"/>
        <v>68414</v>
      </c>
      <c r="J65" s="122">
        <f t="shared" si="2"/>
        <v>71834</v>
      </c>
      <c r="K65" s="122">
        <f t="shared" si="2"/>
        <v>84125.97</v>
      </c>
      <c r="L65" s="122">
        <f t="shared" si="2"/>
        <v>79197.259999999995</v>
      </c>
      <c r="M65" s="122">
        <f t="shared" si="2"/>
        <v>83157.13</v>
      </c>
      <c r="N65" s="122">
        <f t="shared" si="2"/>
        <v>87314.98</v>
      </c>
      <c r="O65" s="215"/>
      <c r="P65" s="215"/>
    </row>
    <row r="66" spans="2:16">
      <c r="B66" s="122" t="s">
        <v>147</v>
      </c>
      <c r="C66" s="215">
        <f>'Data Summary'!W17+'Data Summary'!W18+'Data Summary'!W19+'Data Summary'!W20+'Data Summary'!W21</f>
        <v>177265.66999999998</v>
      </c>
      <c r="D66" s="215">
        <f>'Data Summary'!X17+'Data Summary'!X18+'Data Summary'!X19+'Data Summary'!X20+'Data Summary'!X21</f>
        <v>186128.66999999998</v>
      </c>
      <c r="E66" s="215">
        <f>'Data Summary'!Y17+'Data Summary'!Y18+'Data Summary'!Y19+'Data Summary'!Y20+'Data Summary'!Y21</f>
        <v>195434.5</v>
      </c>
      <c r="F66" s="215">
        <f>'Data Summary'!Z17+'Data Summary'!Z18+'Data Summary'!Z19+'Data Summary'!Z20+'Data Summary'!Z21</f>
        <v>205207.28999999998</v>
      </c>
      <c r="G66" s="215">
        <f>'Data Summary'!AA17+'Data Summary'!AA18+'Data Summary'!AA19+'Data Summary'!AA20+'Data Summary'!AA21</f>
        <v>215468</v>
      </c>
      <c r="H66" s="215">
        <f>'Data Summary'!AB17+'Data Summary'!AB18+'Data Summary'!AB19+'Data Summary'!AB20+'Data Summary'!AB21</f>
        <v>226242</v>
      </c>
      <c r="I66" s="215">
        <f>'Data Summary'!AC17+'Data Summary'!AC18+'Data Summary'!AC19+'Data Summary'!AC20+'Data Summary'!AC21</f>
        <v>237553</v>
      </c>
      <c r="J66" s="215">
        <f>'Data Summary'!AD17+'Data Summary'!AD18+'Data Summary'!AD19+'Data Summary'!AD20+'Data Summary'!AD21</f>
        <v>249432</v>
      </c>
      <c r="K66" s="215">
        <f>'Data Summary'!AE17+'Data Summary'!AE18+'Data Summary'!AE19+'Data Summary'!AE20+'Data Summary'!AE21</f>
        <v>262902.28000000003</v>
      </c>
      <c r="L66" s="215">
        <f>'Data Summary'!AF17+'Data Summary'!AF18+'Data Summary'!AF19+'Data Summary'!AF20+'Data Summary'!AF21</f>
        <v>274997.38999999996</v>
      </c>
      <c r="M66" s="215">
        <f>'Data Summary'!AG17+'Data Summary'!AG18+'Data Summary'!AG19+'Data Summary'!AG20+'Data Summary'!AG21</f>
        <v>288747.27</v>
      </c>
      <c r="N66" s="215">
        <f>'Data Summary'!AH17+'Data Summary'!AH18+'Data Summary'!AH19+'Data Summary'!AH20+'Data Summary'!AH21</f>
        <v>303184.62</v>
      </c>
      <c r="O66" s="215"/>
      <c r="P66" s="215"/>
    </row>
    <row r="67" spans="2:16"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C650-0018-0C4B-841B-509CB2C3018A}">
  <sheetPr>
    <tabColor rgb="FF6B7B8D"/>
  </sheetPr>
  <dimension ref="A1:R35"/>
  <sheetViews>
    <sheetView workbookViewId="0">
      <selection activeCell="F4" sqref="F4"/>
    </sheetView>
  </sheetViews>
  <sheetFormatPr defaultColWidth="11.42578125" defaultRowHeight="15"/>
  <cols>
    <col min="11" max="11" width="15.7109375" customWidth="1"/>
    <col min="14" max="14" width="12.28515625" bestFit="1" customWidth="1"/>
  </cols>
  <sheetData>
    <row r="1" spans="1:18">
      <c r="A1" s="217" t="s">
        <v>435</v>
      </c>
      <c r="B1" s="217" t="s">
        <v>436</v>
      </c>
      <c r="C1" s="217" t="s">
        <v>437</v>
      </c>
      <c r="D1" s="217" t="s">
        <v>438</v>
      </c>
      <c r="E1" s="217" t="s">
        <v>439</v>
      </c>
      <c r="F1" s="217" t="s">
        <v>440</v>
      </c>
      <c r="G1" s="217" t="s">
        <v>441</v>
      </c>
      <c r="H1" s="217" t="s">
        <v>442</v>
      </c>
      <c r="I1" s="217" t="s">
        <v>443</v>
      </c>
      <c r="J1" s="217" t="s">
        <v>444</v>
      </c>
      <c r="K1" s="217" t="s">
        <v>445</v>
      </c>
      <c r="M1" s="217" t="s">
        <v>493</v>
      </c>
      <c r="N1" s="216"/>
      <c r="O1" s="216"/>
      <c r="P1" s="216"/>
    </row>
    <row r="2" spans="1:18">
      <c r="A2" t="s">
        <v>446</v>
      </c>
      <c r="B2" t="s">
        <v>447</v>
      </c>
      <c r="C2" s="218">
        <v>46140</v>
      </c>
      <c r="D2" s="218">
        <v>46170</v>
      </c>
      <c r="E2" s="219">
        <v>187500</v>
      </c>
      <c r="F2" s="219">
        <v>0</v>
      </c>
      <c r="G2" s="219">
        <f>E2-F2</f>
        <v>187500</v>
      </c>
      <c r="H2" s="220">
        <f ca="1">IF(G2&gt;0,TODAY()-C2,0)</f>
        <v>38</v>
      </c>
      <c r="I2" t="str">
        <f ca="1">IF(G2=0,"Paid",IF(H2&lt;=30,"Current",IF(H2&lt;=60,"31-60",IF(H2&lt;=90,"61-90","90+"))))</f>
        <v>31-60</v>
      </c>
      <c r="J2" t="str">
        <f ca="1">IF(G2=0,"Paid",IF(H2&lt;=30,"Current","Past Due"))</f>
        <v>Past Due</v>
      </c>
      <c r="K2" s="219">
        <v>8450000</v>
      </c>
      <c r="M2" s="221" t="s">
        <v>142</v>
      </c>
      <c r="N2" s="221" t="s">
        <v>494</v>
      </c>
      <c r="O2" s="221" t="s">
        <v>495</v>
      </c>
      <c r="P2" s="221" t="s">
        <v>496</v>
      </c>
    </row>
    <row r="3" spans="1:18">
      <c r="A3" t="s">
        <v>448</v>
      </c>
      <c r="B3" t="s">
        <v>447</v>
      </c>
      <c r="C3" s="218">
        <v>46110</v>
      </c>
      <c r="D3" s="218">
        <v>46140</v>
      </c>
      <c r="E3" s="219">
        <v>245000</v>
      </c>
      <c r="F3" s="219">
        <v>0</v>
      </c>
      <c r="G3" s="219">
        <f t="shared" ref="G3:G35" si="0">E3-F3</f>
        <v>245000</v>
      </c>
      <c r="H3" s="220">
        <f t="shared" ref="H3:H35" ca="1" si="1">IF(G3&gt;0,TODAY()-C3,0)</f>
        <v>68</v>
      </c>
      <c r="I3" t="str">
        <f t="shared" ref="I3:I35" ca="1" si="2">IF(G3=0,"Paid",IF(H3&lt;=30,"Current",IF(H3&lt;=60,"31-60",IF(H3&lt;=90,"61-90","90+"))))</f>
        <v>61-90</v>
      </c>
      <c r="J3" t="str">
        <f t="shared" ref="J3:J35" ca="1" si="3">IF(G3=0,"Paid",IF(H3&lt;=30,"Current","Past Due"))</f>
        <v>Past Due</v>
      </c>
      <c r="M3" s="223" t="s">
        <v>513</v>
      </c>
      <c r="N3" s="219">
        <v>2850000</v>
      </c>
      <c r="O3" s="219">
        <v>685000</v>
      </c>
      <c r="P3" s="222">
        <f t="shared" ref="P3:P14" si="4">N3/O3*30</f>
        <v>124.81751824817519</v>
      </c>
    </row>
    <row r="4" spans="1:18">
      <c r="A4" t="s">
        <v>449</v>
      </c>
      <c r="B4" t="s">
        <v>447</v>
      </c>
      <c r="C4" s="218">
        <v>45990</v>
      </c>
      <c r="D4" s="218">
        <v>46020</v>
      </c>
      <c r="E4" s="219">
        <v>312000</v>
      </c>
      <c r="F4" s="219">
        <v>150000</v>
      </c>
      <c r="G4" s="219">
        <f t="shared" si="0"/>
        <v>162000</v>
      </c>
      <c r="H4" s="220">
        <f t="shared" ca="1" si="1"/>
        <v>188</v>
      </c>
      <c r="I4" t="str">
        <f t="shared" ca="1" si="2"/>
        <v>90+</v>
      </c>
      <c r="J4" t="str">
        <f t="shared" ca="1" si="3"/>
        <v>Past Due</v>
      </c>
      <c r="M4" s="223" t="s">
        <v>514</v>
      </c>
      <c r="N4" s="219">
        <v>2920000</v>
      </c>
      <c r="O4" s="219">
        <v>710000</v>
      </c>
      <c r="P4" s="222">
        <f t="shared" si="4"/>
        <v>123.38028169014083</v>
      </c>
      <c r="Q4" s="219">
        <v>685000</v>
      </c>
      <c r="R4" s="222">
        <f>P4/Q4*30</f>
        <v>5.4035159864295251E-3</v>
      </c>
    </row>
    <row r="5" spans="1:18">
      <c r="A5" t="s">
        <v>450</v>
      </c>
      <c r="B5" t="s">
        <v>451</v>
      </c>
      <c r="C5" s="218">
        <v>46135</v>
      </c>
      <c r="D5" s="218">
        <v>46165</v>
      </c>
      <c r="E5" s="219">
        <v>156000</v>
      </c>
      <c r="F5" s="219">
        <v>0</v>
      </c>
      <c r="G5" s="219">
        <f t="shared" si="0"/>
        <v>156000</v>
      </c>
      <c r="H5" s="220">
        <f t="shared" ca="1" si="1"/>
        <v>43</v>
      </c>
      <c r="I5" t="str">
        <f t="shared" ca="1" si="2"/>
        <v>31-60</v>
      </c>
      <c r="J5" t="str">
        <f t="shared" ca="1" si="3"/>
        <v>Past Due</v>
      </c>
      <c r="M5" s="223" t="s">
        <v>515</v>
      </c>
      <c r="N5" s="219">
        <v>3150000</v>
      </c>
      <c r="O5" s="219">
        <v>720000</v>
      </c>
      <c r="P5" s="222">
        <f t="shared" si="4"/>
        <v>131.25</v>
      </c>
      <c r="Q5" s="219">
        <v>710000</v>
      </c>
    </row>
    <row r="6" spans="1:18">
      <c r="A6" t="s">
        <v>452</v>
      </c>
      <c r="B6" t="s">
        <v>451</v>
      </c>
      <c r="C6" s="218">
        <v>46020</v>
      </c>
      <c r="D6" s="218">
        <v>46050</v>
      </c>
      <c r="E6" s="219">
        <v>89500</v>
      </c>
      <c r="F6" s="219">
        <v>89500</v>
      </c>
      <c r="G6" s="219">
        <f t="shared" si="0"/>
        <v>0</v>
      </c>
      <c r="H6" s="220">
        <f t="shared" ca="1" si="1"/>
        <v>0</v>
      </c>
      <c r="I6" t="str">
        <f t="shared" si="2"/>
        <v>Paid</v>
      </c>
      <c r="J6" t="str">
        <f t="shared" si="3"/>
        <v>Paid</v>
      </c>
      <c r="M6" s="223" t="s">
        <v>516</v>
      </c>
      <c r="N6" s="219">
        <v>3380000</v>
      </c>
      <c r="O6" s="219">
        <v>695000</v>
      </c>
      <c r="P6" s="222">
        <f t="shared" si="4"/>
        <v>145.89928057553956</v>
      </c>
      <c r="Q6" s="219">
        <v>720000</v>
      </c>
    </row>
    <row r="7" spans="1:18">
      <c r="A7" t="s">
        <v>453</v>
      </c>
      <c r="B7" t="s">
        <v>451</v>
      </c>
      <c r="C7" s="218">
        <v>45960</v>
      </c>
      <c r="D7" s="218">
        <v>45990</v>
      </c>
      <c r="E7" s="219">
        <v>210000</v>
      </c>
      <c r="F7" s="219">
        <v>100000</v>
      </c>
      <c r="G7" s="219">
        <f t="shared" si="0"/>
        <v>110000</v>
      </c>
      <c r="H7" s="220">
        <f t="shared" ca="1" si="1"/>
        <v>218</v>
      </c>
      <c r="I7" t="str">
        <f t="shared" ca="1" si="2"/>
        <v>90+</v>
      </c>
      <c r="J7" t="str">
        <f t="shared" ca="1" si="3"/>
        <v>Past Due</v>
      </c>
      <c r="M7" s="223" t="s">
        <v>517</v>
      </c>
      <c r="N7" s="219">
        <v>3050000</v>
      </c>
      <c r="O7" s="219">
        <v>730000</v>
      </c>
      <c r="P7" s="222">
        <f t="shared" si="4"/>
        <v>125.34246575342466</v>
      </c>
      <c r="Q7" s="219">
        <v>695000</v>
      </c>
    </row>
    <row r="8" spans="1:18">
      <c r="A8" t="s">
        <v>454</v>
      </c>
      <c r="B8" t="s">
        <v>455</v>
      </c>
      <c r="C8" s="218">
        <v>46143</v>
      </c>
      <c r="D8" s="218">
        <v>46173</v>
      </c>
      <c r="E8" s="219">
        <v>425000</v>
      </c>
      <c r="F8" s="219">
        <v>0</v>
      </c>
      <c r="G8" s="219">
        <f t="shared" si="0"/>
        <v>425000</v>
      </c>
      <c r="H8" s="220">
        <f t="shared" ca="1" si="1"/>
        <v>35</v>
      </c>
      <c r="I8" t="str">
        <f t="shared" ca="1" si="2"/>
        <v>31-60</v>
      </c>
      <c r="J8" t="str">
        <f t="shared" ca="1" si="3"/>
        <v>Past Due</v>
      </c>
      <c r="M8" s="223" t="s">
        <v>518</v>
      </c>
      <c r="N8" s="219">
        <v>3210000</v>
      </c>
      <c r="O8" s="219">
        <v>745000</v>
      </c>
      <c r="P8" s="222">
        <f t="shared" si="4"/>
        <v>129.26174496644296</v>
      </c>
      <c r="Q8" s="219">
        <v>730000</v>
      </c>
    </row>
    <row r="9" spans="1:18">
      <c r="A9" t="s">
        <v>456</v>
      </c>
      <c r="B9" t="s">
        <v>455</v>
      </c>
      <c r="C9" s="218">
        <v>46105</v>
      </c>
      <c r="D9" s="218">
        <v>46135</v>
      </c>
      <c r="E9" s="219">
        <v>178000</v>
      </c>
      <c r="F9" s="219">
        <v>0</v>
      </c>
      <c r="G9" s="219">
        <f t="shared" si="0"/>
        <v>178000</v>
      </c>
      <c r="H9" s="220">
        <f t="shared" ca="1" si="1"/>
        <v>73</v>
      </c>
      <c r="I9" t="str">
        <f t="shared" ca="1" si="2"/>
        <v>61-90</v>
      </c>
      <c r="J9" t="str">
        <f t="shared" ca="1" si="3"/>
        <v>Past Due</v>
      </c>
      <c r="M9" s="223" t="s">
        <v>519</v>
      </c>
      <c r="N9" s="219">
        <v>3540000</v>
      </c>
      <c r="O9" s="219">
        <v>760000</v>
      </c>
      <c r="P9" s="222">
        <f t="shared" si="4"/>
        <v>139.73684210526315</v>
      </c>
      <c r="Q9" s="219">
        <v>745000</v>
      </c>
    </row>
    <row r="10" spans="1:18">
      <c r="A10" t="s">
        <v>457</v>
      </c>
      <c r="B10" t="s">
        <v>455</v>
      </c>
      <c r="C10" s="218">
        <v>45930</v>
      </c>
      <c r="D10" s="218">
        <v>45960</v>
      </c>
      <c r="E10" s="219">
        <v>95000</v>
      </c>
      <c r="F10" s="219">
        <v>0</v>
      </c>
      <c r="G10" s="219">
        <f t="shared" si="0"/>
        <v>95000</v>
      </c>
      <c r="H10" s="220">
        <f t="shared" ca="1" si="1"/>
        <v>248</v>
      </c>
      <c r="I10" t="str">
        <f t="shared" ca="1" si="2"/>
        <v>90+</v>
      </c>
      <c r="J10" t="str">
        <f t="shared" ca="1" si="3"/>
        <v>Past Due</v>
      </c>
      <c r="M10" s="223" t="s">
        <v>520</v>
      </c>
      <c r="N10" s="219">
        <v>3680000</v>
      </c>
      <c r="O10" s="219">
        <v>700000</v>
      </c>
      <c r="P10" s="222">
        <f t="shared" si="4"/>
        <v>157.71428571428572</v>
      </c>
      <c r="Q10" s="219">
        <v>760000</v>
      </c>
    </row>
    <row r="11" spans="1:18">
      <c r="A11" t="s">
        <v>458</v>
      </c>
      <c r="B11" t="s">
        <v>459</v>
      </c>
      <c r="C11" s="218">
        <v>46138</v>
      </c>
      <c r="D11" s="218">
        <v>46168</v>
      </c>
      <c r="E11" s="219">
        <v>67500</v>
      </c>
      <c r="F11" s="219">
        <v>0</v>
      </c>
      <c r="G11" s="219">
        <f t="shared" si="0"/>
        <v>67500</v>
      </c>
      <c r="H11" s="220">
        <f t="shared" ca="1" si="1"/>
        <v>40</v>
      </c>
      <c r="I11" t="str">
        <f t="shared" ca="1" si="2"/>
        <v>31-60</v>
      </c>
      <c r="J11" t="str">
        <f t="shared" ca="1" si="3"/>
        <v>Past Due</v>
      </c>
      <c r="M11" s="223" t="s">
        <v>521</v>
      </c>
      <c r="N11" s="219">
        <v>3420000</v>
      </c>
      <c r="O11" s="219">
        <v>690000</v>
      </c>
      <c r="P11" s="222">
        <f t="shared" si="4"/>
        <v>148.69565217391303</v>
      </c>
      <c r="Q11" s="219">
        <v>700000</v>
      </c>
    </row>
    <row r="12" spans="1:18">
      <c r="A12" t="s">
        <v>460</v>
      </c>
      <c r="B12" t="s">
        <v>459</v>
      </c>
      <c r="C12" s="218">
        <v>46115</v>
      </c>
      <c r="D12" s="218">
        <v>46145</v>
      </c>
      <c r="E12" s="219">
        <v>134000</v>
      </c>
      <c r="F12" s="219">
        <v>0</v>
      </c>
      <c r="G12" s="219">
        <f t="shared" si="0"/>
        <v>134000</v>
      </c>
      <c r="H12" s="220">
        <f t="shared" ca="1" si="1"/>
        <v>63</v>
      </c>
      <c r="I12" t="str">
        <f t="shared" ca="1" si="2"/>
        <v>61-90</v>
      </c>
      <c r="J12" t="str">
        <f t="shared" ca="1" si="3"/>
        <v>Past Due</v>
      </c>
      <c r="M12" s="223" t="s">
        <v>522</v>
      </c>
      <c r="N12" s="219">
        <v>3750000</v>
      </c>
      <c r="O12" s="219">
        <v>715000</v>
      </c>
      <c r="P12" s="222">
        <f t="shared" si="4"/>
        <v>157.34265734265736</v>
      </c>
      <c r="Q12" s="219">
        <v>690000</v>
      </c>
    </row>
    <row r="13" spans="1:18">
      <c r="A13" t="s">
        <v>461</v>
      </c>
      <c r="B13" t="s">
        <v>462</v>
      </c>
      <c r="C13" s="218">
        <v>46130</v>
      </c>
      <c r="D13" s="218">
        <v>46160</v>
      </c>
      <c r="E13" s="219">
        <v>298000</v>
      </c>
      <c r="F13" s="219">
        <v>0</v>
      </c>
      <c r="G13" s="219">
        <f t="shared" si="0"/>
        <v>298000</v>
      </c>
      <c r="H13" s="220">
        <f t="shared" ca="1" si="1"/>
        <v>48</v>
      </c>
      <c r="I13" t="str">
        <f t="shared" ca="1" si="2"/>
        <v>31-60</v>
      </c>
      <c r="J13" t="str">
        <f t="shared" ca="1" si="3"/>
        <v>Past Due</v>
      </c>
      <c r="M13" s="223" t="s">
        <v>523</v>
      </c>
      <c r="N13" s="219">
        <v>3890000</v>
      </c>
      <c r="O13" s="219">
        <v>740000</v>
      </c>
      <c r="P13" s="222">
        <f t="shared" si="4"/>
        <v>157.70270270270271</v>
      </c>
      <c r="Q13" s="219">
        <v>715000</v>
      </c>
    </row>
    <row r="14" spans="1:18">
      <c r="A14" t="s">
        <v>463</v>
      </c>
      <c r="B14" t="s">
        <v>462</v>
      </c>
      <c r="C14" s="218">
        <v>46010</v>
      </c>
      <c r="D14" s="218">
        <v>46040</v>
      </c>
      <c r="E14" s="219">
        <v>185000</v>
      </c>
      <c r="F14" s="219">
        <v>0</v>
      </c>
      <c r="G14" s="219">
        <f t="shared" si="0"/>
        <v>185000</v>
      </c>
      <c r="H14" s="220">
        <f t="shared" ca="1" si="1"/>
        <v>168</v>
      </c>
      <c r="I14" t="str">
        <f t="shared" ca="1" si="2"/>
        <v>90+</v>
      </c>
      <c r="J14" t="str">
        <f t="shared" ca="1" si="3"/>
        <v>Past Due</v>
      </c>
      <c r="M14" s="223" t="s">
        <v>524</v>
      </c>
      <c r="N14" s="219">
        <f ca="1">SUMIF(J2:J35,"&lt;&gt;Paid",G2:G35)</f>
        <v>5495500</v>
      </c>
      <c r="O14" s="219">
        <v>725000</v>
      </c>
      <c r="P14" s="222">
        <f t="shared" ca="1" si="4"/>
        <v>227.4</v>
      </c>
      <c r="Q14" s="219">
        <v>740000</v>
      </c>
    </row>
    <row r="15" spans="1:18">
      <c r="A15" t="s">
        <v>464</v>
      </c>
      <c r="B15" t="s">
        <v>462</v>
      </c>
      <c r="C15" s="218">
        <v>45920</v>
      </c>
      <c r="D15" s="218">
        <v>45950</v>
      </c>
      <c r="E15" s="219">
        <v>142000</v>
      </c>
      <c r="F15" s="219">
        <v>50000</v>
      </c>
      <c r="G15" s="219">
        <f t="shared" si="0"/>
        <v>92000</v>
      </c>
      <c r="H15" s="220">
        <f t="shared" ca="1" si="1"/>
        <v>258</v>
      </c>
      <c r="I15" t="str">
        <f t="shared" ca="1" si="2"/>
        <v>90+</v>
      </c>
      <c r="J15" t="str">
        <f t="shared" ca="1" si="3"/>
        <v>Past Due</v>
      </c>
      <c r="P15" s="219">
        <f ca="1">SUMIF(L3:L36,"&lt;&gt;Paid",I3:I36)</f>
        <v>0</v>
      </c>
      <c r="Q15" s="219">
        <v>725000</v>
      </c>
    </row>
    <row r="16" spans="1:18">
      <c r="A16" t="s">
        <v>465</v>
      </c>
      <c r="B16" t="s">
        <v>466</v>
      </c>
      <c r="C16" s="218">
        <v>46118</v>
      </c>
      <c r="D16" s="218">
        <v>46148</v>
      </c>
      <c r="E16" s="219">
        <v>78000</v>
      </c>
      <c r="F16" s="219">
        <v>0</v>
      </c>
      <c r="G16" s="219">
        <f t="shared" si="0"/>
        <v>78000</v>
      </c>
      <c r="H16" s="220">
        <f t="shared" ca="1" si="1"/>
        <v>60</v>
      </c>
      <c r="I16" t="str">
        <f t="shared" ca="1" si="2"/>
        <v>31-60</v>
      </c>
      <c r="J16" t="str">
        <f t="shared" ca="1" si="3"/>
        <v>Past Due</v>
      </c>
    </row>
    <row r="17" spans="1:10">
      <c r="A17" t="s">
        <v>467</v>
      </c>
      <c r="B17" t="s">
        <v>466</v>
      </c>
      <c r="C17" s="218">
        <v>46000</v>
      </c>
      <c r="D17" s="218">
        <v>46030</v>
      </c>
      <c r="E17" s="219">
        <v>112000</v>
      </c>
      <c r="F17" s="219">
        <v>112000</v>
      </c>
      <c r="G17" s="219">
        <f t="shared" si="0"/>
        <v>0</v>
      </c>
      <c r="H17" s="220">
        <f t="shared" ca="1" si="1"/>
        <v>0</v>
      </c>
      <c r="I17" t="str">
        <f t="shared" si="2"/>
        <v>Paid</v>
      </c>
      <c r="J17" t="str">
        <f t="shared" si="3"/>
        <v>Paid</v>
      </c>
    </row>
    <row r="18" spans="1:10">
      <c r="A18" t="s">
        <v>468</v>
      </c>
      <c r="B18" t="s">
        <v>469</v>
      </c>
      <c r="C18" s="218">
        <v>46142</v>
      </c>
      <c r="D18" s="218">
        <v>46172</v>
      </c>
      <c r="E18" s="219">
        <v>520000</v>
      </c>
      <c r="F18" s="219">
        <v>0</v>
      </c>
      <c r="G18" s="219">
        <f t="shared" si="0"/>
        <v>520000</v>
      </c>
      <c r="H18" s="220">
        <f t="shared" ca="1" si="1"/>
        <v>36</v>
      </c>
      <c r="I18" t="str">
        <f t="shared" ca="1" si="2"/>
        <v>31-60</v>
      </c>
      <c r="J18" t="str">
        <f t="shared" ca="1" si="3"/>
        <v>Past Due</v>
      </c>
    </row>
    <row r="19" spans="1:10">
      <c r="A19" t="s">
        <v>470</v>
      </c>
      <c r="B19" t="s">
        <v>469</v>
      </c>
      <c r="C19" s="218">
        <v>46108</v>
      </c>
      <c r="D19" s="218">
        <v>46138</v>
      </c>
      <c r="E19" s="219">
        <v>345000</v>
      </c>
      <c r="F19" s="219">
        <v>200000</v>
      </c>
      <c r="G19" s="219">
        <f t="shared" si="0"/>
        <v>145000</v>
      </c>
      <c r="H19" s="220">
        <f t="shared" ca="1" si="1"/>
        <v>70</v>
      </c>
      <c r="I19" t="str">
        <f t="shared" ca="1" si="2"/>
        <v>61-90</v>
      </c>
      <c r="J19" t="str">
        <f t="shared" ca="1" si="3"/>
        <v>Past Due</v>
      </c>
    </row>
    <row r="20" spans="1:10">
      <c r="A20" t="s">
        <v>471</v>
      </c>
      <c r="B20" t="s">
        <v>469</v>
      </c>
      <c r="C20" s="218">
        <v>45940</v>
      </c>
      <c r="D20" s="218">
        <v>45970</v>
      </c>
      <c r="E20" s="219">
        <v>275000</v>
      </c>
      <c r="F20" s="219">
        <v>275000</v>
      </c>
      <c r="G20" s="219">
        <f t="shared" si="0"/>
        <v>0</v>
      </c>
      <c r="H20" s="220">
        <f t="shared" ca="1" si="1"/>
        <v>0</v>
      </c>
      <c r="I20" t="str">
        <f t="shared" si="2"/>
        <v>Paid</v>
      </c>
      <c r="J20" t="str">
        <f t="shared" si="3"/>
        <v>Paid</v>
      </c>
    </row>
    <row r="21" spans="1:10">
      <c r="A21" t="s">
        <v>472</v>
      </c>
      <c r="B21" t="s">
        <v>473</v>
      </c>
      <c r="C21" s="218">
        <v>46112</v>
      </c>
      <c r="D21" s="218">
        <v>46142</v>
      </c>
      <c r="E21" s="219">
        <v>198000</v>
      </c>
      <c r="F21" s="219">
        <v>0</v>
      </c>
      <c r="G21" s="219">
        <f t="shared" si="0"/>
        <v>198000</v>
      </c>
      <c r="H21" s="220">
        <f t="shared" ca="1" si="1"/>
        <v>66</v>
      </c>
      <c r="I21" t="str">
        <f t="shared" ca="1" si="2"/>
        <v>61-90</v>
      </c>
      <c r="J21" t="str">
        <f t="shared" ca="1" si="3"/>
        <v>Past Due</v>
      </c>
    </row>
    <row r="22" spans="1:10">
      <c r="A22" t="s">
        <v>474</v>
      </c>
      <c r="B22" t="s">
        <v>473</v>
      </c>
      <c r="C22" s="218">
        <v>45985</v>
      </c>
      <c r="D22" s="218">
        <v>46015</v>
      </c>
      <c r="E22" s="219">
        <v>87000</v>
      </c>
      <c r="F22" s="219">
        <v>87000</v>
      </c>
      <c r="G22" s="219">
        <f t="shared" si="0"/>
        <v>0</v>
      </c>
      <c r="H22" s="220">
        <f t="shared" ca="1" si="1"/>
        <v>0</v>
      </c>
      <c r="I22" t="str">
        <f t="shared" si="2"/>
        <v>Paid</v>
      </c>
      <c r="J22" t="str">
        <f t="shared" si="3"/>
        <v>Paid</v>
      </c>
    </row>
    <row r="23" spans="1:10">
      <c r="A23" t="s">
        <v>475</v>
      </c>
      <c r="B23" t="s">
        <v>476</v>
      </c>
      <c r="C23" s="218">
        <v>46137</v>
      </c>
      <c r="D23" s="218">
        <v>46167</v>
      </c>
      <c r="E23" s="219">
        <v>445000</v>
      </c>
      <c r="F23" s="219">
        <v>0</v>
      </c>
      <c r="G23" s="219">
        <f t="shared" si="0"/>
        <v>445000</v>
      </c>
      <c r="H23" s="220">
        <f t="shared" ca="1" si="1"/>
        <v>41</v>
      </c>
      <c r="I23" t="str">
        <f t="shared" ca="1" si="2"/>
        <v>31-60</v>
      </c>
      <c r="J23" t="str">
        <f t="shared" ca="1" si="3"/>
        <v>Past Due</v>
      </c>
    </row>
    <row r="24" spans="1:10">
      <c r="A24" t="s">
        <v>477</v>
      </c>
      <c r="B24" t="s">
        <v>476</v>
      </c>
      <c r="C24" s="218">
        <v>46095</v>
      </c>
      <c r="D24" s="218">
        <v>46125</v>
      </c>
      <c r="E24" s="219">
        <v>367000</v>
      </c>
      <c r="F24" s="219">
        <v>0</v>
      </c>
      <c r="G24" s="219">
        <f t="shared" si="0"/>
        <v>367000</v>
      </c>
      <c r="H24" s="220">
        <f t="shared" ca="1" si="1"/>
        <v>83</v>
      </c>
      <c r="I24" t="str">
        <f t="shared" ca="1" si="2"/>
        <v>61-90</v>
      </c>
      <c r="J24" t="str">
        <f t="shared" ca="1" si="3"/>
        <v>Past Due</v>
      </c>
    </row>
    <row r="25" spans="1:10">
      <c r="A25" t="s">
        <v>478</v>
      </c>
      <c r="B25" t="s">
        <v>476</v>
      </c>
      <c r="C25" s="218">
        <v>45910</v>
      </c>
      <c r="D25" s="218">
        <v>45940</v>
      </c>
      <c r="E25" s="219">
        <v>290000</v>
      </c>
      <c r="F25" s="219">
        <v>190000</v>
      </c>
      <c r="G25" s="219">
        <f t="shared" si="0"/>
        <v>100000</v>
      </c>
      <c r="H25" s="220">
        <f t="shared" ca="1" si="1"/>
        <v>268</v>
      </c>
      <c r="I25" t="str">
        <f t="shared" ca="1" si="2"/>
        <v>90+</v>
      </c>
      <c r="J25" t="str">
        <f t="shared" ca="1" si="3"/>
        <v>Past Due</v>
      </c>
    </row>
    <row r="26" spans="1:10">
      <c r="A26" t="s">
        <v>479</v>
      </c>
      <c r="B26" t="s">
        <v>480</v>
      </c>
      <c r="C26" s="218">
        <v>46133</v>
      </c>
      <c r="D26" s="218">
        <v>46163</v>
      </c>
      <c r="E26" s="219">
        <v>156000</v>
      </c>
      <c r="F26" s="219">
        <v>0</v>
      </c>
      <c r="G26" s="219">
        <f t="shared" si="0"/>
        <v>156000</v>
      </c>
      <c r="H26" s="220">
        <f t="shared" ca="1" si="1"/>
        <v>45</v>
      </c>
      <c r="I26" t="str">
        <f t="shared" ca="1" si="2"/>
        <v>31-60</v>
      </c>
      <c r="J26" t="str">
        <f t="shared" ca="1" si="3"/>
        <v>Past Due</v>
      </c>
    </row>
    <row r="27" spans="1:10">
      <c r="A27" t="s">
        <v>481</v>
      </c>
      <c r="B27" t="s">
        <v>480</v>
      </c>
      <c r="C27" s="218">
        <v>45950</v>
      </c>
      <c r="D27" s="218">
        <v>45980</v>
      </c>
      <c r="E27" s="219">
        <v>223000</v>
      </c>
      <c r="F27" s="219">
        <v>100000</v>
      </c>
      <c r="G27" s="219">
        <f t="shared" si="0"/>
        <v>123000</v>
      </c>
      <c r="H27" s="220">
        <f t="shared" ca="1" si="1"/>
        <v>228</v>
      </c>
      <c r="I27" t="str">
        <f t="shared" ca="1" si="2"/>
        <v>90+</v>
      </c>
      <c r="J27" t="str">
        <f t="shared" ca="1" si="3"/>
        <v>Past Due</v>
      </c>
    </row>
    <row r="28" spans="1:10">
      <c r="A28" t="s">
        <v>482</v>
      </c>
      <c r="B28" t="s">
        <v>483</v>
      </c>
      <c r="C28" s="218">
        <v>46141</v>
      </c>
      <c r="D28" s="218">
        <v>46171</v>
      </c>
      <c r="E28" s="219">
        <v>89000</v>
      </c>
      <c r="F28" s="219">
        <v>0</v>
      </c>
      <c r="G28" s="219">
        <f t="shared" si="0"/>
        <v>89000</v>
      </c>
      <c r="H28" s="220">
        <f t="shared" ca="1" si="1"/>
        <v>37</v>
      </c>
      <c r="I28" t="str">
        <f t="shared" ca="1" si="2"/>
        <v>31-60</v>
      </c>
      <c r="J28" t="str">
        <f t="shared" ca="1" si="3"/>
        <v>Past Due</v>
      </c>
    </row>
    <row r="29" spans="1:10">
      <c r="A29" t="s">
        <v>484</v>
      </c>
      <c r="B29" t="s">
        <v>483</v>
      </c>
      <c r="C29" s="218">
        <v>46100</v>
      </c>
      <c r="D29" s="218">
        <v>46130</v>
      </c>
      <c r="E29" s="219">
        <v>134500</v>
      </c>
      <c r="F29" s="219">
        <v>50000</v>
      </c>
      <c r="G29" s="219">
        <f t="shared" si="0"/>
        <v>84500</v>
      </c>
      <c r="H29" s="220">
        <f t="shared" ca="1" si="1"/>
        <v>78</v>
      </c>
      <c r="I29" t="str">
        <f t="shared" ca="1" si="2"/>
        <v>61-90</v>
      </c>
      <c r="J29" t="str">
        <f t="shared" ca="1" si="3"/>
        <v>Past Due</v>
      </c>
    </row>
    <row r="30" spans="1:10">
      <c r="A30" t="s">
        <v>485</v>
      </c>
      <c r="B30" t="s">
        <v>486</v>
      </c>
      <c r="C30" s="218">
        <v>46136</v>
      </c>
      <c r="D30" s="218">
        <v>46166</v>
      </c>
      <c r="E30" s="219">
        <v>175000</v>
      </c>
      <c r="F30" s="219">
        <v>0</v>
      </c>
      <c r="G30" s="219">
        <f t="shared" si="0"/>
        <v>175000</v>
      </c>
      <c r="H30" s="220">
        <f t="shared" ca="1" si="1"/>
        <v>42</v>
      </c>
      <c r="I30" t="str">
        <f t="shared" ca="1" si="2"/>
        <v>31-60</v>
      </c>
      <c r="J30" t="str">
        <f t="shared" ca="1" si="3"/>
        <v>Past Due</v>
      </c>
    </row>
    <row r="31" spans="1:10">
      <c r="A31" t="s">
        <v>487</v>
      </c>
      <c r="B31" t="s">
        <v>486</v>
      </c>
      <c r="C31" s="218">
        <v>45975</v>
      </c>
      <c r="D31" s="218">
        <v>46005</v>
      </c>
      <c r="E31" s="219">
        <v>220000</v>
      </c>
      <c r="F31" s="219">
        <v>0</v>
      </c>
      <c r="G31" s="219">
        <f t="shared" si="0"/>
        <v>220000</v>
      </c>
      <c r="H31" s="220">
        <f t="shared" ca="1" si="1"/>
        <v>203</v>
      </c>
      <c r="I31" t="str">
        <f t="shared" ca="1" si="2"/>
        <v>90+</v>
      </c>
      <c r="J31" t="str">
        <f t="shared" ca="1" si="3"/>
        <v>Past Due</v>
      </c>
    </row>
    <row r="32" spans="1:10">
      <c r="A32" t="s">
        <v>488</v>
      </c>
      <c r="B32" t="s">
        <v>486</v>
      </c>
      <c r="C32" s="218">
        <v>45895</v>
      </c>
      <c r="D32" s="218">
        <v>45925</v>
      </c>
      <c r="E32" s="219">
        <v>165000</v>
      </c>
      <c r="F32" s="219">
        <v>65000</v>
      </c>
      <c r="G32" s="219">
        <f t="shared" si="0"/>
        <v>100000</v>
      </c>
      <c r="H32" s="220">
        <f t="shared" ca="1" si="1"/>
        <v>283</v>
      </c>
      <c r="I32" t="str">
        <f t="shared" ca="1" si="2"/>
        <v>90+</v>
      </c>
      <c r="J32" t="str">
        <f t="shared" ca="1" si="3"/>
        <v>Past Due</v>
      </c>
    </row>
    <row r="33" spans="1:10">
      <c r="A33" t="s">
        <v>489</v>
      </c>
      <c r="B33" t="s">
        <v>490</v>
      </c>
      <c r="C33" s="218">
        <v>46125</v>
      </c>
      <c r="D33" s="218">
        <v>46155</v>
      </c>
      <c r="E33" s="219">
        <v>92000</v>
      </c>
      <c r="F33" s="219">
        <v>0</v>
      </c>
      <c r="G33" s="219">
        <f t="shared" si="0"/>
        <v>92000</v>
      </c>
      <c r="H33" s="220">
        <f t="shared" ca="1" si="1"/>
        <v>53</v>
      </c>
      <c r="I33" t="str">
        <f t="shared" ca="1" si="2"/>
        <v>31-60</v>
      </c>
      <c r="J33" t="str">
        <f t="shared" ca="1" si="3"/>
        <v>Past Due</v>
      </c>
    </row>
    <row r="34" spans="1:10">
      <c r="A34" t="s">
        <v>491</v>
      </c>
      <c r="B34" t="s">
        <v>490</v>
      </c>
      <c r="C34" s="218">
        <v>46015</v>
      </c>
      <c r="D34" s="218">
        <v>46045</v>
      </c>
      <c r="E34" s="219">
        <v>148000</v>
      </c>
      <c r="F34" s="219">
        <v>75000</v>
      </c>
      <c r="G34" s="219">
        <f t="shared" si="0"/>
        <v>73000</v>
      </c>
      <c r="H34" s="220">
        <f t="shared" ca="1" si="1"/>
        <v>163</v>
      </c>
      <c r="I34" t="str">
        <f t="shared" ca="1" si="2"/>
        <v>90+</v>
      </c>
      <c r="J34" t="str">
        <f t="shared" ca="1" si="3"/>
        <v>Past Due</v>
      </c>
    </row>
    <row r="35" spans="1:10">
      <c r="A35" t="s">
        <v>492</v>
      </c>
      <c r="B35" t="s">
        <v>490</v>
      </c>
      <c r="C35" s="218">
        <v>45880</v>
      </c>
      <c r="D35" s="218">
        <v>45910</v>
      </c>
      <c r="E35" s="219">
        <v>195000</v>
      </c>
      <c r="F35" s="219">
        <v>0</v>
      </c>
      <c r="G35" s="219">
        <f t="shared" si="0"/>
        <v>195000</v>
      </c>
      <c r="H35" s="220">
        <f t="shared" ca="1" si="1"/>
        <v>298</v>
      </c>
      <c r="I35" t="str">
        <f t="shared" ca="1" si="2"/>
        <v>90+</v>
      </c>
      <c r="J35" t="str">
        <f t="shared" ca="1" si="3"/>
        <v>Past Due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61F3-5256-424E-B882-477E206C371F}">
  <dimension ref="A1:AL84"/>
  <sheetViews>
    <sheetView zoomScale="120" zoomScaleNormal="12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C1" sqref="C1"/>
    </sheetView>
  </sheetViews>
  <sheetFormatPr defaultColWidth="8.85546875" defaultRowHeight="15"/>
  <cols>
    <col min="1" max="1" width="0.85546875" customWidth="1"/>
    <col min="2" max="2" width="2.7109375" customWidth="1"/>
    <col min="3" max="3" width="36.42578125" customWidth="1"/>
    <col min="4" max="4" width="0.85546875" customWidth="1"/>
    <col min="5" max="25" width="13.42578125" customWidth="1"/>
    <col min="26" max="26" width="1.42578125" customWidth="1"/>
    <col min="27" max="33" width="14.42578125" customWidth="1"/>
    <col min="34" max="34" width="1.42578125" customWidth="1"/>
    <col min="35" max="35" width="15.42578125" customWidth="1"/>
    <col min="36" max="36" width="1.42578125" customWidth="1"/>
    <col min="37" max="38" width="15.42578125" customWidth="1"/>
  </cols>
  <sheetData>
    <row r="1" spans="1:38" ht="8.1" customHeight="1">
      <c r="A1" s="122" t="s">
        <v>98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</row>
    <row r="2" spans="1:38" ht="30" customHeight="1">
      <c r="A2" s="122"/>
      <c r="B2" s="123"/>
      <c r="C2" s="123" t="s">
        <v>536</v>
      </c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</row>
    <row r="3" spans="1:38" ht="8.1" customHeight="1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</row>
    <row r="4" spans="1:38" ht="14.45" customHeight="1">
      <c r="A4" s="122"/>
      <c r="B4" s="122"/>
      <c r="C4" s="148" t="s">
        <v>99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</row>
    <row r="5" spans="1:38" ht="14.45" customHeight="1">
      <c r="A5" s="122"/>
      <c r="B5" s="122"/>
      <c r="C5" s="122"/>
      <c r="D5" s="122"/>
      <c r="E5" s="187">
        <v>45292</v>
      </c>
      <c r="F5" s="187">
        <v>45323</v>
      </c>
      <c r="G5" s="187">
        <v>45352</v>
      </c>
      <c r="H5" s="187">
        <v>45383</v>
      </c>
      <c r="I5" s="187">
        <v>45413</v>
      </c>
      <c r="J5" s="187">
        <v>45444</v>
      </c>
      <c r="K5" s="187">
        <v>45474</v>
      </c>
      <c r="L5" s="187">
        <v>45505</v>
      </c>
      <c r="M5" s="187">
        <v>45536</v>
      </c>
      <c r="N5" s="187">
        <v>45566</v>
      </c>
      <c r="O5" s="187">
        <v>45597</v>
      </c>
      <c r="P5" s="187">
        <v>45627</v>
      </c>
      <c r="Q5" s="187">
        <v>45658</v>
      </c>
      <c r="R5" s="187">
        <v>45689</v>
      </c>
      <c r="S5" s="187">
        <v>45717</v>
      </c>
      <c r="T5" s="187">
        <v>45748</v>
      </c>
      <c r="U5" s="187">
        <v>45778</v>
      </c>
      <c r="V5" s="187">
        <v>45809</v>
      </c>
      <c r="W5" s="187">
        <v>45839</v>
      </c>
      <c r="X5" s="187">
        <v>45870</v>
      </c>
      <c r="Y5" s="188">
        <v>45901</v>
      </c>
      <c r="Z5" s="122"/>
      <c r="AA5" s="193" t="s">
        <v>100</v>
      </c>
      <c r="AB5" s="171" t="s">
        <v>101</v>
      </c>
      <c r="AC5" s="171" t="s">
        <v>102</v>
      </c>
      <c r="AD5" s="171" t="s">
        <v>103</v>
      </c>
      <c r="AE5" s="171" t="s">
        <v>104</v>
      </c>
      <c r="AF5" s="171" t="s">
        <v>105</v>
      </c>
      <c r="AG5" s="192" t="s">
        <v>106</v>
      </c>
      <c r="AH5" s="122"/>
      <c r="AI5" s="197" t="s">
        <v>107</v>
      </c>
      <c r="AJ5" s="122"/>
      <c r="AK5" s="193" t="s">
        <v>108</v>
      </c>
      <c r="AL5" s="171" t="s">
        <v>109</v>
      </c>
    </row>
    <row r="6" spans="1:38" ht="14.45" customHeight="1">
      <c r="A6" s="122"/>
      <c r="B6" s="122"/>
      <c r="C6" s="122"/>
      <c r="D6" s="122"/>
      <c r="E6" s="153" t="s">
        <v>110</v>
      </c>
      <c r="F6" s="153" t="s">
        <v>110</v>
      </c>
      <c r="G6" s="153" t="s">
        <v>110</v>
      </c>
      <c r="H6" s="153" t="s">
        <v>110</v>
      </c>
      <c r="I6" s="153" t="s">
        <v>110</v>
      </c>
      <c r="J6" s="153" t="s">
        <v>110</v>
      </c>
      <c r="K6" s="153" t="s">
        <v>110</v>
      </c>
      <c r="L6" s="153" t="s">
        <v>110</v>
      </c>
      <c r="M6" s="153" t="s">
        <v>110</v>
      </c>
      <c r="N6" s="153" t="s">
        <v>110</v>
      </c>
      <c r="O6" s="153" t="s">
        <v>110</v>
      </c>
      <c r="P6" s="153" t="s">
        <v>110</v>
      </c>
      <c r="Q6" s="153" t="s">
        <v>110</v>
      </c>
      <c r="R6" s="153" t="s">
        <v>110</v>
      </c>
      <c r="S6" s="153" t="s">
        <v>110</v>
      </c>
      <c r="T6" s="153" t="s">
        <v>110</v>
      </c>
      <c r="U6" s="153" t="s">
        <v>110</v>
      </c>
      <c r="V6" s="153" t="s">
        <v>110</v>
      </c>
      <c r="W6" s="153" t="s">
        <v>110</v>
      </c>
      <c r="X6" s="153" t="s">
        <v>110</v>
      </c>
      <c r="Y6" s="189" t="s">
        <v>110</v>
      </c>
      <c r="Z6" s="122"/>
      <c r="AA6" s="194" t="s">
        <v>111</v>
      </c>
      <c r="AB6" s="153" t="s">
        <v>111</v>
      </c>
      <c r="AC6" s="153" t="s">
        <v>111</v>
      </c>
      <c r="AD6" s="153" t="s">
        <v>111</v>
      </c>
      <c r="AE6" s="153" t="s">
        <v>111</v>
      </c>
      <c r="AF6" s="153" t="s">
        <v>111</v>
      </c>
      <c r="AG6" s="189" t="s">
        <v>111</v>
      </c>
      <c r="AH6" s="122"/>
      <c r="AI6" s="198" t="s">
        <v>112</v>
      </c>
      <c r="AJ6" s="122"/>
      <c r="AK6" s="194" t="s">
        <v>113</v>
      </c>
      <c r="AL6" s="153" t="s">
        <v>114</v>
      </c>
    </row>
    <row r="7" spans="1:38" ht="8.1" customHeight="1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90"/>
      <c r="Z7" s="122"/>
      <c r="AA7" s="195"/>
      <c r="AB7" s="122"/>
      <c r="AC7" s="122"/>
      <c r="AD7" s="122"/>
      <c r="AE7" s="122"/>
      <c r="AF7" s="122"/>
      <c r="AG7" s="190"/>
      <c r="AH7" s="122"/>
      <c r="AI7" s="199"/>
      <c r="AJ7" s="122"/>
      <c r="AK7" s="195"/>
      <c r="AL7" s="122"/>
    </row>
    <row r="8" spans="1:38" ht="16.5" customHeight="1" thickBot="1">
      <c r="A8" s="122"/>
      <c r="B8" s="155" t="s">
        <v>32</v>
      </c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91"/>
      <c r="Z8" s="136"/>
      <c r="AA8" s="196"/>
      <c r="AB8" s="136"/>
      <c r="AC8" s="136"/>
      <c r="AD8" s="136"/>
      <c r="AE8" s="136"/>
      <c r="AF8" s="136"/>
      <c r="AG8" s="191"/>
      <c r="AH8" s="136"/>
      <c r="AI8" s="200"/>
      <c r="AJ8" s="136"/>
      <c r="AK8" s="196"/>
      <c r="AL8" s="136"/>
    </row>
    <row r="9" spans="1:38" ht="8.1" customHeight="1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90"/>
      <c r="Z9" s="122"/>
      <c r="AA9" s="195"/>
      <c r="AB9" s="122"/>
      <c r="AC9" s="122"/>
      <c r="AD9" s="122"/>
      <c r="AE9" s="122"/>
      <c r="AF9" s="122"/>
      <c r="AG9" s="190"/>
      <c r="AH9" s="122"/>
      <c r="AI9" s="199"/>
      <c r="AJ9" s="122"/>
      <c r="AK9" s="195"/>
      <c r="AL9" s="122"/>
    </row>
    <row r="10" spans="1:38" ht="14.45" customHeight="1">
      <c r="A10" s="122"/>
      <c r="B10" s="122"/>
      <c r="C10" s="150" t="s">
        <v>33</v>
      </c>
      <c r="D10" s="122"/>
      <c r="E10" s="201">
        <f>'Data Summary'!N13</f>
        <v>48456.5</v>
      </c>
      <c r="F10" s="201">
        <f>'Data Summary'!O13</f>
        <v>42000</v>
      </c>
      <c r="G10" s="201">
        <f>'Data Summary'!P13</f>
        <v>50879.5</v>
      </c>
      <c r="H10" s="201">
        <f>'Data Summary'!Q13</f>
        <v>44100</v>
      </c>
      <c r="I10" s="201">
        <f>'Data Summary'!R13</f>
        <v>53424</v>
      </c>
      <c r="J10" s="201">
        <f>'Data Summary'!S13</f>
        <v>46305</v>
      </c>
      <c r="K10" s="201">
        <f>'Data Summary'!T13</f>
        <v>48620</v>
      </c>
      <c r="L10" s="201">
        <f>'Data Summary'!U13</f>
        <v>48620</v>
      </c>
      <c r="M10" s="201">
        <f>'Data Summary'!V13</f>
        <v>51051</v>
      </c>
      <c r="N10" s="201">
        <f>'Data Summary'!W13</f>
        <v>51051</v>
      </c>
      <c r="O10" s="201">
        <f>'Data Summary'!X13</f>
        <v>53604</v>
      </c>
      <c r="P10" s="201">
        <f>'Data Summary'!Y13</f>
        <v>56284</v>
      </c>
      <c r="Q10" s="201">
        <f>'Data Summary'!Z13</f>
        <v>59098.22</v>
      </c>
      <c r="R10" s="201">
        <f>'Data Summary'!AA13</f>
        <v>62053</v>
      </c>
      <c r="S10" s="201">
        <f>'Data Summary'!AB13</f>
        <v>65156</v>
      </c>
      <c r="T10" s="201">
        <f>'Data Summary'!AC13</f>
        <v>68414</v>
      </c>
      <c r="U10" s="201">
        <f>'Data Summary'!AD13</f>
        <v>71834</v>
      </c>
      <c r="V10" s="201">
        <f>'Data Summary'!AE13</f>
        <v>84125.97</v>
      </c>
      <c r="W10" s="201">
        <f>'Data Summary'!AF13</f>
        <v>79197.259999999995</v>
      </c>
      <c r="X10" s="201">
        <f>'Data Summary'!AG13</f>
        <v>83157.13</v>
      </c>
      <c r="Y10" s="202">
        <f>'Data Summary'!AH13</f>
        <v>87314.98</v>
      </c>
      <c r="Z10" s="170"/>
      <c r="AA10" s="203">
        <f>SUM(E10:G10)</f>
        <v>141336</v>
      </c>
      <c r="AB10" s="201">
        <f>SUM(H10:J10)</f>
        <v>143829</v>
      </c>
      <c r="AC10" s="201">
        <f>SUM(K10:M10)</f>
        <v>148291</v>
      </c>
      <c r="AD10" s="201">
        <f>SUM(N10:P10)</f>
        <v>160939</v>
      </c>
      <c r="AE10" s="201">
        <f>SUM(Q10:S10)</f>
        <v>186307.22</v>
      </c>
      <c r="AF10" s="201">
        <f>SUM(T10:V10)</f>
        <v>224373.97</v>
      </c>
      <c r="AG10" s="202">
        <f>SUM(W10:Y10)</f>
        <v>249669.37</v>
      </c>
      <c r="AH10" s="170"/>
      <c r="AI10" s="204">
        <f>SUM(E10:P10)</f>
        <v>594395</v>
      </c>
      <c r="AJ10" s="170"/>
      <c r="AK10" s="203">
        <f>SUM(Q10:Y10)</f>
        <v>660350.55999999994</v>
      </c>
      <c r="AL10" s="201">
        <f>SUM(N10:Y10)</f>
        <v>821289.55999999994</v>
      </c>
    </row>
    <row r="11" spans="1:38" ht="14.45" customHeight="1">
      <c r="A11" s="122"/>
      <c r="B11" s="122"/>
      <c r="C11" s="151" t="s">
        <v>34</v>
      </c>
      <c r="D11" s="122"/>
      <c r="E11" s="173">
        <f t="shared" ref="E11:Y11" si="0">E10</f>
        <v>48456.5</v>
      </c>
      <c r="F11" s="173">
        <f t="shared" si="0"/>
        <v>42000</v>
      </c>
      <c r="G11" s="173">
        <f t="shared" si="0"/>
        <v>50879.5</v>
      </c>
      <c r="H11" s="173">
        <f t="shared" si="0"/>
        <v>44100</v>
      </c>
      <c r="I11" s="173">
        <f t="shared" si="0"/>
        <v>53424</v>
      </c>
      <c r="J11" s="173">
        <f t="shared" si="0"/>
        <v>46305</v>
      </c>
      <c r="K11" s="173">
        <f t="shared" si="0"/>
        <v>48620</v>
      </c>
      <c r="L11" s="173">
        <f t="shared" si="0"/>
        <v>48620</v>
      </c>
      <c r="M11" s="173">
        <f t="shared" si="0"/>
        <v>51051</v>
      </c>
      <c r="N11" s="173">
        <f t="shared" si="0"/>
        <v>51051</v>
      </c>
      <c r="O11" s="173">
        <f t="shared" si="0"/>
        <v>53604</v>
      </c>
      <c r="P11" s="173">
        <f t="shared" si="0"/>
        <v>56284</v>
      </c>
      <c r="Q11" s="173">
        <f t="shared" si="0"/>
        <v>59098.22</v>
      </c>
      <c r="R11" s="173">
        <f t="shared" si="0"/>
        <v>62053</v>
      </c>
      <c r="S11" s="173">
        <f t="shared" si="0"/>
        <v>65156</v>
      </c>
      <c r="T11" s="173">
        <f t="shared" si="0"/>
        <v>68414</v>
      </c>
      <c r="U11" s="173">
        <f t="shared" si="0"/>
        <v>71834</v>
      </c>
      <c r="V11" s="173">
        <f t="shared" si="0"/>
        <v>84125.97</v>
      </c>
      <c r="W11" s="173">
        <f t="shared" si="0"/>
        <v>79197.259999999995</v>
      </c>
      <c r="X11" s="173">
        <f t="shared" si="0"/>
        <v>83157.13</v>
      </c>
      <c r="Y11" s="205">
        <f t="shared" si="0"/>
        <v>87314.98</v>
      </c>
      <c r="Z11" s="125"/>
      <c r="AA11" s="206">
        <f t="shared" ref="AA11:AG11" si="1">AA10</f>
        <v>141336</v>
      </c>
      <c r="AB11" s="173">
        <f t="shared" si="1"/>
        <v>143829</v>
      </c>
      <c r="AC11" s="173">
        <f t="shared" si="1"/>
        <v>148291</v>
      </c>
      <c r="AD11" s="173">
        <f t="shared" si="1"/>
        <v>160939</v>
      </c>
      <c r="AE11" s="173">
        <f t="shared" si="1"/>
        <v>186307.22</v>
      </c>
      <c r="AF11" s="173">
        <f t="shared" si="1"/>
        <v>224373.97</v>
      </c>
      <c r="AG11" s="205">
        <f t="shared" si="1"/>
        <v>249669.37</v>
      </c>
      <c r="AH11" s="125"/>
      <c r="AI11" s="207">
        <f>AI10</f>
        <v>594395</v>
      </c>
      <c r="AJ11" s="125"/>
      <c r="AK11" s="206">
        <f>AK10</f>
        <v>660350.55999999994</v>
      </c>
      <c r="AL11" s="173">
        <f>AL10</f>
        <v>821289.55999999994</v>
      </c>
    </row>
    <row r="12" spans="1:38" ht="8.1" customHeight="1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90"/>
      <c r="Z12" s="122"/>
      <c r="AA12" s="195"/>
      <c r="AB12" s="122"/>
      <c r="AC12" s="122"/>
      <c r="AD12" s="122"/>
      <c r="AE12" s="122"/>
      <c r="AF12" s="122"/>
      <c r="AG12" s="190"/>
      <c r="AH12" s="122"/>
      <c r="AI12" s="199"/>
      <c r="AJ12" s="122"/>
      <c r="AK12" s="195"/>
      <c r="AL12" s="122"/>
    </row>
    <row r="13" spans="1:38" ht="14.45" customHeight="1">
      <c r="A13" s="122"/>
      <c r="B13" s="122"/>
      <c r="C13" s="150" t="s">
        <v>35</v>
      </c>
      <c r="D13" s="122"/>
      <c r="E13" s="201">
        <f>'Data Summary'!N15+'Data Summary'!N16</f>
        <v>3599</v>
      </c>
      <c r="F13" s="201">
        <f>'Data Summary'!O15+'Data Summary'!O16</f>
        <v>3988</v>
      </c>
      <c r="G13" s="201">
        <f>'Data Summary'!P15+'Data Summary'!P16</f>
        <v>3779</v>
      </c>
      <c r="H13" s="201">
        <f>'Data Summary'!Q15+'Data Summary'!Q16</f>
        <v>4186.5</v>
      </c>
      <c r="I13" s="201">
        <f>'Data Summary'!R15+'Data Summary'!R16</f>
        <v>3968.5</v>
      </c>
      <c r="J13" s="201">
        <f>'Data Summary'!S15+'Data Summary'!S16</f>
        <v>4396.5</v>
      </c>
      <c r="K13" s="201">
        <f>'Data Summary'!T15+'Data Summary'!T16</f>
        <v>4615</v>
      </c>
      <c r="L13" s="201">
        <f>'Data Summary'!U15+'Data Summary'!U16</f>
        <v>4614.5</v>
      </c>
      <c r="M13" s="201">
        <f>'Data Summary'!V15+'Data Summary'!V16</f>
        <v>4846</v>
      </c>
      <c r="N13" s="201">
        <f>'Data Summary'!W15+'Data Summary'!W16</f>
        <v>4846.33</v>
      </c>
      <c r="O13" s="201">
        <f>'Data Summary'!X15+'Data Summary'!X16</f>
        <v>5089.33</v>
      </c>
      <c r="P13" s="201">
        <f>'Data Summary'!Y15+'Data Summary'!Y16</f>
        <v>5343</v>
      </c>
      <c r="Q13" s="201">
        <f>'Data Summary'!Z15+'Data Summary'!Z16</f>
        <v>5610.42</v>
      </c>
      <c r="R13" s="201">
        <f>'Data Summary'!AA15+'Data Summary'!AA16</f>
        <v>5890</v>
      </c>
      <c r="S13" s="201">
        <f>'Data Summary'!AB15+'Data Summary'!AB16</f>
        <v>6185</v>
      </c>
      <c r="T13" s="201">
        <f>'Data Summary'!AC15+'Data Summary'!AC16</f>
        <v>6495</v>
      </c>
      <c r="U13" s="201">
        <f>'Data Summary'!AD15+'Data Summary'!AD16</f>
        <v>6820</v>
      </c>
      <c r="V13" s="201">
        <f>'Data Summary'!AE15+'Data Summary'!AE16</f>
        <v>7460.48</v>
      </c>
      <c r="W13" s="201">
        <f>'Data Summary'!AF15+'Data Summary'!AF16</f>
        <v>6518.5</v>
      </c>
      <c r="X13" s="201">
        <f>'Data Summary'!AG15+'Data Summary'!AG16</f>
        <v>7894.43</v>
      </c>
      <c r="Y13" s="202">
        <f>'Data Summary'!AH15+'Data Summary'!AH16</f>
        <v>8289.15</v>
      </c>
      <c r="Z13" s="170"/>
      <c r="AA13" s="203">
        <f>SUM(E13:G13)</f>
        <v>11366</v>
      </c>
      <c r="AB13" s="201">
        <f>SUM(H13:J13)</f>
        <v>12551.5</v>
      </c>
      <c r="AC13" s="201">
        <f>SUM(K13:M13)</f>
        <v>14075.5</v>
      </c>
      <c r="AD13" s="201">
        <f>SUM(N13:P13)</f>
        <v>15278.66</v>
      </c>
      <c r="AE13" s="201">
        <f>SUM(Q13:S13)</f>
        <v>17685.419999999998</v>
      </c>
      <c r="AF13" s="201">
        <f>SUM(T13:V13)</f>
        <v>20775.48</v>
      </c>
      <c r="AG13" s="202">
        <f>SUM(W13:Y13)</f>
        <v>22702.080000000002</v>
      </c>
      <c r="AH13" s="170"/>
      <c r="AI13" s="204">
        <f>SUM(E13:P13)</f>
        <v>53271.66</v>
      </c>
      <c r="AJ13" s="170"/>
      <c r="AK13" s="203">
        <f>SUM(Q13:Y13)</f>
        <v>61162.979999999996</v>
      </c>
      <c r="AL13" s="201">
        <f>SUM(N13:Y13)</f>
        <v>76441.639999999985</v>
      </c>
    </row>
    <row r="14" spans="1:38" ht="14.45" customHeight="1">
      <c r="A14" s="122"/>
      <c r="B14" s="122"/>
      <c r="C14" s="151" t="s">
        <v>36</v>
      </c>
      <c r="D14" s="122"/>
      <c r="E14" s="173">
        <f t="shared" ref="E14:Y14" si="2">E11-E13</f>
        <v>44857.5</v>
      </c>
      <c r="F14" s="173">
        <f t="shared" si="2"/>
        <v>38012</v>
      </c>
      <c r="G14" s="173">
        <f t="shared" si="2"/>
        <v>47100.5</v>
      </c>
      <c r="H14" s="173">
        <f t="shared" si="2"/>
        <v>39913.5</v>
      </c>
      <c r="I14" s="173">
        <f t="shared" si="2"/>
        <v>49455.5</v>
      </c>
      <c r="J14" s="173">
        <f t="shared" si="2"/>
        <v>41908.5</v>
      </c>
      <c r="K14" s="173">
        <f t="shared" si="2"/>
        <v>44005</v>
      </c>
      <c r="L14" s="173">
        <f t="shared" si="2"/>
        <v>44005.5</v>
      </c>
      <c r="M14" s="173">
        <f t="shared" si="2"/>
        <v>46205</v>
      </c>
      <c r="N14" s="173">
        <f t="shared" si="2"/>
        <v>46204.67</v>
      </c>
      <c r="O14" s="173">
        <f t="shared" si="2"/>
        <v>48514.67</v>
      </c>
      <c r="P14" s="173">
        <f t="shared" si="2"/>
        <v>50941</v>
      </c>
      <c r="Q14" s="173">
        <f t="shared" si="2"/>
        <v>53487.8</v>
      </c>
      <c r="R14" s="173">
        <f t="shared" si="2"/>
        <v>56163</v>
      </c>
      <c r="S14" s="173">
        <f t="shared" si="2"/>
        <v>58971</v>
      </c>
      <c r="T14" s="173">
        <f t="shared" si="2"/>
        <v>61919</v>
      </c>
      <c r="U14" s="173">
        <f t="shared" si="2"/>
        <v>65014</v>
      </c>
      <c r="V14" s="173">
        <f t="shared" si="2"/>
        <v>76665.490000000005</v>
      </c>
      <c r="W14" s="173">
        <f t="shared" si="2"/>
        <v>72678.759999999995</v>
      </c>
      <c r="X14" s="173">
        <f t="shared" si="2"/>
        <v>75262.700000000012</v>
      </c>
      <c r="Y14" s="205">
        <f t="shared" si="2"/>
        <v>79025.83</v>
      </c>
      <c r="Z14" s="125"/>
      <c r="AA14" s="206">
        <f t="shared" ref="AA14:AG14" si="3">AA11-AA13</f>
        <v>129970</v>
      </c>
      <c r="AB14" s="173">
        <f t="shared" si="3"/>
        <v>131277.5</v>
      </c>
      <c r="AC14" s="173">
        <f t="shared" si="3"/>
        <v>134215.5</v>
      </c>
      <c r="AD14" s="173">
        <f t="shared" si="3"/>
        <v>145660.34</v>
      </c>
      <c r="AE14" s="173">
        <f t="shared" si="3"/>
        <v>168621.8</v>
      </c>
      <c r="AF14" s="173">
        <f t="shared" si="3"/>
        <v>203598.49</v>
      </c>
      <c r="AG14" s="205">
        <f t="shared" si="3"/>
        <v>226967.28999999998</v>
      </c>
      <c r="AH14" s="125"/>
      <c r="AI14" s="207">
        <f>AI11-AI13</f>
        <v>541123.34</v>
      </c>
      <c r="AJ14" s="125"/>
      <c r="AK14" s="206">
        <f>AK11-AK13</f>
        <v>599187.57999999996</v>
      </c>
      <c r="AL14" s="173">
        <f>AL11-AL13</f>
        <v>744847.91999999993</v>
      </c>
    </row>
    <row r="15" spans="1:38" ht="8.1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90"/>
      <c r="Z15" s="122"/>
      <c r="AA15" s="195"/>
      <c r="AB15" s="122"/>
      <c r="AC15" s="122"/>
      <c r="AD15" s="122"/>
      <c r="AE15" s="122"/>
      <c r="AF15" s="122"/>
      <c r="AG15" s="190"/>
      <c r="AH15" s="122"/>
      <c r="AI15" s="199"/>
      <c r="AJ15" s="122"/>
      <c r="AK15" s="195"/>
      <c r="AL15" s="122"/>
    </row>
    <row r="16" spans="1:38" ht="14.45" customHeight="1">
      <c r="A16" s="122"/>
      <c r="B16" s="122"/>
      <c r="C16" s="150" t="s">
        <v>37</v>
      </c>
      <c r="D16" s="122"/>
      <c r="E16" s="172">
        <f>'Data Summary'!N17</f>
        <v>27987</v>
      </c>
      <c r="F16" s="172">
        <f>'Data Summary'!O17</f>
        <v>44074</v>
      </c>
      <c r="G16" s="172">
        <f>'Data Summary'!P17</f>
        <v>29386</v>
      </c>
      <c r="H16" s="172">
        <f>'Data Summary'!Q17</f>
        <v>46277</v>
      </c>
      <c r="I16" s="172">
        <f>'Data Summary'!R17</f>
        <v>30855</v>
      </c>
      <c r="J16" s="172">
        <f>'Data Summary'!S17</f>
        <v>48591</v>
      </c>
      <c r="K16" s="172">
        <f>'Data Summary'!T17</f>
        <v>51020</v>
      </c>
      <c r="L16" s="172">
        <f>'Data Summary'!U17</f>
        <v>51020</v>
      </c>
      <c r="M16" s="172">
        <f>'Data Summary'!V17</f>
        <v>53572</v>
      </c>
      <c r="N16" s="172">
        <f>'Data Summary'!W17</f>
        <v>53572</v>
      </c>
      <c r="O16" s="172">
        <f>'Data Summary'!X17</f>
        <v>56250</v>
      </c>
      <c r="P16" s="172">
        <f>'Data Summary'!Y17</f>
        <v>59063</v>
      </c>
      <c r="Q16" s="172">
        <f>'Data Summary'!Z17</f>
        <v>62015.869999999995</v>
      </c>
      <c r="R16" s="172">
        <f>'Data Summary'!AA17</f>
        <v>65117</v>
      </c>
      <c r="S16" s="172">
        <f>'Data Summary'!AB17</f>
        <v>68373</v>
      </c>
      <c r="T16" s="172">
        <f>'Data Summary'!AC17</f>
        <v>71791</v>
      </c>
      <c r="U16" s="172">
        <f>'Data Summary'!AD17</f>
        <v>75380</v>
      </c>
      <c r="V16" s="172">
        <f>'Data Summary'!AE17</f>
        <v>79149.72</v>
      </c>
      <c r="W16" s="172">
        <f>'Data Summary'!AF17</f>
        <v>83107.199999999997</v>
      </c>
      <c r="X16" s="172">
        <f>'Data Summary'!AG17</f>
        <v>87262.57</v>
      </c>
      <c r="Y16" s="208">
        <f>'Data Summary'!AH17</f>
        <v>91625.69</v>
      </c>
      <c r="Z16" s="170"/>
      <c r="AA16" s="209">
        <f>SUM(E16:G16)</f>
        <v>101447</v>
      </c>
      <c r="AB16" s="172">
        <f>SUM(H16:J16)</f>
        <v>125723</v>
      </c>
      <c r="AC16" s="172">
        <f>SUM(K16:M16)</f>
        <v>155612</v>
      </c>
      <c r="AD16" s="172">
        <f>SUM(N16:P16)</f>
        <v>168885</v>
      </c>
      <c r="AE16" s="172">
        <f>SUM(Q16:S16)</f>
        <v>195505.87</v>
      </c>
      <c r="AF16" s="172">
        <f>SUM(T16:V16)</f>
        <v>226320.72</v>
      </c>
      <c r="AG16" s="208">
        <f>SUM(W16:Y16)</f>
        <v>261995.46000000002</v>
      </c>
      <c r="AH16" s="170"/>
      <c r="AI16" s="210">
        <f>SUM(E16:P16)</f>
        <v>551667</v>
      </c>
      <c r="AJ16" s="170"/>
      <c r="AK16" s="209">
        <f>SUM(Q16:Y16)</f>
        <v>683822.05</v>
      </c>
      <c r="AL16" s="172">
        <f>SUM(N16:Y16)</f>
        <v>852707.04999999981</v>
      </c>
    </row>
    <row r="17" spans="1:38" ht="14.45" customHeight="1">
      <c r="A17" s="122"/>
      <c r="B17" s="122"/>
      <c r="C17" s="150" t="s">
        <v>38</v>
      </c>
      <c r="D17" s="122"/>
      <c r="E17" s="172">
        <f>'Data Summary'!N18</f>
        <v>34792.5</v>
      </c>
      <c r="F17" s="172">
        <f>'Data Summary'!O18</f>
        <v>43606</v>
      </c>
      <c r="G17" s="172">
        <f>'Data Summary'!P18</f>
        <v>36531</v>
      </c>
      <c r="H17" s="172">
        <f>'Data Summary'!Q18</f>
        <v>45786</v>
      </c>
      <c r="I17" s="172">
        <f>'Data Summary'!R18</f>
        <v>38358</v>
      </c>
      <c r="J17" s="172">
        <f>'Data Summary'!S18</f>
        <v>48076.5</v>
      </c>
      <c r="K17" s="172">
        <f>'Data Summary'!T18</f>
        <v>50480</v>
      </c>
      <c r="L17" s="172">
        <f>'Data Summary'!U18</f>
        <v>50479.5</v>
      </c>
      <c r="M17" s="172">
        <f>'Data Summary'!V18</f>
        <v>53004</v>
      </c>
      <c r="N17" s="172">
        <f>'Data Summary'!W18</f>
        <v>53004.33</v>
      </c>
      <c r="O17" s="172">
        <f>'Data Summary'!X18</f>
        <v>55654.33</v>
      </c>
      <c r="P17" s="172">
        <f>'Data Summary'!Y18</f>
        <v>58434.5</v>
      </c>
      <c r="Q17" s="172">
        <f>'Data Summary'!Z18</f>
        <v>61359.369999999995</v>
      </c>
      <c r="R17" s="172">
        <f>'Data Summary'!AA18</f>
        <v>64428</v>
      </c>
      <c r="S17" s="172">
        <f>'Data Summary'!AB18</f>
        <v>67649</v>
      </c>
      <c r="T17" s="172">
        <f>'Data Summary'!AC18</f>
        <v>71031</v>
      </c>
      <c r="U17" s="172">
        <f>'Data Summary'!AD18</f>
        <v>74584</v>
      </c>
      <c r="V17" s="172">
        <f>'Data Summary'!AE18</f>
        <v>79311.820000000007</v>
      </c>
      <c r="W17" s="172">
        <f>'Data Summary'!AF18</f>
        <v>82227.42</v>
      </c>
      <c r="X17" s="172">
        <f>'Data Summary'!AG18</f>
        <v>86338.78</v>
      </c>
      <c r="Y17" s="208">
        <f>'Data Summary'!AH18</f>
        <v>90655.73</v>
      </c>
      <c r="Z17" s="170"/>
      <c r="AA17" s="209">
        <f>SUM(E17:G17)</f>
        <v>114929.5</v>
      </c>
      <c r="AB17" s="172">
        <f>SUM(H17:J17)</f>
        <v>132220.5</v>
      </c>
      <c r="AC17" s="172">
        <f>SUM(K17:M17)</f>
        <v>153963.5</v>
      </c>
      <c r="AD17" s="172">
        <f>SUM(N17:P17)</f>
        <v>167093.16</v>
      </c>
      <c r="AE17" s="172">
        <f>SUM(Q17:S17)</f>
        <v>193436.37</v>
      </c>
      <c r="AF17" s="172">
        <f>SUM(T17:V17)</f>
        <v>224926.82</v>
      </c>
      <c r="AG17" s="208">
        <f>SUM(W17:Y17)</f>
        <v>259221.93</v>
      </c>
      <c r="AH17" s="170"/>
      <c r="AI17" s="210">
        <f>SUM(E17:P17)</f>
        <v>568206.66</v>
      </c>
      <c r="AJ17" s="170"/>
      <c r="AK17" s="209">
        <f>SUM(Q17:Y17)</f>
        <v>677585.12</v>
      </c>
      <c r="AL17" s="172">
        <f>SUM(N17:Y17)</f>
        <v>844678.28000000014</v>
      </c>
    </row>
    <row r="18" spans="1:38" ht="14.45" customHeight="1">
      <c r="A18" s="122"/>
      <c r="B18" s="122"/>
      <c r="C18" s="150" t="s">
        <v>39</v>
      </c>
      <c r="D18" s="122"/>
      <c r="E18" s="172">
        <f>'Data Summary'!N19</f>
        <v>22188</v>
      </c>
      <c r="F18" s="172">
        <f>'Data Summary'!O19</f>
        <v>39256</v>
      </c>
      <c r="G18" s="172">
        <f>'Data Summary'!P19</f>
        <v>23297</v>
      </c>
      <c r="H18" s="172">
        <f>'Data Summary'!Q19</f>
        <v>41219</v>
      </c>
      <c r="I18" s="172">
        <f>'Data Summary'!R19</f>
        <v>24463</v>
      </c>
      <c r="J18" s="172">
        <f>'Data Summary'!S19</f>
        <v>43279</v>
      </c>
      <c r="K18" s="172">
        <f>'Data Summary'!T19</f>
        <v>45443</v>
      </c>
      <c r="L18" s="172">
        <f>'Data Summary'!U19</f>
        <v>45443</v>
      </c>
      <c r="M18" s="172">
        <f>'Data Summary'!V19</f>
        <v>47716</v>
      </c>
      <c r="N18" s="172">
        <f>'Data Summary'!W19</f>
        <v>47716.34</v>
      </c>
      <c r="O18" s="172">
        <f>'Data Summary'!X19</f>
        <v>50101.34</v>
      </c>
      <c r="P18" s="172">
        <f>'Data Summary'!Y19</f>
        <v>52608</v>
      </c>
      <c r="Q18" s="172">
        <f>'Data Summary'!Z19</f>
        <v>55236.87</v>
      </c>
      <c r="R18" s="172">
        <f>'Data Summary'!AA19</f>
        <v>57999</v>
      </c>
      <c r="S18" s="172">
        <f>'Data Summary'!AB19</f>
        <v>60899</v>
      </c>
      <c r="T18" s="172">
        <f>'Data Summary'!AC19</f>
        <v>63944</v>
      </c>
      <c r="U18" s="172">
        <f>'Data Summary'!AD19</f>
        <v>67141</v>
      </c>
      <c r="V18" s="172">
        <f>'Data Summary'!AE19</f>
        <v>70497.840000000011</v>
      </c>
      <c r="W18" s="172">
        <f>'Data Summary'!AF19</f>
        <v>74022.679999999993</v>
      </c>
      <c r="X18" s="172">
        <f>'Data Summary'!AG19</f>
        <v>77723.81</v>
      </c>
      <c r="Y18" s="208">
        <f>'Data Summary'!AH19</f>
        <v>81610.000000000015</v>
      </c>
      <c r="Z18" s="170"/>
      <c r="AA18" s="209">
        <f>SUM(E18:G18)</f>
        <v>84741</v>
      </c>
      <c r="AB18" s="172">
        <f>SUM(H18:J18)</f>
        <v>108961</v>
      </c>
      <c r="AC18" s="172">
        <f>SUM(K18:M18)</f>
        <v>138602</v>
      </c>
      <c r="AD18" s="172">
        <f>SUM(N18:P18)</f>
        <v>150425.68</v>
      </c>
      <c r="AE18" s="172">
        <f>SUM(Q18:S18)</f>
        <v>174134.87</v>
      </c>
      <c r="AF18" s="172">
        <f>SUM(T18:V18)</f>
        <v>201582.84000000003</v>
      </c>
      <c r="AG18" s="208">
        <f>SUM(W18:Y18)</f>
        <v>233356.49</v>
      </c>
      <c r="AH18" s="170"/>
      <c r="AI18" s="210">
        <f>SUM(E18:P18)</f>
        <v>482729.67999999993</v>
      </c>
      <c r="AJ18" s="170"/>
      <c r="AK18" s="209">
        <f>SUM(Q18:Y18)</f>
        <v>609074.19999999995</v>
      </c>
      <c r="AL18" s="172">
        <f>SUM(N18:Y18)</f>
        <v>759499.88000000012</v>
      </c>
    </row>
    <row r="19" spans="1:38" ht="14.45" customHeight="1">
      <c r="A19" s="122"/>
      <c r="B19" s="122"/>
      <c r="C19" s="150" t="s">
        <v>40</v>
      </c>
      <c r="D19" s="122"/>
      <c r="E19" s="172">
        <f>'Data Summary'!N20</f>
        <v>8168</v>
      </c>
      <c r="F19" s="172">
        <f>'Data Summary'!O20</f>
        <v>14138</v>
      </c>
      <c r="G19" s="172">
        <f>'Data Summary'!P20</f>
        <v>8577</v>
      </c>
      <c r="H19" s="172">
        <f>'Data Summary'!Q20</f>
        <v>14845</v>
      </c>
      <c r="I19" s="172">
        <f>'Data Summary'!R20</f>
        <v>9005</v>
      </c>
      <c r="J19" s="172">
        <f>'Data Summary'!S20</f>
        <v>15587</v>
      </c>
      <c r="K19" s="172">
        <f>'Data Summary'!T20</f>
        <v>16368</v>
      </c>
      <c r="L19" s="172">
        <f>'Data Summary'!U20</f>
        <v>16368</v>
      </c>
      <c r="M19" s="172">
        <f>'Data Summary'!V20</f>
        <v>17184</v>
      </c>
      <c r="N19" s="172">
        <f>'Data Summary'!W20</f>
        <v>17184</v>
      </c>
      <c r="O19" s="172">
        <f>'Data Summary'!X20</f>
        <v>18045</v>
      </c>
      <c r="P19" s="172">
        <f>'Data Summary'!Y20</f>
        <v>18946</v>
      </c>
      <c r="Q19" s="172">
        <f>'Data Summary'!Z20</f>
        <v>19893.72</v>
      </c>
      <c r="R19" s="172">
        <f>'Data Summary'!AA20</f>
        <v>20888</v>
      </c>
      <c r="S19" s="172">
        <f>'Data Summary'!AB20</f>
        <v>21933</v>
      </c>
      <c r="T19" s="172">
        <f>'Data Summary'!AC20</f>
        <v>23029</v>
      </c>
      <c r="U19" s="172">
        <f>'Data Summary'!AD20</f>
        <v>24181</v>
      </c>
      <c r="V19" s="172">
        <f>'Data Summary'!AE20</f>
        <v>25390</v>
      </c>
      <c r="W19" s="172">
        <f>'Data Summary'!AF20</f>
        <v>26659.489999999998</v>
      </c>
      <c r="X19" s="172">
        <f>'Data Summary'!AG20</f>
        <v>27992.46</v>
      </c>
      <c r="Y19" s="208">
        <f>'Data Summary'!AH20</f>
        <v>29392.09</v>
      </c>
      <c r="Z19" s="170"/>
      <c r="AA19" s="209">
        <f>SUM(E19:G19)</f>
        <v>30883</v>
      </c>
      <c r="AB19" s="172">
        <f>SUM(H19:J19)</f>
        <v>39437</v>
      </c>
      <c r="AC19" s="172">
        <f>SUM(K19:M19)</f>
        <v>49920</v>
      </c>
      <c r="AD19" s="172">
        <f>SUM(N19:P19)</f>
        <v>54175</v>
      </c>
      <c r="AE19" s="172">
        <f>SUM(Q19:S19)</f>
        <v>62714.720000000001</v>
      </c>
      <c r="AF19" s="172">
        <f>SUM(T19:V19)</f>
        <v>72600</v>
      </c>
      <c r="AG19" s="208">
        <f>SUM(W19:Y19)</f>
        <v>84044.04</v>
      </c>
      <c r="AH19" s="170"/>
      <c r="AI19" s="210">
        <f>SUM(E19:P19)</f>
        <v>174415</v>
      </c>
      <c r="AJ19" s="170"/>
      <c r="AK19" s="209">
        <f>SUM(Q19:Y19)</f>
        <v>219358.75999999998</v>
      </c>
      <c r="AL19" s="172">
        <f>SUM(N19:Y19)</f>
        <v>273533.76</v>
      </c>
    </row>
    <row r="20" spans="1:38" ht="14.45" customHeight="1">
      <c r="A20" s="122"/>
      <c r="B20" s="122"/>
      <c r="C20" s="150" t="s">
        <v>41</v>
      </c>
      <c r="D20" s="122"/>
      <c r="E20" s="201">
        <f>'Data Summary'!N21</f>
        <v>3031</v>
      </c>
      <c r="F20" s="201">
        <f>'Data Summary'!O21</f>
        <v>4762</v>
      </c>
      <c r="G20" s="201">
        <f>'Data Summary'!P21</f>
        <v>3183</v>
      </c>
      <c r="H20" s="201">
        <f>'Data Summary'!Q21</f>
        <v>5001</v>
      </c>
      <c r="I20" s="201">
        <f>'Data Summary'!R21</f>
        <v>3341</v>
      </c>
      <c r="J20" s="201">
        <f>'Data Summary'!S21</f>
        <v>5251</v>
      </c>
      <c r="K20" s="201">
        <f>'Data Summary'!T21</f>
        <v>5514</v>
      </c>
      <c r="L20" s="201">
        <f>'Data Summary'!U21</f>
        <v>5514</v>
      </c>
      <c r="M20" s="201">
        <f>'Data Summary'!V21</f>
        <v>5789</v>
      </c>
      <c r="N20" s="201">
        <f>'Data Summary'!W21</f>
        <v>5789</v>
      </c>
      <c r="O20" s="201">
        <f>'Data Summary'!X21</f>
        <v>6078</v>
      </c>
      <c r="P20" s="201">
        <f>'Data Summary'!Y21</f>
        <v>6383</v>
      </c>
      <c r="Q20" s="201">
        <f>'Data Summary'!Z21</f>
        <v>6701.46</v>
      </c>
      <c r="R20" s="201">
        <f>'Data Summary'!AA21</f>
        <v>7036</v>
      </c>
      <c r="S20" s="201">
        <f>'Data Summary'!AB21</f>
        <v>7388</v>
      </c>
      <c r="T20" s="201">
        <f>'Data Summary'!AC21</f>
        <v>7758</v>
      </c>
      <c r="U20" s="201">
        <f>'Data Summary'!AD21</f>
        <v>8146</v>
      </c>
      <c r="V20" s="201">
        <f>'Data Summary'!AE21</f>
        <v>8552.9000000000015</v>
      </c>
      <c r="W20" s="201">
        <f>'Data Summary'!AF21</f>
        <v>8980.5999999999985</v>
      </c>
      <c r="X20" s="201">
        <f>'Data Summary'!AG21</f>
        <v>9429.6500000000015</v>
      </c>
      <c r="Y20" s="202">
        <f>'Data Summary'!AH21</f>
        <v>9901.11</v>
      </c>
      <c r="Z20" s="170"/>
      <c r="AA20" s="203">
        <f>SUM(E20:G20)</f>
        <v>10976</v>
      </c>
      <c r="AB20" s="201">
        <f>SUM(H20:J20)</f>
        <v>13593</v>
      </c>
      <c r="AC20" s="201">
        <f>SUM(K20:M20)</f>
        <v>16817</v>
      </c>
      <c r="AD20" s="201">
        <f>SUM(N20:P20)</f>
        <v>18250</v>
      </c>
      <c r="AE20" s="201">
        <f>SUM(Q20:S20)</f>
        <v>21125.46</v>
      </c>
      <c r="AF20" s="201">
        <f>SUM(T20:V20)</f>
        <v>24456.9</v>
      </c>
      <c r="AG20" s="202">
        <f>SUM(W20:Y20)</f>
        <v>28311.360000000001</v>
      </c>
      <c r="AH20" s="170"/>
      <c r="AI20" s="204">
        <f>SUM(E20:P20)</f>
        <v>59636</v>
      </c>
      <c r="AJ20" s="170"/>
      <c r="AK20" s="203">
        <f>SUM(Q20:Y20)</f>
        <v>73893.72</v>
      </c>
      <c r="AL20" s="201">
        <f>SUM(N20:Y20)</f>
        <v>92143.719999999987</v>
      </c>
    </row>
    <row r="21" spans="1:38" ht="14.45" customHeight="1">
      <c r="A21" s="122"/>
      <c r="B21" s="122"/>
      <c r="C21" s="151" t="s">
        <v>42</v>
      </c>
      <c r="D21" s="122"/>
      <c r="E21" s="173">
        <f t="shared" ref="E21:Y21" si="4">SUM(E16:E20)</f>
        <v>96166.5</v>
      </c>
      <c r="F21" s="173">
        <f t="shared" si="4"/>
        <v>145836</v>
      </c>
      <c r="G21" s="173">
        <f t="shared" si="4"/>
        <v>100974</v>
      </c>
      <c r="H21" s="173">
        <f t="shared" si="4"/>
        <v>153128</v>
      </c>
      <c r="I21" s="173">
        <f t="shared" si="4"/>
        <v>106022</v>
      </c>
      <c r="J21" s="173">
        <f t="shared" si="4"/>
        <v>160784.5</v>
      </c>
      <c r="K21" s="173">
        <f t="shared" si="4"/>
        <v>168825</v>
      </c>
      <c r="L21" s="173">
        <f t="shared" si="4"/>
        <v>168824.5</v>
      </c>
      <c r="M21" s="173">
        <f t="shared" si="4"/>
        <v>177265</v>
      </c>
      <c r="N21" s="173">
        <f t="shared" si="4"/>
        <v>177265.66999999998</v>
      </c>
      <c r="O21" s="173">
        <f t="shared" si="4"/>
        <v>186128.66999999998</v>
      </c>
      <c r="P21" s="173">
        <f t="shared" si="4"/>
        <v>195434.5</v>
      </c>
      <c r="Q21" s="173">
        <f t="shared" si="4"/>
        <v>205207.28999999998</v>
      </c>
      <c r="R21" s="173">
        <f t="shared" si="4"/>
        <v>215468</v>
      </c>
      <c r="S21" s="173">
        <f t="shared" si="4"/>
        <v>226242</v>
      </c>
      <c r="T21" s="173">
        <f t="shared" si="4"/>
        <v>237553</v>
      </c>
      <c r="U21" s="173">
        <f t="shared" si="4"/>
        <v>249432</v>
      </c>
      <c r="V21" s="173">
        <f t="shared" si="4"/>
        <v>262902.28000000003</v>
      </c>
      <c r="W21" s="173">
        <f t="shared" si="4"/>
        <v>274997.38999999996</v>
      </c>
      <c r="X21" s="173">
        <f t="shared" si="4"/>
        <v>288747.27</v>
      </c>
      <c r="Y21" s="205">
        <f t="shared" si="4"/>
        <v>303184.62</v>
      </c>
      <c r="Z21" s="125"/>
      <c r="AA21" s="206">
        <f t="shared" ref="AA21:AG21" si="5">SUM(AA16:AA20)</f>
        <v>342976.5</v>
      </c>
      <c r="AB21" s="173">
        <f t="shared" si="5"/>
        <v>419934.5</v>
      </c>
      <c r="AC21" s="173">
        <f t="shared" si="5"/>
        <v>514914.5</v>
      </c>
      <c r="AD21" s="173">
        <f t="shared" si="5"/>
        <v>558828.84000000008</v>
      </c>
      <c r="AE21" s="173">
        <f t="shared" si="5"/>
        <v>646917.28999999992</v>
      </c>
      <c r="AF21" s="173">
        <f t="shared" si="5"/>
        <v>749887.28000000014</v>
      </c>
      <c r="AG21" s="205">
        <f t="shared" si="5"/>
        <v>866929.28</v>
      </c>
      <c r="AH21" s="125"/>
      <c r="AI21" s="207">
        <f>SUM(AI16:AI20)</f>
        <v>1836654.34</v>
      </c>
      <c r="AJ21" s="125"/>
      <c r="AK21" s="206">
        <f>SUM(AK16:AK20)</f>
        <v>2263733.85</v>
      </c>
      <c r="AL21" s="173">
        <f>SUM(AL16:AL20)</f>
        <v>2822562.69</v>
      </c>
    </row>
    <row r="22" spans="1:38" ht="8.1" customHeight="1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90"/>
      <c r="Z22" s="122"/>
      <c r="AA22" s="195"/>
      <c r="AB22" s="122"/>
      <c r="AC22" s="122"/>
      <c r="AD22" s="122"/>
      <c r="AE22" s="122"/>
      <c r="AF22" s="122"/>
      <c r="AG22" s="190"/>
      <c r="AH22" s="122"/>
      <c r="AI22" s="199"/>
      <c r="AJ22" s="122"/>
      <c r="AK22" s="195"/>
      <c r="AL22" s="122"/>
    </row>
    <row r="23" spans="1:38" ht="14.45" customHeight="1">
      <c r="A23" s="122"/>
      <c r="B23" s="122"/>
      <c r="C23" s="151" t="s">
        <v>43</v>
      </c>
      <c r="D23" s="122"/>
      <c r="E23" s="173">
        <f t="shared" ref="E23:Y23" si="6">E14-E21</f>
        <v>-51309</v>
      </c>
      <c r="F23" s="173">
        <f t="shared" si="6"/>
        <v>-107824</v>
      </c>
      <c r="G23" s="173">
        <f t="shared" si="6"/>
        <v>-53873.5</v>
      </c>
      <c r="H23" s="173">
        <f t="shared" si="6"/>
        <v>-113214.5</v>
      </c>
      <c r="I23" s="173">
        <f t="shared" si="6"/>
        <v>-56566.5</v>
      </c>
      <c r="J23" s="173">
        <f t="shared" si="6"/>
        <v>-118876</v>
      </c>
      <c r="K23" s="173">
        <f t="shared" si="6"/>
        <v>-124820</v>
      </c>
      <c r="L23" s="173">
        <f t="shared" si="6"/>
        <v>-124819</v>
      </c>
      <c r="M23" s="173">
        <f t="shared" si="6"/>
        <v>-131060</v>
      </c>
      <c r="N23" s="173">
        <f t="shared" si="6"/>
        <v>-131060.99999999999</v>
      </c>
      <c r="O23" s="173">
        <f t="shared" si="6"/>
        <v>-137614</v>
      </c>
      <c r="P23" s="173">
        <f t="shared" si="6"/>
        <v>-144493.5</v>
      </c>
      <c r="Q23" s="173">
        <f t="shared" si="6"/>
        <v>-151719.49</v>
      </c>
      <c r="R23" s="173">
        <f t="shared" si="6"/>
        <v>-159305</v>
      </c>
      <c r="S23" s="173">
        <f t="shared" si="6"/>
        <v>-167271</v>
      </c>
      <c r="T23" s="173">
        <f t="shared" si="6"/>
        <v>-175634</v>
      </c>
      <c r="U23" s="173">
        <f t="shared" si="6"/>
        <v>-184418</v>
      </c>
      <c r="V23" s="173">
        <f t="shared" si="6"/>
        <v>-186236.79000000004</v>
      </c>
      <c r="W23" s="173">
        <f t="shared" si="6"/>
        <v>-202318.62999999995</v>
      </c>
      <c r="X23" s="173">
        <f t="shared" si="6"/>
        <v>-213484.57</v>
      </c>
      <c r="Y23" s="205">
        <f t="shared" si="6"/>
        <v>-224158.78999999998</v>
      </c>
      <c r="Z23" s="125"/>
      <c r="AA23" s="206">
        <f t="shared" ref="AA23:AG23" si="7">AA14-AA21</f>
        <v>-213006.5</v>
      </c>
      <c r="AB23" s="173">
        <f t="shared" si="7"/>
        <v>-288657</v>
      </c>
      <c r="AC23" s="173">
        <f t="shared" si="7"/>
        <v>-380699</v>
      </c>
      <c r="AD23" s="173">
        <f t="shared" si="7"/>
        <v>-413168.50000000012</v>
      </c>
      <c r="AE23" s="173">
        <f t="shared" si="7"/>
        <v>-478295.48999999993</v>
      </c>
      <c r="AF23" s="173">
        <f t="shared" si="7"/>
        <v>-546288.79000000015</v>
      </c>
      <c r="AG23" s="205">
        <f t="shared" si="7"/>
        <v>-639961.99</v>
      </c>
      <c r="AH23" s="125"/>
      <c r="AI23" s="207">
        <f>AI14-AI21</f>
        <v>-1295531</v>
      </c>
      <c r="AJ23" s="125"/>
      <c r="AK23" s="206">
        <f>AK14-AK21</f>
        <v>-1664546.27</v>
      </c>
      <c r="AL23" s="173">
        <f>AL14-AL21</f>
        <v>-2077714.77</v>
      </c>
    </row>
    <row r="24" spans="1:38" ht="8.1" customHeight="1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90"/>
      <c r="Z24" s="122"/>
      <c r="AA24" s="195"/>
      <c r="AB24" s="122"/>
      <c r="AC24" s="122"/>
      <c r="AD24" s="122"/>
      <c r="AE24" s="122"/>
      <c r="AF24" s="122"/>
      <c r="AG24" s="190"/>
      <c r="AH24" s="122"/>
      <c r="AI24" s="199"/>
      <c r="AJ24" s="122"/>
      <c r="AK24" s="195"/>
      <c r="AL24" s="122"/>
    </row>
    <row r="25" spans="1:38" ht="14.45" customHeight="1">
      <c r="A25" s="122"/>
      <c r="B25" s="122"/>
      <c r="C25" s="150" t="s">
        <v>44</v>
      </c>
      <c r="D25" s="122"/>
      <c r="E25" s="172">
        <f>'Data Summary'!N22</f>
        <v>0</v>
      </c>
      <c r="F25" s="172">
        <f>'Data Summary'!O22</f>
        <v>0</v>
      </c>
      <c r="G25" s="172">
        <f>'Data Summary'!P22</f>
        <v>0</v>
      </c>
      <c r="H25" s="172">
        <f>'Data Summary'!Q22</f>
        <v>0</v>
      </c>
      <c r="I25" s="172">
        <f>'Data Summary'!R22</f>
        <v>0</v>
      </c>
      <c r="J25" s="172">
        <f>'Data Summary'!S22</f>
        <v>0</v>
      </c>
      <c r="K25" s="172">
        <f>'Data Summary'!T22</f>
        <v>0</v>
      </c>
      <c r="L25" s="172">
        <f>'Data Summary'!U22</f>
        <v>0</v>
      </c>
      <c r="M25" s="172">
        <f>'Data Summary'!V22</f>
        <v>0</v>
      </c>
      <c r="N25" s="172">
        <f>'Data Summary'!W22</f>
        <v>0</v>
      </c>
      <c r="O25" s="172">
        <f>'Data Summary'!X22</f>
        <v>0</v>
      </c>
      <c r="P25" s="172">
        <f>'Data Summary'!Y22</f>
        <v>0</v>
      </c>
      <c r="Q25" s="172">
        <f>'Data Summary'!Z22</f>
        <v>0</v>
      </c>
      <c r="R25" s="172">
        <f>'Data Summary'!AA22</f>
        <v>0</v>
      </c>
      <c r="S25" s="172">
        <f>'Data Summary'!AB22</f>
        <v>0</v>
      </c>
      <c r="T25" s="172">
        <f>'Data Summary'!AC22</f>
        <v>0</v>
      </c>
      <c r="U25" s="172">
        <f>'Data Summary'!AD22</f>
        <v>0</v>
      </c>
      <c r="V25" s="172">
        <f>'Data Summary'!AE22</f>
        <v>0</v>
      </c>
      <c r="W25" s="172">
        <f>'Data Summary'!AF22</f>
        <v>0</v>
      </c>
      <c r="X25" s="172">
        <f>'Data Summary'!AG22</f>
        <v>0</v>
      </c>
      <c r="Y25" s="208">
        <f>'Data Summary'!AH22</f>
        <v>0</v>
      </c>
      <c r="Z25" s="170"/>
      <c r="AA25" s="209">
        <f>SUM(E25:G25)</f>
        <v>0</v>
      </c>
      <c r="AB25" s="172">
        <f>SUM(H25:J25)</f>
        <v>0</v>
      </c>
      <c r="AC25" s="172">
        <f>SUM(K25:M25)</f>
        <v>0</v>
      </c>
      <c r="AD25" s="172">
        <f>SUM(N25:P25)</f>
        <v>0</v>
      </c>
      <c r="AE25" s="172">
        <f>SUM(Q25:S25)</f>
        <v>0</v>
      </c>
      <c r="AF25" s="172">
        <f>SUM(T25:V25)</f>
        <v>0</v>
      </c>
      <c r="AG25" s="208">
        <f>SUM(W25:Y25)</f>
        <v>0</v>
      </c>
      <c r="AH25" s="170"/>
      <c r="AI25" s="210">
        <f>SUM(E25:P25)</f>
        <v>0</v>
      </c>
      <c r="AJ25" s="170"/>
      <c r="AK25" s="209">
        <f>SUM(Q25:Y25)</f>
        <v>0</v>
      </c>
      <c r="AL25" s="172">
        <f>SUM(N25:Y25)</f>
        <v>0</v>
      </c>
    </row>
    <row r="26" spans="1:38" ht="14.45" customHeight="1">
      <c r="A26" s="122"/>
      <c r="B26" s="122"/>
      <c r="C26" s="150" t="s">
        <v>45</v>
      </c>
      <c r="D26" s="122"/>
      <c r="E26" s="172">
        <f>'Data Summary'!N23</f>
        <v>0</v>
      </c>
      <c r="F26" s="172">
        <f>'Data Summary'!O23</f>
        <v>0</v>
      </c>
      <c r="G26" s="172">
        <f>'Data Summary'!P23</f>
        <v>0</v>
      </c>
      <c r="H26" s="172">
        <f>'Data Summary'!Q23</f>
        <v>0</v>
      </c>
      <c r="I26" s="172">
        <f>'Data Summary'!R23</f>
        <v>0</v>
      </c>
      <c r="J26" s="172">
        <f>'Data Summary'!S23</f>
        <v>0</v>
      </c>
      <c r="K26" s="172">
        <f>'Data Summary'!T23</f>
        <v>0</v>
      </c>
      <c r="L26" s="172">
        <f>'Data Summary'!U23</f>
        <v>0</v>
      </c>
      <c r="M26" s="172">
        <f>'Data Summary'!V23</f>
        <v>0</v>
      </c>
      <c r="N26" s="172">
        <f>'Data Summary'!W23</f>
        <v>0</v>
      </c>
      <c r="O26" s="172">
        <f>'Data Summary'!X23</f>
        <v>0</v>
      </c>
      <c r="P26" s="172">
        <f>'Data Summary'!Y23</f>
        <v>0</v>
      </c>
      <c r="Q26" s="172">
        <f>'Data Summary'!Z23</f>
        <v>0</v>
      </c>
      <c r="R26" s="172">
        <f>'Data Summary'!AA23</f>
        <v>0</v>
      </c>
      <c r="S26" s="172">
        <f>'Data Summary'!AB23</f>
        <v>0</v>
      </c>
      <c r="T26" s="172">
        <f>'Data Summary'!AC23</f>
        <v>0</v>
      </c>
      <c r="U26" s="172">
        <f>'Data Summary'!AD23</f>
        <v>0</v>
      </c>
      <c r="V26" s="172">
        <f>'Data Summary'!AE23</f>
        <v>0</v>
      </c>
      <c r="W26" s="172">
        <f>'Data Summary'!AF23</f>
        <v>0</v>
      </c>
      <c r="X26" s="172">
        <f>'Data Summary'!AG23</f>
        <v>0</v>
      </c>
      <c r="Y26" s="208">
        <f>'Data Summary'!AH23</f>
        <v>0</v>
      </c>
      <c r="Z26" s="170"/>
      <c r="AA26" s="209">
        <f>SUM(E26:G26)</f>
        <v>0</v>
      </c>
      <c r="AB26" s="172">
        <f>SUM(H26:J26)</f>
        <v>0</v>
      </c>
      <c r="AC26" s="172">
        <f>SUM(K26:M26)</f>
        <v>0</v>
      </c>
      <c r="AD26" s="172">
        <f>SUM(N26:P26)</f>
        <v>0</v>
      </c>
      <c r="AE26" s="172">
        <f>SUM(Q26:S26)</f>
        <v>0</v>
      </c>
      <c r="AF26" s="172">
        <f>SUM(T26:V26)</f>
        <v>0</v>
      </c>
      <c r="AG26" s="208">
        <f>SUM(W26:Y26)</f>
        <v>0</v>
      </c>
      <c r="AH26" s="170"/>
      <c r="AI26" s="210">
        <f>SUM(E26:P26)</f>
        <v>0</v>
      </c>
      <c r="AJ26" s="170"/>
      <c r="AK26" s="209">
        <f>SUM(Q26:Y26)</f>
        <v>0</v>
      </c>
      <c r="AL26" s="172">
        <f>SUM(N26:Y26)</f>
        <v>0</v>
      </c>
    </row>
    <row r="27" spans="1:38" ht="14.45" customHeight="1">
      <c r="A27" s="122"/>
      <c r="B27" s="122"/>
      <c r="C27" s="150" t="s">
        <v>46</v>
      </c>
      <c r="D27" s="122"/>
      <c r="E27" s="201">
        <f>'Data Summary'!N24+'Data Summary'!N25</f>
        <v>21495.5</v>
      </c>
      <c r="F27" s="201">
        <f>'Data Summary'!O24+'Data Summary'!O25</f>
        <v>21496</v>
      </c>
      <c r="G27" s="201">
        <f>'Data Summary'!P24+'Data Summary'!P25</f>
        <v>21496</v>
      </c>
      <c r="H27" s="201">
        <f>'Data Summary'!Q24+'Data Summary'!Q25</f>
        <v>21496</v>
      </c>
      <c r="I27" s="201">
        <f>'Data Summary'!R24+'Data Summary'!R25</f>
        <v>21496</v>
      </c>
      <c r="J27" s="201">
        <f>'Data Summary'!S24+'Data Summary'!S25</f>
        <v>21496</v>
      </c>
      <c r="K27" s="201">
        <f>'Data Summary'!T24+'Data Summary'!T25</f>
        <v>21496</v>
      </c>
      <c r="L27" s="201">
        <f>'Data Summary'!U24+'Data Summary'!U25</f>
        <v>21496</v>
      </c>
      <c r="M27" s="201">
        <f>'Data Summary'!V24+'Data Summary'!V25</f>
        <v>21496</v>
      </c>
      <c r="N27" s="201">
        <f>'Data Summary'!W24+'Data Summary'!W25</f>
        <v>21496</v>
      </c>
      <c r="O27" s="201">
        <f>'Data Summary'!X24+'Data Summary'!X25</f>
        <v>21496</v>
      </c>
      <c r="P27" s="201">
        <f>'Data Summary'!Y24+'Data Summary'!Y25</f>
        <v>21496</v>
      </c>
      <c r="Q27" s="201">
        <f>'Data Summary'!Z24+'Data Summary'!Z25</f>
        <v>21495.42</v>
      </c>
      <c r="R27" s="201">
        <f>'Data Summary'!AA24+'Data Summary'!AA25</f>
        <v>21495.66</v>
      </c>
      <c r="S27" s="201">
        <f>'Data Summary'!AB24+'Data Summary'!AB25</f>
        <v>21495.66</v>
      </c>
      <c r="T27" s="201">
        <f>'Data Summary'!AC24+'Data Summary'!AC25</f>
        <v>21495.66</v>
      </c>
      <c r="U27" s="201">
        <f>'Data Summary'!AD24+'Data Summary'!AD25</f>
        <v>21495.66</v>
      </c>
      <c r="V27" s="201">
        <f>'Data Summary'!AE24+'Data Summary'!AE25</f>
        <v>21495.42</v>
      </c>
      <c r="W27" s="201">
        <f>'Data Summary'!AF24+'Data Summary'!AF25</f>
        <v>21495.42</v>
      </c>
      <c r="X27" s="201">
        <f>'Data Summary'!AG24+'Data Summary'!AG25</f>
        <v>21495.42</v>
      </c>
      <c r="Y27" s="202">
        <f>'Data Summary'!AH24+'Data Summary'!AH25</f>
        <v>21495.42</v>
      </c>
      <c r="Z27" s="170"/>
      <c r="AA27" s="203">
        <f>SUM(E27:G27)</f>
        <v>64487.5</v>
      </c>
      <c r="AB27" s="201">
        <f>SUM(H27:J27)</f>
        <v>64488</v>
      </c>
      <c r="AC27" s="201">
        <f>SUM(K27:M27)</f>
        <v>64488</v>
      </c>
      <c r="AD27" s="201">
        <f>SUM(N27:P27)</f>
        <v>64488</v>
      </c>
      <c r="AE27" s="201">
        <f>SUM(Q27:S27)</f>
        <v>64486.740000000005</v>
      </c>
      <c r="AF27" s="201">
        <f>SUM(T27:V27)</f>
        <v>64486.74</v>
      </c>
      <c r="AG27" s="202">
        <f>SUM(W27:Y27)</f>
        <v>64486.259999999995</v>
      </c>
      <c r="AH27" s="170"/>
      <c r="AI27" s="204">
        <f>SUM(E27:P27)</f>
        <v>257951.5</v>
      </c>
      <c r="AJ27" s="170"/>
      <c r="AK27" s="203">
        <f>SUM(Q27:Y27)</f>
        <v>193459.74</v>
      </c>
      <c r="AL27" s="201">
        <f>SUM(N27:Y27)</f>
        <v>257947.73999999993</v>
      </c>
    </row>
    <row r="28" spans="1:38" ht="8.1" customHeight="1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90"/>
      <c r="Z28" s="122"/>
      <c r="AA28" s="195"/>
      <c r="AB28" s="122"/>
      <c r="AC28" s="122"/>
      <c r="AD28" s="122"/>
      <c r="AE28" s="122"/>
      <c r="AF28" s="122"/>
      <c r="AG28" s="190"/>
      <c r="AH28" s="122"/>
      <c r="AI28" s="199"/>
      <c r="AJ28" s="122"/>
      <c r="AK28" s="195"/>
      <c r="AL28" s="122"/>
    </row>
    <row r="29" spans="1:38" ht="16.5" customHeight="1" thickBot="1">
      <c r="A29" s="122"/>
      <c r="B29" s="122"/>
      <c r="C29" s="154" t="s">
        <v>47</v>
      </c>
      <c r="D29" s="122"/>
      <c r="E29" s="211">
        <f t="shared" ref="E29:Y29" si="8">E23+E25-E26-E27</f>
        <v>-72804.5</v>
      </c>
      <c r="F29" s="211">
        <f t="shared" si="8"/>
        <v>-129320</v>
      </c>
      <c r="G29" s="211">
        <f t="shared" si="8"/>
        <v>-75369.5</v>
      </c>
      <c r="H29" s="211">
        <f t="shared" si="8"/>
        <v>-134710.5</v>
      </c>
      <c r="I29" s="211">
        <f t="shared" si="8"/>
        <v>-78062.5</v>
      </c>
      <c r="J29" s="211">
        <f t="shared" si="8"/>
        <v>-140372</v>
      </c>
      <c r="K29" s="211">
        <f t="shared" si="8"/>
        <v>-146316</v>
      </c>
      <c r="L29" s="211">
        <f t="shared" si="8"/>
        <v>-146315</v>
      </c>
      <c r="M29" s="211">
        <f t="shared" si="8"/>
        <v>-152556</v>
      </c>
      <c r="N29" s="211">
        <f t="shared" si="8"/>
        <v>-152557</v>
      </c>
      <c r="O29" s="211">
        <f t="shared" si="8"/>
        <v>-159110</v>
      </c>
      <c r="P29" s="211">
        <f t="shared" si="8"/>
        <v>-165989.5</v>
      </c>
      <c r="Q29" s="211">
        <f t="shared" si="8"/>
        <v>-173214.90999999997</v>
      </c>
      <c r="R29" s="211">
        <f t="shared" si="8"/>
        <v>-180800.66</v>
      </c>
      <c r="S29" s="211">
        <f t="shared" si="8"/>
        <v>-188766.66</v>
      </c>
      <c r="T29" s="211">
        <f t="shared" si="8"/>
        <v>-197129.66</v>
      </c>
      <c r="U29" s="211">
        <f t="shared" si="8"/>
        <v>-205913.66</v>
      </c>
      <c r="V29" s="211">
        <f t="shared" si="8"/>
        <v>-207732.21000000002</v>
      </c>
      <c r="W29" s="211">
        <f t="shared" si="8"/>
        <v>-223814.04999999993</v>
      </c>
      <c r="X29" s="211">
        <f t="shared" si="8"/>
        <v>-234979.99</v>
      </c>
      <c r="Y29" s="212">
        <f t="shared" si="8"/>
        <v>-245654.20999999996</v>
      </c>
      <c r="Z29" s="125"/>
      <c r="AA29" s="213">
        <f t="shared" ref="AA29:AG29" si="9">AA23+AA25-AA26-AA27</f>
        <v>-277494</v>
      </c>
      <c r="AB29" s="211">
        <f t="shared" si="9"/>
        <v>-353145</v>
      </c>
      <c r="AC29" s="211">
        <f t="shared" si="9"/>
        <v>-445187</v>
      </c>
      <c r="AD29" s="211">
        <f t="shared" si="9"/>
        <v>-477656.50000000012</v>
      </c>
      <c r="AE29" s="211">
        <f t="shared" si="9"/>
        <v>-542782.23</v>
      </c>
      <c r="AF29" s="211">
        <f t="shared" si="9"/>
        <v>-610775.53000000014</v>
      </c>
      <c r="AG29" s="212">
        <f t="shared" si="9"/>
        <v>-704448.25</v>
      </c>
      <c r="AH29" s="125"/>
      <c r="AI29" s="214">
        <f>AI23+AI25-AI26-AI27</f>
        <v>-1553482.5</v>
      </c>
      <c r="AJ29" s="125"/>
      <c r="AK29" s="213">
        <f>AK23+AK25-AK26-AK27</f>
        <v>-1858006.01</v>
      </c>
      <c r="AL29" s="211">
        <f>AL23+AL25-AL26-AL27</f>
        <v>-2335662.5099999998</v>
      </c>
    </row>
    <row r="30" spans="1:38" ht="8.1" customHeight="1" thickTop="1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90"/>
      <c r="Z30" s="122"/>
      <c r="AA30" s="195"/>
      <c r="AB30" s="122"/>
      <c r="AC30" s="122"/>
      <c r="AD30" s="122"/>
      <c r="AE30" s="122"/>
      <c r="AF30" s="122"/>
      <c r="AG30" s="190"/>
      <c r="AH30" s="122"/>
      <c r="AI30" s="199"/>
      <c r="AJ30" s="122"/>
      <c r="AK30" s="195"/>
      <c r="AL30" s="122"/>
    </row>
    <row r="31" spans="1:38" ht="8.1" customHeight="1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90"/>
      <c r="Z31" s="122"/>
      <c r="AA31" s="195"/>
      <c r="AB31" s="122"/>
      <c r="AC31" s="122"/>
      <c r="AD31" s="122"/>
      <c r="AE31" s="122"/>
      <c r="AF31" s="122"/>
      <c r="AG31" s="190"/>
      <c r="AH31" s="122"/>
      <c r="AI31" s="199"/>
      <c r="AJ31" s="122"/>
      <c r="AK31" s="195"/>
      <c r="AL31" s="122"/>
    </row>
    <row r="32" spans="1:38" ht="16.5" customHeight="1" thickBot="1">
      <c r="A32" s="122"/>
      <c r="B32" s="155" t="s">
        <v>48</v>
      </c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91"/>
      <c r="Z32" s="136"/>
      <c r="AA32" s="196"/>
      <c r="AB32" s="136"/>
      <c r="AC32" s="136"/>
      <c r="AD32" s="136"/>
      <c r="AE32" s="136"/>
      <c r="AF32" s="136"/>
      <c r="AG32" s="191"/>
      <c r="AH32" s="136"/>
      <c r="AI32" s="200"/>
      <c r="AJ32" s="136"/>
      <c r="AK32" s="196"/>
      <c r="AL32" s="136"/>
    </row>
    <row r="33" spans="1:38" ht="8.1" customHeight="1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90"/>
      <c r="Z33" s="122"/>
      <c r="AA33" s="195"/>
      <c r="AB33" s="122"/>
      <c r="AC33" s="122"/>
      <c r="AD33" s="122"/>
      <c r="AE33" s="122"/>
      <c r="AF33" s="122"/>
      <c r="AG33" s="190"/>
      <c r="AH33" s="122"/>
      <c r="AI33" s="199"/>
      <c r="AJ33" s="122"/>
      <c r="AK33" s="195"/>
      <c r="AL33" s="122"/>
    </row>
    <row r="34" spans="1:38" ht="14.45" customHeight="1">
      <c r="A34" s="122"/>
      <c r="B34" s="122"/>
      <c r="C34" s="159" t="s">
        <v>49</v>
      </c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90"/>
      <c r="Z34" s="122"/>
      <c r="AA34" s="195"/>
      <c r="AB34" s="122"/>
      <c r="AC34" s="122"/>
      <c r="AD34" s="122"/>
      <c r="AE34" s="122"/>
      <c r="AF34" s="122"/>
      <c r="AG34" s="190"/>
      <c r="AH34" s="122"/>
      <c r="AI34" s="199"/>
      <c r="AJ34" s="122"/>
      <c r="AK34" s="195"/>
      <c r="AL34" s="122"/>
    </row>
    <row r="35" spans="1:38" ht="14.45" customHeight="1">
      <c r="A35" s="122"/>
      <c r="B35" s="122"/>
      <c r="C35" s="150" t="s">
        <v>50</v>
      </c>
      <c r="D35" s="122"/>
      <c r="E35" s="172" cm="1">
        <f t="array" ref="E35">INDEX('Data Summary'!N$8:N$38,29-7)</f>
        <v>4191288.5</v>
      </c>
      <c r="F35" s="172" cm="1">
        <f t="array" ref="F35">INDEX('Data Summary'!O$8:O$38,29-7)</f>
        <v>4076334.5</v>
      </c>
      <c r="G35" s="172" cm="1">
        <f t="array" ref="G35">INDEX('Data Summary'!P$8:P$38,29-7)</f>
        <v>4004840.5</v>
      </c>
      <c r="H35" s="172" cm="1">
        <f t="array" ref="H35">INDEX('Data Summary'!Q$8:Q$38,29-7)</f>
        <v>3870793.5</v>
      </c>
      <c r="I35" s="172" cm="1">
        <f t="array" ref="I35">INDEX('Data Summary'!R$8:R$38,29-7)</f>
        <v>3794994.5</v>
      </c>
      <c r="J35" s="172" cm="1">
        <f t="array" ref="J35">INDEX('Data Summary'!S$8:S$38,29-7)</f>
        <v>3656851.5</v>
      </c>
      <c r="K35" s="172" cm="1">
        <f t="array" ref="K35">INDEX('Data Summary'!T$8:T$38,29-7)</f>
        <v>3512188.5</v>
      </c>
      <c r="L35" s="172" cm="1">
        <f t="array" ref="L35">INDEX('Data Summary'!U$8:U$38,29-7)</f>
        <v>3367871.5</v>
      </c>
      <c r="M35" s="172" cm="1">
        <f t="array" ref="M35">INDEX('Data Summary'!V$8:V$38,29-7)</f>
        <v>3217220.5</v>
      </c>
      <c r="N35" s="172" cm="1">
        <f t="array" ref="N35">INDEX('Data Summary'!W$8:W$38,29-7)</f>
        <v>3066455.5</v>
      </c>
      <c r="O35" s="172" cm="1">
        <f t="array" ref="O35">INDEX('Data Summary'!X$8:X$38,29-7)</f>
        <v>2909186.5</v>
      </c>
      <c r="P35" s="172" cm="1">
        <f t="array" ref="P35">INDEX('Data Summary'!Y$8:Y$38,29-7)</f>
        <v>2744982.5</v>
      </c>
      <c r="Q35" s="172" cm="1">
        <f t="array" ref="Q35">INDEX('Data Summary'!Z$8:Z$38,29-7)</f>
        <v>2573511.48</v>
      </c>
      <c r="R35" s="172" cm="1">
        <f t="array" ref="R35">INDEX('Data Summary'!AA$8:AA$38,29-7)</f>
        <v>2394437.4799999995</v>
      </c>
      <c r="S35" s="172" cm="1">
        <f t="array" ref="S35">INDEX('Data Summary'!AB$8:AB$38,29-7)</f>
        <v>2207358.48</v>
      </c>
      <c r="T35" s="172" cm="1">
        <f t="array" ref="T35">INDEX('Data Summary'!AC$8:AC$38,29-7)</f>
        <v>2011881.48</v>
      </c>
      <c r="U35" s="172" cm="1">
        <f t="array" ref="U35">INDEX('Data Summary'!AD$8:AD$38,29-7)</f>
        <v>1807588.48</v>
      </c>
      <c r="V35" s="172" cm="1">
        <f t="array" ref="V35">INDEX('Data Summary'!AE$8:AE$38,29-7)</f>
        <v>1594040.15</v>
      </c>
      <c r="W35" s="172" cm="1">
        <f t="array" ref="W35">INDEX('Data Summary'!AF$8:AF$38,29-7)</f>
        <v>1370773.78</v>
      </c>
      <c r="X35" s="172" cm="1">
        <f t="array" ref="X35">INDEX('Data Summary'!AG$8:AG$38,29-7)</f>
        <v>1137304.6599999999</v>
      </c>
      <c r="Y35" s="208" cm="1">
        <f t="array" ref="Y35">INDEX('Data Summary'!AH$8:AH$38,29-7)</f>
        <v>893122.77</v>
      </c>
      <c r="Z35" s="170"/>
      <c r="AA35" s="209">
        <f>G35</f>
        <v>4004840.5</v>
      </c>
      <c r="AB35" s="172">
        <f>J35</f>
        <v>3656851.5</v>
      </c>
      <c r="AC35" s="172">
        <f>M35</f>
        <v>3217220.5</v>
      </c>
      <c r="AD35" s="172">
        <f>P35</f>
        <v>2744982.5</v>
      </c>
      <c r="AE35" s="172">
        <f>S35</f>
        <v>2207358.48</v>
      </c>
      <c r="AF35" s="172">
        <f>V35</f>
        <v>1594040.15</v>
      </c>
      <c r="AG35" s="208">
        <f>Y35</f>
        <v>893122.77</v>
      </c>
      <c r="AH35" s="170"/>
      <c r="AI35" s="210">
        <f>P35</f>
        <v>2744982.5</v>
      </c>
      <c r="AJ35" s="170"/>
      <c r="AK35" s="209">
        <f>Y35</f>
        <v>893122.77</v>
      </c>
      <c r="AL35" s="172">
        <f>Y35</f>
        <v>893122.77</v>
      </c>
    </row>
    <row r="36" spans="1:38" ht="14.45" customHeight="1">
      <c r="A36" s="122"/>
      <c r="B36" s="122"/>
      <c r="C36" s="150" t="s">
        <v>51</v>
      </c>
      <c r="D36" s="122"/>
      <c r="E36" s="172" cm="1">
        <f t="array" ref="E36">INDEX('Data Summary'!N$8:N$38,28-7)</f>
        <v>41127</v>
      </c>
      <c r="F36" s="172" cm="1">
        <f t="array" ref="F36">INDEX('Data Summary'!O$8:O$38,28-7)</f>
        <v>41812</v>
      </c>
      <c r="G36" s="172" cm="1">
        <f t="array" ref="G36">INDEX('Data Summary'!P$8:P$38,28-7)</f>
        <v>40987</v>
      </c>
      <c r="H36" s="172" cm="1">
        <f t="array" ref="H36">INDEX('Data Summary'!Q$8:Q$38,28-7)</f>
        <v>43374</v>
      </c>
      <c r="I36" s="172" cm="1">
        <f t="array" ref="I36">INDEX('Data Summary'!R$8:R$38,28-7)</f>
        <v>44161</v>
      </c>
      <c r="J36" s="172" cm="1">
        <f t="array" ref="J36">INDEX('Data Summary'!S$8:S$38,28-7)</f>
        <v>44983</v>
      </c>
      <c r="K36" s="172" cm="1">
        <f t="array" ref="K36">INDEX('Data Summary'!T$8:T$38,28-7)</f>
        <v>46381</v>
      </c>
      <c r="L36" s="172" cm="1">
        <f t="array" ref="L36">INDEX('Data Summary'!U$8:U$38,28-7)</f>
        <v>47434</v>
      </c>
      <c r="M36" s="172" cm="1">
        <f t="array" ref="M36">INDEX('Data Summary'!V$8:V$38,28-7)</f>
        <v>48580</v>
      </c>
      <c r="N36" s="172" cm="1">
        <f t="array" ref="N36">INDEX('Data Summary'!W$8:W$38,28-7)</f>
        <v>49839</v>
      </c>
      <c r="O36" s="172" cm="1">
        <f t="array" ref="O36">INDEX('Data Summary'!X$8:X$38,28-7)</f>
        <v>51049</v>
      </c>
      <c r="P36" s="172" cm="1">
        <f t="array" ref="P36">INDEX('Data Summary'!Y$8:Y$38,28-7)</f>
        <v>52314</v>
      </c>
      <c r="Q36" s="172" cm="1">
        <f t="array" ref="Q36">INDEX('Data Summary'!Z$8:Z$38,28-7)</f>
        <v>53620.77</v>
      </c>
      <c r="R36" s="172" cm="1">
        <f t="array" ref="R36">INDEX('Data Summary'!AA$8:AA$38,28-7)</f>
        <v>54944.77</v>
      </c>
      <c r="S36" s="172" cm="1">
        <f t="array" ref="S36">INDEX('Data Summary'!AB$8:AB$38,28-7)</f>
        <v>56307.77</v>
      </c>
      <c r="T36" s="172" cm="1">
        <f t="array" ref="T36">INDEX('Data Summary'!AC$8:AC$38,28-7)</f>
        <v>57705.77</v>
      </c>
      <c r="U36" s="172" cm="1">
        <f t="array" ref="U36">INDEX('Data Summary'!AD$8:AD$38,28-7)</f>
        <v>59135.77</v>
      </c>
      <c r="V36" s="172" cm="1">
        <f t="array" ref="V36">INDEX('Data Summary'!AE$8:AE$38,28-7)</f>
        <v>69302.55</v>
      </c>
      <c r="W36" s="172" cm="1">
        <f t="array" ref="W36">INDEX('Data Summary'!AF$8:AF$38,28-7)</f>
        <v>70805.53</v>
      </c>
      <c r="X36" s="172" cm="1">
        <f t="array" ref="X36">INDEX('Data Summary'!AG$8:AG$38,28-7)</f>
        <v>72345.320000000007</v>
      </c>
      <c r="Y36" s="208" cm="1">
        <f t="array" ref="Y36">INDEX('Data Summary'!AH$8:AH$38,28-7)</f>
        <v>73923.66</v>
      </c>
      <c r="Z36" s="170"/>
      <c r="AA36" s="209">
        <f>G36</f>
        <v>40987</v>
      </c>
      <c r="AB36" s="172">
        <f>J36</f>
        <v>44983</v>
      </c>
      <c r="AC36" s="172">
        <f>M36</f>
        <v>48580</v>
      </c>
      <c r="AD36" s="172">
        <f>P36</f>
        <v>52314</v>
      </c>
      <c r="AE36" s="172">
        <f>S36</f>
        <v>56307.77</v>
      </c>
      <c r="AF36" s="172">
        <f>V36</f>
        <v>69302.55</v>
      </c>
      <c r="AG36" s="208">
        <f>Y36</f>
        <v>73923.66</v>
      </c>
      <c r="AH36" s="170"/>
      <c r="AI36" s="210">
        <f>P36</f>
        <v>52314</v>
      </c>
      <c r="AJ36" s="170"/>
      <c r="AK36" s="209">
        <f>Y36</f>
        <v>73923.66</v>
      </c>
      <c r="AL36" s="172">
        <f>Y36</f>
        <v>73923.66</v>
      </c>
    </row>
    <row r="37" spans="1:38" ht="14.45" customHeight="1">
      <c r="A37" s="122"/>
      <c r="B37" s="122"/>
      <c r="C37" s="150" t="s">
        <v>52</v>
      </c>
      <c r="D37" s="122"/>
      <c r="E37" s="172" cm="1">
        <f t="array" ref="E37">INDEX('Data Summary'!N$8:N$38,30-7)</f>
        <v>26119.5</v>
      </c>
      <c r="F37" s="172" cm="1">
        <f t="array" ref="F37">INDEX('Data Summary'!O$8:O$38,30-7)</f>
        <v>26119.5</v>
      </c>
      <c r="G37" s="172" cm="1">
        <f t="array" ref="G37">INDEX('Data Summary'!P$8:P$38,30-7)</f>
        <v>26119.5</v>
      </c>
      <c r="H37" s="172" cm="1">
        <f t="array" ref="H37">INDEX('Data Summary'!Q$8:Q$38,30-7)</f>
        <v>26119.5</v>
      </c>
      <c r="I37" s="172" cm="1">
        <f t="array" ref="I37">INDEX('Data Summary'!R$8:R$38,30-7)</f>
        <v>26119.5</v>
      </c>
      <c r="J37" s="172" cm="1">
        <f t="array" ref="J37">INDEX('Data Summary'!S$8:S$38,30-7)</f>
        <v>26119.5</v>
      </c>
      <c r="K37" s="172" cm="1">
        <f t="array" ref="K37">INDEX('Data Summary'!T$8:T$38,30-7)</f>
        <v>26119.5</v>
      </c>
      <c r="L37" s="172" cm="1">
        <f t="array" ref="L37">INDEX('Data Summary'!U$8:U$38,30-7)</f>
        <v>26119.5</v>
      </c>
      <c r="M37" s="172" cm="1">
        <f t="array" ref="M37">INDEX('Data Summary'!V$8:V$38,30-7)</f>
        <v>26119.5</v>
      </c>
      <c r="N37" s="172" cm="1">
        <f t="array" ref="N37">INDEX('Data Summary'!W$8:W$38,30-7)</f>
        <v>26119.5</v>
      </c>
      <c r="O37" s="172" cm="1">
        <f t="array" ref="O37">INDEX('Data Summary'!X$8:X$38,30-7)</f>
        <v>26119.5</v>
      </c>
      <c r="P37" s="172" cm="1">
        <f t="array" ref="P37">INDEX('Data Summary'!Y$8:Y$38,30-7)</f>
        <v>26119.5</v>
      </c>
      <c r="Q37" s="172" cm="1">
        <f t="array" ref="Q37">INDEX('Data Summary'!Z$8:Z$38,30-7)</f>
        <v>26119.5</v>
      </c>
      <c r="R37" s="172" cm="1">
        <f t="array" ref="R37">INDEX('Data Summary'!AA$8:AA$38,30-7)</f>
        <v>26119.5</v>
      </c>
      <c r="S37" s="172" cm="1">
        <f t="array" ref="S37">INDEX('Data Summary'!AB$8:AB$38,30-7)</f>
        <v>26119.5</v>
      </c>
      <c r="T37" s="172" cm="1">
        <f t="array" ref="T37">INDEX('Data Summary'!AC$8:AC$38,30-7)</f>
        <v>26119.5</v>
      </c>
      <c r="U37" s="172" cm="1">
        <f t="array" ref="U37">INDEX('Data Summary'!AD$8:AD$38,30-7)</f>
        <v>26119.5</v>
      </c>
      <c r="V37" s="172" cm="1">
        <f t="array" ref="V37">INDEX('Data Summary'!AE$8:AE$38,30-7)</f>
        <v>25819.5</v>
      </c>
      <c r="W37" s="172" cm="1">
        <f t="array" ref="W37">INDEX('Data Summary'!AF$8:AF$38,30-7)</f>
        <v>26819.5</v>
      </c>
      <c r="X37" s="172" cm="1">
        <f t="array" ref="X37">INDEX('Data Summary'!AG$8:AG$38,30-7)</f>
        <v>26819.5</v>
      </c>
      <c r="Y37" s="208" cm="1">
        <f t="array" ref="Y37">INDEX('Data Summary'!AH$8:AH$38,30-7)</f>
        <v>26819.5</v>
      </c>
      <c r="Z37" s="170"/>
      <c r="AA37" s="209">
        <f>G37</f>
        <v>26119.5</v>
      </c>
      <c r="AB37" s="172">
        <f>J37</f>
        <v>26119.5</v>
      </c>
      <c r="AC37" s="172">
        <f>M37</f>
        <v>26119.5</v>
      </c>
      <c r="AD37" s="172">
        <f>P37</f>
        <v>26119.5</v>
      </c>
      <c r="AE37" s="172">
        <f>S37</f>
        <v>26119.5</v>
      </c>
      <c r="AF37" s="172">
        <f>V37</f>
        <v>25819.5</v>
      </c>
      <c r="AG37" s="208">
        <f>Y37</f>
        <v>26819.5</v>
      </c>
      <c r="AH37" s="170"/>
      <c r="AI37" s="210">
        <f>P37</f>
        <v>26119.5</v>
      </c>
      <c r="AJ37" s="170"/>
      <c r="AK37" s="209">
        <f>Y37</f>
        <v>26819.5</v>
      </c>
      <c r="AL37" s="172">
        <f>Y37</f>
        <v>26819.5</v>
      </c>
    </row>
    <row r="38" spans="1:38" ht="14.45" customHeight="1">
      <c r="A38" s="122"/>
      <c r="B38" s="122"/>
      <c r="C38" s="150" t="s">
        <v>53</v>
      </c>
      <c r="D38" s="122"/>
      <c r="E38" s="172" cm="1">
        <f t="array" ref="E38">INDEX('Data Summary'!N$8:N$38,31-7)</f>
        <v>112416.5</v>
      </c>
      <c r="F38" s="172" cm="1">
        <f t="array" ref="F38">INDEX('Data Summary'!O$8:O$38,31-7)</f>
        <v>97365.5</v>
      </c>
      <c r="G38" s="172" cm="1">
        <f t="array" ref="G38">INDEX('Data Summary'!P$8:P$38,31-7)</f>
        <v>94315</v>
      </c>
      <c r="H38" s="172" cm="1">
        <f t="array" ref="H38">INDEX('Data Summary'!Q$8:Q$38,31-7)</f>
        <v>91264.5</v>
      </c>
      <c r="I38" s="172" cm="1">
        <f t="array" ref="I38">INDEX('Data Summary'!R$8:R$38,31-7)</f>
        <v>88214</v>
      </c>
      <c r="J38" s="172" cm="1">
        <f t="array" ref="J38">INDEX('Data Summary'!S$8:S$38,31-7)</f>
        <v>85163</v>
      </c>
      <c r="K38" s="172" cm="1">
        <f t="array" ref="K38">INDEX('Data Summary'!T$8:T$38,31-7)</f>
        <v>82112</v>
      </c>
      <c r="L38" s="172" cm="1">
        <f t="array" ref="L38">INDEX('Data Summary'!U$8:U$38,31-7)</f>
        <v>79061</v>
      </c>
      <c r="M38" s="172" cm="1">
        <f t="array" ref="M38">INDEX('Data Summary'!V$8:V$38,31-7)</f>
        <v>76010</v>
      </c>
      <c r="N38" s="172" cm="1">
        <f t="array" ref="N38">INDEX('Data Summary'!W$8:W$38,31-7)</f>
        <v>72959</v>
      </c>
      <c r="O38" s="172" cm="1">
        <f t="array" ref="O38">INDEX('Data Summary'!X$8:X$38,31-7)</f>
        <v>69908</v>
      </c>
      <c r="P38" s="172" cm="1">
        <f t="array" ref="P38">INDEX('Data Summary'!Y$8:Y$38,31-7)</f>
        <v>66857.5</v>
      </c>
      <c r="Q38" s="172" cm="1">
        <f t="array" ref="Q38">INDEX('Data Summary'!Z$8:Z$38,31-7)</f>
        <v>63806.84</v>
      </c>
      <c r="R38" s="172" cm="1">
        <f t="array" ref="R38">INDEX('Data Summary'!AA$8:AA$38,31-7)</f>
        <v>60756.18</v>
      </c>
      <c r="S38" s="172" cm="1">
        <f t="array" ref="S38">INDEX('Data Summary'!AB$8:AB$38,31-7)</f>
        <v>57705.52</v>
      </c>
      <c r="T38" s="172" cm="1">
        <f t="array" ref="T38">INDEX('Data Summary'!AC$8:AC$38,31-7)</f>
        <v>54654.86</v>
      </c>
      <c r="U38" s="172" cm="1">
        <f t="array" ref="U38">INDEX('Data Summary'!AD$8:AD$38,31-7)</f>
        <v>51604.2</v>
      </c>
      <c r="V38" s="172" cm="1">
        <f t="array" ref="V38">INDEX('Data Summary'!AE$8:AE$38,31-7)</f>
        <v>48553.539999999994</v>
      </c>
      <c r="W38" s="172" cm="1">
        <f t="array" ref="W38">INDEX('Data Summary'!AF$8:AF$38,31-7)</f>
        <v>45502.880000000005</v>
      </c>
      <c r="X38" s="172" cm="1">
        <f t="array" ref="X38">INDEX('Data Summary'!AG$8:AG$38,31-7)</f>
        <v>42452.22</v>
      </c>
      <c r="Y38" s="208" cm="1">
        <f t="array" ref="Y38">INDEX('Data Summary'!AH$8:AH$38,31-7)</f>
        <v>39401.56</v>
      </c>
      <c r="Z38" s="170"/>
      <c r="AA38" s="209">
        <f>G38</f>
        <v>94315</v>
      </c>
      <c r="AB38" s="172">
        <f>J38</f>
        <v>85163</v>
      </c>
      <c r="AC38" s="172">
        <f>M38</f>
        <v>76010</v>
      </c>
      <c r="AD38" s="172">
        <f>P38</f>
        <v>66857.5</v>
      </c>
      <c r="AE38" s="172">
        <f>S38</f>
        <v>57705.52</v>
      </c>
      <c r="AF38" s="172">
        <f>V38</f>
        <v>48553.539999999994</v>
      </c>
      <c r="AG38" s="208">
        <f>Y38</f>
        <v>39401.56</v>
      </c>
      <c r="AH38" s="170"/>
      <c r="AI38" s="210">
        <f>P38</f>
        <v>66857.5</v>
      </c>
      <c r="AJ38" s="170"/>
      <c r="AK38" s="209">
        <f>Y38</f>
        <v>39401.56</v>
      </c>
      <c r="AL38" s="172">
        <f>Y38</f>
        <v>39401.56</v>
      </c>
    </row>
    <row r="39" spans="1:38" ht="14.45" customHeight="1">
      <c r="A39" s="122"/>
      <c r="B39" s="122"/>
      <c r="C39" s="150" t="s">
        <v>54</v>
      </c>
      <c r="D39" s="122"/>
      <c r="E39" s="201" cm="1">
        <f t="array" ref="E39">INDEX('Data Summary'!N$8:N$38,32-7)</f>
        <v>0</v>
      </c>
      <c r="F39" s="201" cm="1">
        <f t="array" ref="F39">INDEX('Data Summary'!O$8:O$38,32-7)</f>
        <v>0</v>
      </c>
      <c r="G39" s="201" cm="1">
        <f t="array" ref="G39">INDEX('Data Summary'!P$8:P$38,32-7)</f>
        <v>0</v>
      </c>
      <c r="H39" s="201" cm="1">
        <f t="array" ref="H39">INDEX('Data Summary'!Q$8:Q$38,32-7)</f>
        <v>0</v>
      </c>
      <c r="I39" s="201" cm="1">
        <f t="array" ref="I39">INDEX('Data Summary'!R$8:R$38,32-7)</f>
        <v>0</v>
      </c>
      <c r="J39" s="201" cm="1">
        <f t="array" ref="J39">INDEX('Data Summary'!S$8:S$38,32-7)</f>
        <v>0</v>
      </c>
      <c r="K39" s="201" cm="1">
        <f t="array" ref="K39">INDEX('Data Summary'!T$8:T$38,32-7)</f>
        <v>0</v>
      </c>
      <c r="L39" s="201" cm="1">
        <f t="array" ref="L39">INDEX('Data Summary'!U$8:U$38,32-7)</f>
        <v>0</v>
      </c>
      <c r="M39" s="201" cm="1">
        <f t="array" ref="M39">INDEX('Data Summary'!V$8:V$38,32-7)</f>
        <v>0</v>
      </c>
      <c r="N39" s="201" cm="1">
        <f t="array" ref="N39">INDEX('Data Summary'!W$8:W$38,32-7)</f>
        <v>0</v>
      </c>
      <c r="O39" s="201" cm="1">
        <f t="array" ref="O39">INDEX('Data Summary'!X$8:X$38,32-7)</f>
        <v>0</v>
      </c>
      <c r="P39" s="201" cm="1">
        <f t="array" ref="P39">INDEX('Data Summary'!Y$8:Y$38,32-7)</f>
        <v>0</v>
      </c>
      <c r="Q39" s="201" cm="1">
        <f t="array" ref="Q39">INDEX('Data Summary'!Z$8:Z$38,32-7)</f>
        <v>0</v>
      </c>
      <c r="R39" s="201" cm="1">
        <f t="array" ref="R39">INDEX('Data Summary'!AA$8:AA$38,32-7)</f>
        <v>0</v>
      </c>
      <c r="S39" s="201" cm="1">
        <f t="array" ref="S39">INDEX('Data Summary'!AB$8:AB$38,32-7)</f>
        <v>0</v>
      </c>
      <c r="T39" s="201" cm="1">
        <f t="array" ref="T39">INDEX('Data Summary'!AC$8:AC$38,32-7)</f>
        <v>0</v>
      </c>
      <c r="U39" s="201" cm="1">
        <f t="array" ref="U39">INDEX('Data Summary'!AD$8:AD$38,32-7)</f>
        <v>0</v>
      </c>
      <c r="V39" s="201" cm="1">
        <f t="array" ref="V39">INDEX('Data Summary'!AE$8:AE$38,32-7)</f>
        <v>0</v>
      </c>
      <c r="W39" s="201" cm="1">
        <f t="array" ref="W39">INDEX('Data Summary'!AF$8:AF$38,32-7)</f>
        <v>0</v>
      </c>
      <c r="X39" s="201" cm="1">
        <f t="array" ref="X39">INDEX('Data Summary'!AG$8:AG$38,32-7)</f>
        <v>0</v>
      </c>
      <c r="Y39" s="202" cm="1">
        <f t="array" ref="Y39">INDEX('Data Summary'!AH$8:AH$38,32-7)</f>
        <v>0</v>
      </c>
      <c r="Z39" s="170"/>
      <c r="AA39" s="203">
        <f>G39</f>
        <v>0</v>
      </c>
      <c r="AB39" s="201">
        <f>J39</f>
        <v>0</v>
      </c>
      <c r="AC39" s="201">
        <f>M39</f>
        <v>0</v>
      </c>
      <c r="AD39" s="201">
        <f>P39</f>
        <v>0</v>
      </c>
      <c r="AE39" s="201">
        <f>S39</f>
        <v>0</v>
      </c>
      <c r="AF39" s="201">
        <f>V39</f>
        <v>0</v>
      </c>
      <c r="AG39" s="202">
        <f>Y39</f>
        <v>0</v>
      </c>
      <c r="AH39" s="170"/>
      <c r="AI39" s="204">
        <f>P39</f>
        <v>0</v>
      </c>
      <c r="AJ39" s="170"/>
      <c r="AK39" s="203">
        <f>Y39</f>
        <v>0</v>
      </c>
      <c r="AL39" s="201">
        <f>Y39</f>
        <v>0</v>
      </c>
    </row>
    <row r="40" spans="1:38" ht="14.45" customHeight="1">
      <c r="A40" s="122"/>
      <c r="B40" s="122"/>
      <c r="C40" s="151" t="s">
        <v>55</v>
      </c>
      <c r="D40" s="122"/>
      <c r="E40" s="173">
        <f t="shared" ref="E40:Y40" si="10">SUM(E35:E39)</f>
        <v>4370951.5</v>
      </c>
      <c r="F40" s="173">
        <f t="shared" si="10"/>
        <v>4241631.5</v>
      </c>
      <c r="G40" s="173">
        <f t="shared" si="10"/>
        <v>4166262</v>
      </c>
      <c r="H40" s="173">
        <f t="shared" si="10"/>
        <v>4031551.5</v>
      </c>
      <c r="I40" s="173">
        <f t="shared" si="10"/>
        <v>3953489</v>
      </c>
      <c r="J40" s="173">
        <f t="shared" si="10"/>
        <v>3813117</v>
      </c>
      <c r="K40" s="173">
        <f t="shared" si="10"/>
        <v>3666801</v>
      </c>
      <c r="L40" s="173">
        <f t="shared" si="10"/>
        <v>3520486</v>
      </c>
      <c r="M40" s="173">
        <f t="shared" si="10"/>
        <v>3367930</v>
      </c>
      <c r="N40" s="173">
        <f t="shared" si="10"/>
        <v>3215373</v>
      </c>
      <c r="O40" s="173">
        <f t="shared" si="10"/>
        <v>3056263</v>
      </c>
      <c r="P40" s="173">
        <f t="shared" si="10"/>
        <v>2890273.5</v>
      </c>
      <c r="Q40" s="173">
        <f t="shared" si="10"/>
        <v>2717058.59</v>
      </c>
      <c r="R40" s="173">
        <f t="shared" si="10"/>
        <v>2536257.9299999997</v>
      </c>
      <c r="S40" s="173">
        <f t="shared" si="10"/>
        <v>2347491.27</v>
      </c>
      <c r="T40" s="173">
        <f t="shared" si="10"/>
        <v>2150361.61</v>
      </c>
      <c r="U40" s="173">
        <f t="shared" si="10"/>
        <v>1944447.95</v>
      </c>
      <c r="V40" s="173">
        <f t="shared" si="10"/>
        <v>1737715.74</v>
      </c>
      <c r="W40" s="173">
        <f t="shared" si="10"/>
        <v>1513901.69</v>
      </c>
      <c r="X40" s="173">
        <f t="shared" si="10"/>
        <v>1278921.7</v>
      </c>
      <c r="Y40" s="205">
        <f t="shared" si="10"/>
        <v>1033267.49</v>
      </c>
      <c r="Z40" s="125"/>
      <c r="AA40" s="206">
        <f t="shared" ref="AA40:AG40" si="11">SUM(AA35:AA39)</f>
        <v>4166262</v>
      </c>
      <c r="AB40" s="173">
        <f t="shared" si="11"/>
        <v>3813117</v>
      </c>
      <c r="AC40" s="173">
        <f t="shared" si="11"/>
        <v>3367930</v>
      </c>
      <c r="AD40" s="173">
        <f t="shared" si="11"/>
        <v>2890273.5</v>
      </c>
      <c r="AE40" s="173">
        <f t="shared" si="11"/>
        <v>2347491.27</v>
      </c>
      <c r="AF40" s="173">
        <f t="shared" si="11"/>
        <v>1737715.74</v>
      </c>
      <c r="AG40" s="205">
        <f t="shared" si="11"/>
        <v>1033267.49</v>
      </c>
      <c r="AH40" s="125"/>
      <c r="AI40" s="207">
        <f>SUM(AI35:AI39)</f>
        <v>2890273.5</v>
      </c>
      <c r="AJ40" s="125"/>
      <c r="AK40" s="206">
        <f>SUM(AK35:AK39)</f>
        <v>1033267.49</v>
      </c>
      <c r="AL40" s="173">
        <f>SUM(AL35:AL39)</f>
        <v>1033267.49</v>
      </c>
    </row>
    <row r="41" spans="1:38" ht="8.1" customHeight="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90"/>
      <c r="Z41" s="122"/>
      <c r="AA41" s="195"/>
      <c r="AB41" s="122"/>
      <c r="AC41" s="122"/>
      <c r="AD41" s="122"/>
      <c r="AE41" s="122"/>
      <c r="AF41" s="122"/>
      <c r="AG41" s="190"/>
      <c r="AH41" s="122"/>
      <c r="AI41" s="199"/>
      <c r="AJ41" s="122"/>
      <c r="AK41" s="195"/>
      <c r="AL41" s="122"/>
    </row>
    <row r="42" spans="1:38" ht="14.45" customHeight="1">
      <c r="A42" s="122"/>
      <c r="B42" s="122"/>
      <c r="C42" s="159" t="s">
        <v>56</v>
      </c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90"/>
      <c r="Z42" s="122"/>
      <c r="AA42" s="195"/>
      <c r="AB42" s="122"/>
      <c r="AC42" s="122"/>
      <c r="AD42" s="122"/>
      <c r="AE42" s="122"/>
      <c r="AF42" s="122"/>
      <c r="AG42" s="190"/>
      <c r="AH42" s="122"/>
      <c r="AI42" s="199"/>
      <c r="AJ42" s="122"/>
      <c r="AK42" s="195"/>
      <c r="AL42" s="122"/>
    </row>
    <row r="43" spans="1:38" ht="14.45" customHeight="1">
      <c r="A43" s="122"/>
      <c r="B43" s="122"/>
      <c r="C43" s="150" t="s">
        <v>57</v>
      </c>
      <c r="D43" s="122"/>
      <c r="E43" s="172" cm="1">
        <f t="array" ref="E43">INDEX('Data Summary'!N$8:N$38,33-7)</f>
        <v>55349.5</v>
      </c>
      <c r="F43" s="172" cm="1">
        <f t="array" ref="F43">INDEX('Data Summary'!O$8:O$38,33-7)</f>
        <v>55349.5</v>
      </c>
      <c r="G43" s="172" cm="1">
        <f t="array" ref="G43">INDEX('Data Summary'!P$8:P$38,33-7)</f>
        <v>55349.5</v>
      </c>
      <c r="H43" s="172" cm="1">
        <f t="array" ref="H43">INDEX('Data Summary'!Q$8:Q$38,33-7)</f>
        <v>55349.5</v>
      </c>
      <c r="I43" s="172" cm="1">
        <f t="array" ref="I43">INDEX('Data Summary'!R$8:R$38,33-7)</f>
        <v>55349.5</v>
      </c>
      <c r="J43" s="172" cm="1">
        <f t="array" ref="J43">INDEX('Data Summary'!S$8:S$38,33-7)</f>
        <v>55349.5</v>
      </c>
      <c r="K43" s="172" cm="1">
        <f t="array" ref="K43">INDEX('Data Summary'!T$8:T$38,33-7)</f>
        <v>55349.5</v>
      </c>
      <c r="L43" s="172" cm="1">
        <f t="array" ref="L43">INDEX('Data Summary'!U$8:U$38,33-7)</f>
        <v>55349.5</v>
      </c>
      <c r="M43" s="172" cm="1">
        <f t="array" ref="M43">INDEX('Data Summary'!V$8:V$38,33-7)</f>
        <v>55349.5</v>
      </c>
      <c r="N43" s="172" cm="1">
        <f t="array" ref="N43">INDEX('Data Summary'!W$8:W$38,33-7)</f>
        <v>55349.5</v>
      </c>
      <c r="O43" s="172" cm="1">
        <f t="array" ref="O43">INDEX('Data Summary'!X$8:X$38,33-7)</f>
        <v>55349.5</v>
      </c>
      <c r="P43" s="172" cm="1">
        <f t="array" ref="P43">INDEX('Data Summary'!Y$8:Y$38,33-7)</f>
        <v>55349.5</v>
      </c>
      <c r="Q43" s="172" cm="1">
        <f t="array" ref="Q43">INDEX('Data Summary'!Z$8:Z$38,33-7)</f>
        <v>55349.5</v>
      </c>
      <c r="R43" s="172" cm="1">
        <f t="array" ref="R43">INDEX('Data Summary'!AA$8:AA$38,33-7)</f>
        <v>55349.5</v>
      </c>
      <c r="S43" s="172" cm="1">
        <f t="array" ref="S43">INDEX('Data Summary'!AB$8:AB$38,33-7)</f>
        <v>55349.5</v>
      </c>
      <c r="T43" s="172" cm="1">
        <f t="array" ref="T43">INDEX('Data Summary'!AC$8:AC$38,33-7)</f>
        <v>55349.5</v>
      </c>
      <c r="U43" s="172" cm="1">
        <f t="array" ref="U43">INDEX('Data Summary'!AD$8:AD$38,33-7)</f>
        <v>55349.5</v>
      </c>
      <c r="V43" s="172" cm="1">
        <f t="array" ref="V43">INDEX('Data Summary'!AE$8:AE$38,33-7)</f>
        <v>56349.5</v>
      </c>
      <c r="W43" s="172" cm="1">
        <f t="array" ref="W43">INDEX('Data Summary'!AF$8:AF$38,33-7)</f>
        <v>56349.5</v>
      </c>
      <c r="X43" s="172" cm="1">
        <f t="array" ref="X43">INDEX('Data Summary'!AG$8:AG$38,33-7)</f>
        <v>56349.5</v>
      </c>
      <c r="Y43" s="208" cm="1">
        <f t="array" ref="Y43">INDEX('Data Summary'!AH$8:AH$38,33-7)</f>
        <v>56349.5</v>
      </c>
      <c r="Z43" s="170"/>
      <c r="AA43" s="209">
        <f>G43</f>
        <v>55349.5</v>
      </c>
      <c r="AB43" s="172">
        <f>J43</f>
        <v>55349.5</v>
      </c>
      <c r="AC43" s="172">
        <f>M43</f>
        <v>55349.5</v>
      </c>
      <c r="AD43" s="172">
        <f>P43</f>
        <v>55349.5</v>
      </c>
      <c r="AE43" s="172">
        <f>S43</f>
        <v>55349.5</v>
      </c>
      <c r="AF43" s="172">
        <f>V43</f>
        <v>56349.5</v>
      </c>
      <c r="AG43" s="208">
        <f>Y43</f>
        <v>56349.5</v>
      </c>
      <c r="AH43" s="170"/>
      <c r="AI43" s="210">
        <f>P43</f>
        <v>55349.5</v>
      </c>
      <c r="AJ43" s="170"/>
      <c r="AK43" s="209">
        <f>Y43</f>
        <v>56349.5</v>
      </c>
      <c r="AL43" s="172">
        <f>Y43</f>
        <v>56349.5</v>
      </c>
    </row>
    <row r="44" spans="1:38" ht="14.45" customHeight="1">
      <c r="A44" s="122"/>
      <c r="B44" s="122"/>
      <c r="C44" s="150" t="s">
        <v>58</v>
      </c>
      <c r="D44" s="122"/>
      <c r="E44" s="172" cm="1">
        <f t="array" ref="E44">INDEX('Data Summary'!N$8:N$38,34-7)</f>
        <v>-4942</v>
      </c>
      <c r="F44" s="172" cm="1">
        <f t="array" ref="F44">INDEX('Data Summary'!O$8:O$38,34-7)</f>
        <v>-4942</v>
      </c>
      <c r="G44" s="172" cm="1">
        <f t="array" ref="G44">INDEX('Data Summary'!P$8:P$38,34-7)</f>
        <v>-4942</v>
      </c>
      <c r="H44" s="172" cm="1">
        <f t="array" ref="H44">INDEX('Data Summary'!Q$8:Q$38,34-7)</f>
        <v>-4942</v>
      </c>
      <c r="I44" s="172" cm="1">
        <f t="array" ref="I44">INDEX('Data Summary'!R$8:R$38,34-7)</f>
        <v>-4942</v>
      </c>
      <c r="J44" s="172" cm="1">
        <f t="array" ref="J44">INDEX('Data Summary'!S$8:S$38,34-7)</f>
        <v>-4942</v>
      </c>
      <c r="K44" s="172" cm="1">
        <f t="array" ref="K44">INDEX('Data Summary'!T$8:T$38,34-7)</f>
        <v>-4942</v>
      </c>
      <c r="L44" s="172" cm="1">
        <f t="array" ref="L44">INDEX('Data Summary'!U$8:U$38,34-7)</f>
        <v>-4942</v>
      </c>
      <c r="M44" s="172" cm="1">
        <f t="array" ref="M44">INDEX('Data Summary'!V$8:V$38,34-7)</f>
        <v>-4942</v>
      </c>
      <c r="N44" s="172" cm="1">
        <f t="array" ref="N44">INDEX('Data Summary'!W$8:W$38,34-7)</f>
        <v>-4942</v>
      </c>
      <c r="O44" s="172" cm="1">
        <f t="array" ref="O44">INDEX('Data Summary'!X$8:X$38,34-7)</f>
        <v>-4942</v>
      </c>
      <c r="P44" s="172" cm="1">
        <f t="array" ref="P44">INDEX('Data Summary'!Y$8:Y$38,34-7)</f>
        <v>-4942</v>
      </c>
      <c r="Q44" s="172" cm="1">
        <f t="array" ref="Q44">INDEX('Data Summary'!Z$8:Z$38,34-7)</f>
        <v>-4942</v>
      </c>
      <c r="R44" s="172" cm="1">
        <f t="array" ref="R44">INDEX('Data Summary'!AA$8:AA$38,34-7)</f>
        <v>-4942</v>
      </c>
      <c r="S44" s="172" cm="1">
        <f t="array" ref="S44">INDEX('Data Summary'!AB$8:AB$38,34-7)</f>
        <v>-4942</v>
      </c>
      <c r="T44" s="172" cm="1">
        <f t="array" ref="T44">INDEX('Data Summary'!AC$8:AC$38,34-7)</f>
        <v>-4942</v>
      </c>
      <c r="U44" s="172" cm="1">
        <f t="array" ref="U44">INDEX('Data Summary'!AD$8:AD$38,34-7)</f>
        <v>-4942</v>
      </c>
      <c r="V44" s="172" cm="1">
        <f t="array" ref="V44">INDEX('Data Summary'!AE$8:AE$38,34-7)</f>
        <v>-4942</v>
      </c>
      <c r="W44" s="172" cm="1">
        <f t="array" ref="W44">INDEX('Data Summary'!AF$8:AF$38,34-7)</f>
        <v>-4942</v>
      </c>
      <c r="X44" s="172" cm="1">
        <f t="array" ref="X44">INDEX('Data Summary'!AG$8:AG$38,34-7)</f>
        <v>-4942</v>
      </c>
      <c r="Y44" s="208" cm="1">
        <f t="array" ref="Y44">INDEX('Data Summary'!AH$8:AH$38,34-7)</f>
        <v>-4942</v>
      </c>
      <c r="Z44" s="170"/>
      <c r="AA44" s="209">
        <f>G44</f>
        <v>-4942</v>
      </c>
      <c r="AB44" s="172">
        <f>J44</f>
        <v>-4942</v>
      </c>
      <c r="AC44" s="172">
        <f>M44</f>
        <v>-4942</v>
      </c>
      <c r="AD44" s="172">
        <f>P44</f>
        <v>-4942</v>
      </c>
      <c r="AE44" s="172">
        <f>S44</f>
        <v>-4942</v>
      </c>
      <c r="AF44" s="172">
        <f>V44</f>
        <v>-4942</v>
      </c>
      <c r="AG44" s="208">
        <f>Y44</f>
        <v>-4942</v>
      </c>
      <c r="AH44" s="170"/>
      <c r="AI44" s="210">
        <f>P44</f>
        <v>-4942</v>
      </c>
      <c r="AJ44" s="170"/>
      <c r="AK44" s="209">
        <f>Y44</f>
        <v>-4942</v>
      </c>
      <c r="AL44" s="172">
        <f>Y44</f>
        <v>-4942</v>
      </c>
    </row>
    <row r="45" spans="1:38" ht="14.45" customHeight="1">
      <c r="A45" s="122"/>
      <c r="B45" s="122"/>
      <c r="C45" s="150" t="s">
        <v>59</v>
      </c>
      <c r="D45" s="122"/>
      <c r="E45" s="172" cm="1">
        <f t="array" ref="E45">INDEX('Data Summary'!N$8:N$38,35-7)</f>
        <v>1530000</v>
      </c>
      <c r="F45" s="172" cm="1">
        <f t="array" ref="F45">INDEX('Data Summary'!O$8:O$38,35-7)</f>
        <v>1530000</v>
      </c>
      <c r="G45" s="172" cm="1">
        <f t="array" ref="G45">INDEX('Data Summary'!P$8:P$38,35-7)</f>
        <v>1530000</v>
      </c>
      <c r="H45" s="172" cm="1">
        <f t="array" ref="H45">INDEX('Data Summary'!Q$8:Q$38,35-7)</f>
        <v>1530000</v>
      </c>
      <c r="I45" s="172" cm="1">
        <f t="array" ref="I45">INDEX('Data Summary'!R$8:R$38,35-7)</f>
        <v>1530000</v>
      </c>
      <c r="J45" s="172" cm="1">
        <f t="array" ref="J45">INDEX('Data Summary'!S$8:S$38,35-7)</f>
        <v>1530000</v>
      </c>
      <c r="K45" s="172" cm="1">
        <f t="array" ref="K45">INDEX('Data Summary'!T$8:T$38,35-7)</f>
        <v>1530000</v>
      </c>
      <c r="L45" s="172" cm="1">
        <f t="array" ref="L45">INDEX('Data Summary'!U$8:U$38,35-7)</f>
        <v>1530000</v>
      </c>
      <c r="M45" s="172" cm="1">
        <f t="array" ref="M45">INDEX('Data Summary'!V$8:V$38,35-7)</f>
        <v>1530000</v>
      </c>
      <c r="N45" s="172" cm="1">
        <f t="array" ref="N45">INDEX('Data Summary'!W$8:W$38,35-7)</f>
        <v>1530000</v>
      </c>
      <c r="O45" s="172" cm="1">
        <f t="array" ref="O45">INDEX('Data Summary'!X$8:X$38,35-7)</f>
        <v>1530000</v>
      </c>
      <c r="P45" s="172" cm="1">
        <f t="array" ref="P45">INDEX('Data Summary'!Y$8:Y$38,35-7)</f>
        <v>1530000</v>
      </c>
      <c r="Q45" s="172" cm="1">
        <f t="array" ref="Q45">INDEX('Data Summary'!Z$8:Z$38,35-7)</f>
        <v>1530000</v>
      </c>
      <c r="R45" s="172" cm="1">
        <f t="array" ref="R45">INDEX('Data Summary'!AA$8:AA$38,35-7)</f>
        <v>1530000</v>
      </c>
      <c r="S45" s="172" cm="1">
        <f t="array" ref="S45">INDEX('Data Summary'!AB$8:AB$38,35-7)</f>
        <v>1530000</v>
      </c>
      <c r="T45" s="172" cm="1">
        <f t="array" ref="T45">INDEX('Data Summary'!AC$8:AC$38,35-7)</f>
        <v>1530000</v>
      </c>
      <c r="U45" s="172" cm="1">
        <f t="array" ref="U45">INDEX('Data Summary'!AD$8:AD$38,35-7)</f>
        <v>1530000</v>
      </c>
      <c r="V45" s="172" cm="1">
        <f t="array" ref="V45">INDEX('Data Summary'!AE$8:AE$38,35-7)</f>
        <v>1530000</v>
      </c>
      <c r="W45" s="172" cm="1">
        <f t="array" ref="W45">INDEX('Data Summary'!AF$8:AF$38,35-7)</f>
        <v>1530000</v>
      </c>
      <c r="X45" s="172" cm="1">
        <f t="array" ref="X45">INDEX('Data Summary'!AG$8:AG$38,35-7)</f>
        <v>1530000</v>
      </c>
      <c r="Y45" s="208" cm="1">
        <f t="array" ref="Y45">INDEX('Data Summary'!AH$8:AH$38,35-7)</f>
        <v>1530000</v>
      </c>
      <c r="Z45" s="170"/>
      <c r="AA45" s="209">
        <f>G45</f>
        <v>1530000</v>
      </c>
      <c r="AB45" s="172">
        <f>J45</f>
        <v>1530000</v>
      </c>
      <c r="AC45" s="172">
        <f>M45</f>
        <v>1530000</v>
      </c>
      <c r="AD45" s="172">
        <f>P45</f>
        <v>1530000</v>
      </c>
      <c r="AE45" s="172">
        <f>S45</f>
        <v>1530000</v>
      </c>
      <c r="AF45" s="172">
        <f>V45</f>
        <v>1530000</v>
      </c>
      <c r="AG45" s="208">
        <f>Y45</f>
        <v>1530000</v>
      </c>
      <c r="AH45" s="170"/>
      <c r="AI45" s="210">
        <f>P45</f>
        <v>1530000</v>
      </c>
      <c r="AJ45" s="170"/>
      <c r="AK45" s="209">
        <f>Y45</f>
        <v>1530000</v>
      </c>
      <c r="AL45" s="172">
        <f>Y45</f>
        <v>1530000</v>
      </c>
    </row>
    <row r="46" spans="1:38" ht="14.45" customHeight="1">
      <c r="A46" s="122"/>
      <c r="B46" s="122"/>
      <c r="C46" s="150" t="s">
        <v>60</v>
      </c>
      <c r="D46" s="122"/>
      <c r="E46" s="201" cm="1">
        <f t="array" ref="E46">INDEX('Data Summary'!N$8:N$38,36-7)</f>
        <v>23270</v>
      </c>
      <c r="F46" s="201" cm="1">
        <f t="array" ref="F46">INDEX('Data Summary'!O$8:O$38,36-7)</f>
        <v>23270</v>
      </c>
      <c r="G46" s="201" cm="1">
        <f t="array" ref="G46">INDEX('Data Summary'!P$8:P$38,36-7)</f>
        <v>23270</v>
      </c>
      <c r="H46" s="201" cm="1">
        <f t="array" ref="H46">INDEX('Data Summary'!Q$8:Q$38,36-7)</f>
        <v>23270</v>
      </c>
      <c r="I46" s="201" cm="1">
        <f t="array" ref="I46">INDEX('Data Summary'!R$8:R$38,36-7)</f>
        <v>23270</v>
      </c>
      <c r="J46" s="201" cm="1">
        <f t="array" ref="J46">INDEX('Data Summary'!S$8:S$38,36-7)</f>
        <v>23270</v>
      </c>
      <c r="K46" s="201" cm="1">
        <f t="array" ref="K46">INDEX('Data Summary'!T$8:T$38,36-7)</f>
        <v>23270</v>
      </c>
      <c r="L46" s="201" cm="1">
        <f t="array" ref="L46">INDEX('Data Summary'!U$8:U$38,36-7)</f>
        <v>23270</v>
      </c>
      <c r="M46" s="201" cm="1">
        <f t="array" ref="M46">INDEX('Data Summary'!V$8:V$38,36-7)</f>
        <v>23270</v>
      </c>
      <c r="N46" s="201" cm="1">
        <f t="array" ref="N46">INDEX('Data Summary'!W$8:W$38,36-7)</f>
        <v>23270</v>
      </c>
      <c r="O46" s="201" cm="1">
        <f t="array" ref="O46">INDEX('Data Summary'!X$8:X$38,36-7)</f>
        <v>23270</v>
      </c>
      <c r="P46" s="201" cm="1">
        <f t="array" ref="P46">INDEX('Data Summary'!Y$8:Y$38,36-7)</f>
        <v>23270</v>
      </c>
      <c r="Q46" s="201" cm="1">
        <f t="array" ref="Q46">INDEX('Data Summary'!Z$8:Z$38,36-7)</f>
        <v>23270</v>
      </c>
      <c r="R46" s="201" cm="1">
        <f t="array" ref="R46">INDEX('Data Summary'!AA$8:AA$38,36-7)</f>
        <v>23270</v>
      </c>
      <c r="S46" s="201" cm="1">
        <f t="array" ref="S46">INDEX('Data Summary'!AB$8:AB$38,36-7)</f>
        <v>23270</v>
      </c>
      <c r="T46" s="201" cm="1">
        <f t="array" ref="T46">INDEX('Data Summary'!AC$8:AC$38,36-7)</f>
        <v>23270</v>
      </c>
      <c r="U46" s="201" cm="1">
        <f t="array" ref="U46">INDEX('Data Summary'!AD$8:AD$38,36-7)</f>
        <v>23270</v>
      </c>
      <c r="V46" s="201" cm="1">
        <f t="array" ref="V46">INDEX('Data Summary'!AE$8:AE$38,36-7)</f>
        <v>23270</v>
      </c>
      <c r="W46" s="201" cm="1">
        <f t="array" ref="W46">INDEX('Data Summary'!AF$8:AF$38,36-7)</f>
        <v>23270</v>
      </c>
      <c r="X46" s="201" cm="1">
        <f t="array" ref="X46">INDEX('Data Summary'!AG$8:AG$38,36-7)</f>
        <v>23270</v>
      </c>
      <c r="Y46" s="202" cm="1">
        <f t="array" ref="Y46">INDEX('Data Summary'!AH$8:AH$38,36-7)</f>
        <v>23270</v>
      </c>
      <c r="Z46" s="170"/>
      <c r="AA46" s="203">
        <f>G46</f>
        <v>23270</v>
      </c>
      <c r="AB46" s="201">
        <f>J46</f>
        <v>23270</v>
      </c>
      <c r="AC46" s="201">
        <f>M46</f>
        <v>23270</v>
      </c>
      <c r="AD46" s="201">
        <f>P46</f>
        <v>23270</v>
      </c>
      <c r="AE46" s="201">
        <f>S46</f>
        <v>23270</v>
      </c>
      <c r="AF46" s="201">
        <f>V46</f>
        <v>23270</v>
      </c>
      <c r="AG46" s="202">
        <f>Y46</f>
        <v>23270</v>
      </c>
      <c r="AH46" s="170"/>
      <c r="AI46" s="204">
        <f>P46</f>
        <v>23270</v>
      </c>
      <c r="AJ46" s="170"/>
      <c r="AK46" s="203">
        <f>Y46</f>
        <v>23270</v>
      </c>
      <c r="AL46" s="201">
        <f>Y46</f>
        <v>23270</v>
      </c>
    </row>
    <row r="47" spans="1:38" ht="14.45" customHeight="1">
      <c r="A47" s="122"/>
      <c r="B47" s="122"/>
      <c r="C47" s="151" t="s">
        <v>61</v>
      </c>
      <c r="D47" s="122"/>
      <c r="E47" s="173">
        <f t="shared" ref="E47:Y47" si="12">SUM(E43:E46)</f>
        <v>1603677.5</v>
      </c>
      <c r="F47" s="173">
        <f t="shared" si="12"/>
        <v>1603677.5</v>
      </c>
      <c r="G47" s="173">
        <f t="shared" si="12"/>
        <v>1603677.5</v>
      </c>
      <c r="H47" s="173">
        <f t="shared" si="12"/>
        <v>1603677.5</v>
      </c>
      <c r="I47" s="173">
        <f t="shared" si="12"/>
        <v>1603677.5</v>
      </c>
      <c r="J47" s="173">
        <f t="shared" si="12"/>
        <v>1603677.5</v>
      </c>
      <c r="K47" s="173">
        <f t="shared" si="12"/>
        <v>1603677.5</v>
      </c>
      <c r="L47" s="173">
        <f t="shared" si="12"/>
        <v>1603677.5</v>
      </c>
      <c r="M47" s="173">
        <f t="shared" si="12"/>
        <v>1603677.5</v>
      </c>
      <c r="N47" s="173">
        <f t="shared" si="12"/>
        <v>1603677.5</v>
      </c>
      <c r="O47" s="173">
        <f t="shared" si="12"/>
        <v>1603677.5</v>
      </c>
      <c r="P47" s="173">
        <f t="shared" si="12"/>
        <v>1603677.5</v>
      </c>
      <c r="Q47" s="173">
        <f t="shared" si="12"/>
        <v>1603677.5</v>
      </c>
      <c r="R47" s="173">
        <f t="shared" si="12"/>
        <v>1603677.5</v>
      </c>
      <c r="S47" s="173">
        <f t="shared" si="12"/>
        <v>1603677.5</v>
      </c>
      <c r="T47" s="173">
        <f t="shared" si="12"/>
        <v>1603677.5</v>
      </c>
      <c r="U47" s="173">
        <f t="shared" si="12"/>
        <v>1603677.5</v>
      </c>
      <c r="V47" s="173">
        <f t="shared" si="12"/>
        <v>1604677.5</v>
      </c>
      <c r="W47" s="173">
        <f t="shared" si="12"/>
        <v>1604677.5</v>
      </c>
      <c r="X47" s="173">
        <f t="shared" si="12"/>
        <v>1604677.5</v>
      </c>
      <c r="Y47" s="205">
        <f t="shared" si="12"/>
        <v>1604677.5</v>
      </c>
      <c r="Z47" s="125"/>
      <c r="AA47" s="206">
        <f t="shared" ref="AA47:AG47" si="13">SUM(AA43:AA46)</f>
        <v>1603677.5</v>
      </c>
      <c r="AB47" s="173">
        <f t="shared" si="13"/>
        <v>1603677.5</v>
      </c>
      <c r="AC47" s="173">
        <f t="shared" si="13"/>
        <v>1603677.5</v>
      </c>
      <c r="AD47" s="173">
        <f t="shared" si="13"/>
        <v>1603677.5</v>
      </c>
      <c r="AE47" s="173">
        <f t="shared" si="13"/>
        <v>1603677.5</v>
      </c>
      <c r="AF47" s="173">
        <f t="shared" si="13"/>
        <v>1604677.5</v>
      </c>
      <c r="AG47" s="205">
        <f t="shared" si="13"/>
        <v>1604677.5</v>
      </c>
      <c r="AH47" s="125"/>
      <c r="AI47" s="207">
        <f>SUM(AI43:AI46)</f>
        <v>1603677.5</v>
      </c>
      <c r="AJ47" s="125"/>
      <c r="AK47" s="206">
        <f>SUM(AK43:AK46)</f>
        <v>1604677.5</v>
      </c>
      <c r="AL47" s="173">
        <f>SUM(AL43:AL46)</f>
        <v>1604677.5</v>
      </c>
    </row>
    <row r="48" spans="1:38" ht="8.1" customHeight="1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90"/>
      <c r="Z48" s="122"/>
      <c r="AA48" s="195"/>
      <c r="AB48" s="122"/>
      <c r="AC48" s="122"/>
      <c r="AD48" s="122"/>
      <c r="AE48" s="122"/>
      <c r="AF48" s="122"/>
      <c r="AG48" s="190"/>
      <c r="AH48" s="122"/>
      <c r="AI48" s="199"/>
      <c r="AJ48" s="122"/>
      <c r="AK48" s="195"/>
      <c r="AL48" s="122"/>
    </row>
    <row r="49" spans="1:38" ht="14.45" customHeight="1">
      <c r="A49" s="122"/>
      <c r="B49" s="122"/>
      <c r="C49" s="159" t="s">
        <v>62</v>
      </c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90"/>
      <c r="Z49" s="122"/>
      <c r="AA49" s="195"/>
      <c r="AB49" s="122"/>
      <c r="AC49" s="122"/>
      <c r="AD49" s="122"/>
      <c r="AE49" s="122"/>
      <c r="AF49" s="122"/>
      <c r="AG49" s="190"/>
      <c r="AH49" s="122"/>
      <c r="AI49" s="199"/>
      <c r="AJ49" s="122"/>
      <c r="AK49" s="195"/>
      <c r="AL49" s="122"/>
    </row>
    <row r="50" spans="1:38" ht="14.45" customHeight="1">
      <c r="A50" s="122"/>
      <c r="B50" s="122"/>
      <c r="C50" s="150" t="s">
        <v>63</v>
      </c>
      <c r="D50" s="122"/>
      <c r="E50" s="172" cm="1">
        <f t="array" ref="E50">INDEX('Data Summary'!N$8:N$38,37-7)</f>
        <v>3500000</v>
      </c>
      <c r="F50" s="172" cm="1">
        <f t="array" ref="F50">INDEX('Data Summary'!O$8:O$38,37-7)</f>
        <v>3500000</v>
      </c>
      <c r="G50" s="172" cm="1">
        <f t="array" ref="G50">INDEX('Data Summary'!P$8:P$38,37-7)</f>
        <v>3500000</v>
      </c>
      <c r="H50" s="172" cm="1">
        <f t="array" ref="H50">INDEX('Data Summary'!Q$8:Q$38,37-7)</f>
        <v>3500000</v>
      </c>
      <c r="I50" s="172" cm="1">
        <f t="array" ref="I50">INDEX('Data Summary'!R$8:R$38,37-7)</f>
        <v>3500000</v>
      </c>
      <c r="J50" s="172" cm="1">
        <f t="array" ref="J50">INDEX('Data Summary'!S$8:S$38,37-7)</f>
        <v>3500000</v>
      </c>
      <c r="K50" s="172" cm="1">
        <f t="array" ref="K50">INDEX('Data Summary'!T$8:T$38,37-7)</f>
        <v>3500000</v>
      </c>
      <c r="L50" s="172" cm="1">
        <f t="array" ref="L50">INDEX('Data Summary'!U$8:U$38,37-7)</f>
        <v>3500000</v>
      </c>
      <c r="M50" s="172" cm="1">
        <f t="array" ref="M50">INDEX('Data Summary'!V$8:V$38,37-7)</f>
        <v>3500000</v>
      </c>
      <c r="N50" s="172" cm="1">
        <f t="array" ref="N50">INDEX('Data Summary'!W$8:W$38,37-7)</f>
        <v>3500000</v>
      </c>
      <c r="O50" s="172" cm="1">
        <f t="array" ref="O50">INDEX('Data Summary'!X$8:X$38,37-7)</f>
        <v>3500000</v>
      </c>
      <c r="P50" s="172" cm="1">
        <f t="array" ref="P50">INDEX('Data Summary'!Y$8:Y$38,37-7)</f>
        <v>3500000</v>
      </c>
      <c r="Q50" s="172" cm="1">
        <f t="array" ref="Q50">INDEX('Data Summary'!Z$8:Z$38,37-7)</f>
        <v>3500000</v>
      </c>
      <c r="R50" s="172" cm="1">
        <f t="array" ref="R50">INDEX('Data Summary'!AA$8:AA$38,37-7)</f>
        <v>3500000</v>
      </c>
      <c r="S50" s="172" cm="1">
        <f t="array" ref="S50">INDEX('Data Summary'!AB$8:AB$38,37-7)</f>
        <v>3500000</v>
      </c>
      <c r="T50" s="172" cm="1">
        <f t="array" ref="T50">INDEX('Data Summary'!AC$8:AC$38,37-7)</f>
        <v>3500000</v>
      </c>
      <c r="U50" s="172" cm="1">
        <f t="array" ref="U50">INDEX('Data Summary'!AD$8:AD$38,37-7)</f>
        <v>3500000</v>
      </c>
      <c r="V50" s="172" cm="1">
        <f t="array" ref="V50">INDEX('Data Summary'!AE$8:AE$38,37-7)</f>
        <v>3500000</v>
      </c>
      <c r="W50" s="172" cm="1">
        <f t="array" ref="W50">INDEX('Data Summary'!AF$8:AF$38,37-7)</f>
        <v>3500000</v>
      </c>
      <c r="X50" s="172" cm="1">
        <f t="array" ref="X50">INDEX('Data Summary'!AG$8:AG$38,37-7)</f>
        <v>3500000</v>
      </c>
      <c r="Y50" s="208" cm="1">
        <f t="array" ref="Y50">INDEX('Data Summary'!AH$8:AH$38,37-7)</f>
        <v>3500000</v>
      </c>
      <c r="Z50" s="170"/>
      <c r="AA50" s="209">
        <f>G50</f>
        <v>3500000</v>
      </c>
      <c r="AB50" s="172">
        <f>J50</f>
        <v>3500000</v>
      </c>
      <c r="AC50" s="172">
        <f>M50</f>
        <v>3500000</v>
      </c>
      <c r="AD50" s="172">
        <f>P50</f>
        <v>3500000</v>
      </c>
      <c r="AE50" s="172">
        <f>S50</f>
        <v>3500000</v>
      </c>
      <c r="AF50" s="172">
        <f>V50</f>
        <v>3500000</v>
      </c>
      <c r="AG50" s="208">
        <f>Y50</f>
        <v>3500000</v>
      </c>
      <c r="AH50" s="170"/>
      <c r="AI50" s="210">
        <f>P50</f>
        <v>3500000</v>
      </c>
      <c r="AJ50" s="170"/>
      <c r="AK50" s="209">
        <f>Y50</f>
        <v>3500000</v>
      </c>
      <c r="AL50" s="172">
        <f>Y50</f>
        <v>3500000</v>
      </c>
    </row>
    <row r="51" spans="1:38" ht="14.45" customHeight="1">
      <c r="A51" s="122"/>
      <c r="B51" s="122"/>
      <c r="C51" s="150" t="s">
        <v>64</v>
      </c>
      <c r="D51" s="122"/>
      <c r="E51" s="201" cm="1">
        <f t="array" ref="E51">INDEX('Data Summary'!N$8:N$38,38-7)</f>
        <v>-732726</v>
      </c>
      <c r="F51" s="201" cm="1">
        <f t="array" ref="F51">INDEX('Data Summary'!O$8:O$38,38-7)</f>
        <v>-862046</v>
      </c>
      <c r="G51" s="201" cm="1">
        <f t="array" ref="G51">INDEX('Data Summary'!P$8:P$38,38-7)</f>
        <v>-937415.5</v>
      </c>
      <c r="H51" s="201" cm="1">
        <f t="array" ref="H51">INDEX('Data Summary'!Q$8:Q$38,38-7)</f>
        <v>-1072126</v>
      </c>
      <c r="I51" s="201" cm="1">
        <f t="array" ref="I51">INDEX('Data Summary'!R$8:R$38,38-7)</f>
        <v>-1150188.5</v>
      </c>
      <c r="J51" s="201" cm="1">
        <f t="array" ref="J51">INDEX('Data Summary'!S$8:S$38,38-7)</f>
        <v>-1290560.5</v>
      </c>
      <c r="K51" s="201" cm="1">
        <f t="array" ref="K51">INDEX('Data Summary'!T$8:T$38,38-7)</f>
        <v>-1436876.5</v>
      </c>
      <c r="L51" s="201" cm="1">
        <f t="array" ref="L51">INDEX('Data Summary'!U$8:U$38,38-7)</f>
        <v>-1583191.5</v>
      </c>
      <c r="M51" s="201" cm="1">
        <f t="array" ref="M51">INDEX('Data Summary'!V$8:V$38,38-7)</f>
        <v>-1735747.5</v>
      </c>
      <c r="N51" s="201" cm="1">
        <f t="array" ref="N51">INDEX('Data Summary'!W$8:W$38,38-7)</f>
        <v>-1888304.5</v>
      </c>
      <c r="O51" s="201" cm="1">
        <f t="array" ref="O51">INDEX('Data Summary'!X$8:X$38,38-7)</f>
        <v>-2047414.5</v>
      </c>
      <c r="P51" s="201" cm="1">
        <f t="array" ref="P51">INDEX('Data Summary'!Y$8:Y$38,38-7)</f>
        <v>-2213404</v>
      </c>
      <c r="Q51" s="201" cm="1">
        <f t="array" ref="Q51">INDEX('Data Summary'!Z$8:Z$38,38-7)</f>
        <v>-2386618.91</v>
      </c>
      <c r="R51" s="201" cm="1">
        <f t="array" ref="R51">INDEX('Data Summary'!AA$8:AA$38,38-7)</f>
        <v>-2567419.5699999998</v>
      </c>
      <c r="S51" s="201" cm="1">
        <f t="array" ref="S51">INDEX('Data Summary'!AB$8:AB$38,38-7)</f>
        <v>-2756186.23</v>
      </c>
      <c r="T51" s="201" cm="1">
        <f t="array" ref="T51">INDEX('Data Summary'!AC$8:AC$38,38-7)</f>
        <v>-2953315.89</v>
      </c>
      <c r="U51" s="201" cm="1">
        <f t="array" ref="U51">INDEX('Data Summary'!AD$8:AD$38,38-7)</f>
        <v>-3159229.55</v>
      </c>
      <c r="V51" s="201" cm="1">
        <f t="array" ref="V51">INDEX('Data Summary'!AE$8:AE$38,38-7)</f>
        <v>-3366961.76</v>
      </c>
      <c r="W51" s="201" cm="1">
        <f t="array" ref="W51">INDEX('Data Summary'!AF$8:AF$38,38-7)</f>
        <v>-3590775.81</v>
      </c>
      <c r="X51" s="201" cm="1">
        <f t="array" ref="X51">INDEX('Data Summary'!AG$8:AG$38,38-7)</f>
        <v>-3825755.8</v>
      </c>
      <c r="Y51" s="202" cm="1">
        <f t="array" ref="Y51">INDEX('Data Summary'!AH$8:AH$38,38-7)</f>
        <v>-4071410.01</v>
      </c>
      <c r="Z51" s="170"/>
      <c r="AA51" s="203">
        <f>G51</f>
        <v>-937415.5</v>
      </c>
      <c r="AB51" s="201">
        <f>J51</f>
        <v>-1290560.5</v>
      </c>
      <c r="AC51" s="201">
        <f>M51</f>
        <v>-1735747.5</v>
      </c>
      <c r="AD51" s="201">
        <f>P51</f>
        <v>-2213404</v>
      </c>
      <c r="AE51" s="201">
        <f>S51</f>
        <v>-2756186.23</v>
      </c>
      <c r="AF51" s="201">
        <f>V51</f>
        <v>-3366961.76</v>
      </c>
      <c r="AG51" s="202">
        <f>Y51</f>
        <v>-4071410.01</v>
      </c>
      <c r="AH51" s="170"/>
      <c r="AI51" s="204">
        <f>P51</f>
        <v>-2213404</v>
      </c>
      <c r="AJ51" s="170"/>
      <c r="AK51" s="203">
        <f>Y51</f>
        <v>-4071410.01</v>
      </c>
      <c r="AL51" s="201">
        <f>Y51</f>
        <v>-4071410.01</v>
      </c>
    </row>
    <row r="52" spans="1:38" ht="14.45" customHeight="1">
      <c r="A52" s="122"/>
      <c r="B52" s="122"/>
      <c r="C52" s="151" t="s">
        <v>65</v>
      </c>
      <c r="D52" s="122"/>
      <c r="E52" s="173">
        <f t="shared" ref="E52:Y52" si="14">E50+E51</f>
        <v>2767274</v>
      </c>
      <c r="F52" s="173">
        <f t="shared" si="14"/>
        <v>2637954</v>
      </c>
      <c r="G52" s="173">
        <f t="shared" si="14"/>
        <v>2562584.5</v>
      </c>
      <c r="H52" s="173">
        <f t="shared" si="14"/>
        <v>2427874</v>
      </c>
      <c r="I52" s="173">
        <f t="shared" si="14"/>
        <v>2349811.5</v>
      </c>
      <c r="J52" s="173">
        <f t="shared" si="14"/>
        <v>2209439.5</v>
      </c>
      <c r="K52" s="173">
        <f t="shared" si="14"/>
        <v>2063123.5</v>
      </c>
      <c r="L52" s="173">
        <f t="shared" si="14"/>
        <v>1916808.5</v>
      </c>
      <c r="M52" s="173">
        <f t="shared" si="14"/>
        <v>1764252.5</v>
      </c>
      <c r="N52" s="173">
        <f t="shared" si="14"/>
        <v>1611695.5</v>
      </c>
      <c r="O52" s="173">
        <f t="shared" si="14"/>
        <v>1452585.5</v>
      </c>
      <c r="P52" s="173">
        <f t="shared" si="14"/>
        <v>1286596</v>
      </c>
      <c r="Q52" s="173">
        <f t="shared" si="14"/>
        <v>1113381.0899999999</v>
      </c>
      <c r="R52" s="173">
        <f t="shared" si="14"/>
        <v>932580.43000000017</v>
      </c>
      <c r="S52" s="173">
        <f t="shared" si="14"/>
        <v>743813.77</v>
      </c>
      <c r="T52" s="173">
        <f t="shared" si="14"/>
        <v>546684.10999999987</v>
      </c>
      <c r="U52" s="173">
        <f t="shared" si="14"/>
        <v>340770.45000000019</v>
      </c>
      <c r="V52" s="173">
        <f t="shared" si="14"/>
        <v>133038.24000000022</v>
      </c>
      <c r="W52" s="173">
        <f t="shared" si="14"/>
        <v>-90775.810000000056</v>
      </c>
      <c r="X52" s="173">
        <f t="shared" si="14"/>
        <v>-325755.79999999981</v>
      </c>
      <c r="Y52" s="205">
        <f t="shared" si="14"/>
        <v>-571410.00999999978</v>
      </c>
      <c r="Z52" s="125"/>
      <c r="AA52" s="206">
        <f t="shared" ref="AA52:AG52" si="15">AA50+AA51</f>
        <v>2562584.5</v>
      </c>
      <c r="AB52" s="173">
        <f t="shared" si="15"/>
        <v>2209439.5</v>
      </c>
      <c r="AC52" s="173">
        <f t="shared" si="15"/>
        <v>1764252.5</v>
      </c>
      <c r="AD52" s="173">
        <f t="shared" si="15"/>
        <v>1286596</v>
      </c>
      <c r="AE52" s="173">
        <f t="shared" si="15"/>
        <v>743813.77</v>
      </c>
      <c r="AF52" s="173">
        <f t="shared" si="15"/>
        <v>133038.24000000022</v>
      </c>
      <c r="AG52" s="205">
        <f t="shared" si="15"/>
        <v>-571410.00999999978</v>
      </c>
      <c r="AH52" s="125"/>
      <c r="AI52" s="207">
        <f>AI50+AI51</f>
        <v>1286596</v>
      </c>
      <c r="AJ52" s="125"/>
      <c r="AK52" s="206">
        <f>AK50+AK51</f>
        <v>-571410.00999999978</v>
      </c>
      <c r="AL52" s="173">
        <f>AL50+AL51</f>
        <v>-571410.00999999978</v>
      </c>
    </row>
    <row r="53" spans="1:38" ht="8.1" customHeight="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90"/>
      <c r="Z53" s="122"/>
      <c r="AA53" s="195"/>
      <c r="AB53" s="122"/>
      <c r="AC53" s="122"/>
      <c r="AD53" s="122"/>
      <c r="AE53" s="122"/>
      <c r="AF53" s="122"/>
      <c r="AG53" s="190"/>
      <c r="AH53" s="122"/>
      <c r="AI53" s="199"/>
      <c r="AJ53" s="122"/>
      <c r="AK53" s="195"/>
      <c r="AL53" s="122"/>
    </row>
    <row r="54" spans="1:38" ht="16.5" customHeight="1" thickBot="1">
      <c r="A54" s="122"/>
      <c r="B54" s="122"/>
      <c r="C54" s="154" t="s">
        <v>66</v>
      </c>
      <c r="D54" s="122"/>
      <c r="E54" s="211">
        <f t="shared" ref="E54:Y54" si="16">E47+E52</f>
        <v>4370951.5</v>
      </c>
      <c r="F54" s="211">
        <f t="shared" si="16"/>
        <v>4241631.5</v>
      </c>
      <c r="G54" s="211">
        <f t="shared" si="16"/>
        <v>4166262</v>
      </c>
      <c r="H54" s="211">
        <f t="shared" si="16"/>
        <v>4031551.5</v>
      </c>
      <c r="I54" s="211">
        <f t="shared" si="16"/>
        <v>3953489</v>
      </c>
      <c r="J54" s="211">
        <f t="shared" si="16"/>
        <v>3813117</v>
      </c>
      <c r="K54" s="211">
        <f t="shared" si="16"/>
        <v>3666801</v>
      </c>
      <c r="L54" s="211">
        <f t="shared" si="16"/>
        <v>3520486</v>
      </c>
      <c r="M54" s="211">
        <f t="shared" si="16"/>
        <v>3367930</v>
      </c>
      <c r="N54" s="211">
        <f t="shared" si="16"/>
        <v>3215373</v>
      </c>
      <c r="O54" s="211">
        <f t="shared" si="16"/>
        <v>3056263</v>
      </c>
      <c r="P54" s="211">
        <f t="shared" si="16"/>
        <v>2890273.5</v>
      </c>
      <c r="Q54" s="211">
        <f t="shared" si="16"/>
        <v>2717058.59</v>
      </c>
      <c r="R54" s="211">
        <f t="shared" si="16"/>
        <v>2536257.9300000002</v>
      </c>
      <c r="S54" s="211">
        <f t="shared" si="16"/>
        <v>2347491.27</v>
      </c>
      <c r="T54" s="211">
        <f t="shared" si="16"/>
        <v>2150361.61</v>
      </c>
      <c r="U54" s="211">
        <f t="shared" si="16"/>
        <v>1944447.9500000002</v>
      </c>
      <c r="V54" s="211">
        <f t="shared" si="16"/>
        <v>1737715.7400000002</v>
      </c>
      <c r="W54" s="211">
        <f t="shared" si="16"/>
        <v>1513901.69</v>
      </c>
      <c r="X54" s="211">
        <f t="shared" si="16"/>
        <v>1278921.7000000002</v>
      </c>
      <c r="Y54" s="212">
        <f t="shared" si="16"/>
        <v>1033267.4900000002</v>
      </c>
      <c r="Z54" s="125"/>
      <c r="AA54" s="213">
        <f t="shared" ref="AA54:AG54" si="17">AA47+AA52</f>
        <v>4166262</v>
      </c>
      <c r="AB54" s="211">
        <f t="shared" si="17"/>
        <v>3813117</v>
      </c>
      <c r="AC54" s="211">
        <f t="shared" si="17"/>
        <v>3367930</v>
      </c>
      <c r="AD54" s="211">
        <f t="shared" si="17"/>
        <v>2890273.5</v>
      </c>
      <c r="AE54" s="211">
        <f t="shared" si="17"/>
        <v>2347491.27</v>
      </c>
      <c r="AF54" s="211">
        <f t="shared" si="17"/>
        <v>1737715.7400000002</v>
      </c>
      <c r="AG54" s="212">
        <f t="shared" si="17"/>
        <v>1033267.4900000002</v>
      </c>
      <c r="AH54" s="125"/>
      <c r="AI54" s="214">
        <f>AI47+AI52</f>
        <v>2890273.5</v>
      </c>
      <c r="AJ54" s="125"/>
      <c r="AK54" s="213">
        <f>AK47+AK52</f>
        <v>1033267.4900000002</v>
      </c>
      <c r="AL54" s="211">
        <f>AL47+AL52</f>
        <v>1033267.4900000002</v>
      </c>
    </row>
    <row r="55" spans="1:38" ht="8.1" customHeight="1" thickTop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90"/>
      <c r="Z55" s="122"/>
      <c r="AA55" s="195"/>
      <c r="AB55" s="122"/>
      <c r="AC55" s="122"/>
      <c r="AD55" s="122"/>
      <c r="AE55" s="122"/>
      <c r="AF55" s="122"/>
      <c r="AG55" s="190"/>
      <c r="AH55" s="122"/>
      <c r="AI55" s="199"/>
      <c r="AJ55" s="122"/>
      <c r="AK55" s="195"/>
      <c r="AL55" s="122"/>
    </row>
    <row r="56" spans="1:38" ht="8.1" customHeight="1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90"/>
      <c r="Z56" s="122"/>
      <c r="AA56" s="195"/>
      <c r="AB56" s="122"/>
      <c r="AC56" s="122"/>
      <c r="AD56" s="122"/>
      <c r="AE56" s="122"/>
      <c r="AF56" s="122"/>
      <c r="AG56" s="190"/>
      <c r="AH56" s="122"/>
      <c r="AI56" s="199"/>
      <c r="AJ56" s="122"/>
      <c r="AK56" s="195"/>
      <c r="AL56" s="122"/>
    </row>
    <row r="57" spans="1:38" ht="16.5" customHeight="1" thickBot="1">
      <c r="A57" s="122"/>
      <c r="B57" s="155" t="s">
        <v>67</v>
      </c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91"/>
      <c r="Z57" s="136"/>
      <c r="AA57" s="196"/>
      <c r="AB57" s="136"/>
      <c r="AC57" s="136"/>
      <c r="AD57" s="136"/>
      <c r="AE57" s="136"/>
      <c r="AF57" s="136"/>
      <c r="AG57" s="191"/>
      <c r="AH57" s="136"/>
      <c r="AI57" s="200"/>
      <c r="AJ57" s="136"/>
      <c r="AK57" s="196"/>
      <c r="AL57" s="136"/>
    </row>
    <row r="58" spans="1:38" ht="8.1" customHeight="1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90"/>
      <c r="Z58" s="122"/>
      <c r="AA58" s="195"/>
      <c r="AB58" s="122"/>
      <c r="AC58" s="122"/>
      <c r="AD58" s="122"/>
      <c r="AE58" s="122"/>
      <c r="AF58" s="122"/>
      <c r="AG58" s="190"/>
      <c r="AH58" s="122"/>
      <c r="AI58" s="199"/>
      <c r="AJ58" s="122"/>
      <c r="AK58" s="195"/>
      <c r="AL58" s="122"/>
    </row>
    <row r="59" spans="1:38" ht="14.45" customHeight="1">
      <c r="A59" s="122"/>
      <c r="B59" s="122"/>
      <c r="C59" s="159" t="s">
        <v>68</v>
      </c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90"/>
      <c r="Z59" s="122"/>
      <c r="AA59" s="195"/>
      <c r="AB59" s="122"/>
      <c r="AC59" s="122"/>
      <c r="AD59" s="122"/>
      <c r="AE59" s="122"/>
      <c r="AF59" s="122"/>
      <c r="AG59" s="190"/>
      <c r="AH59" s="122"/>
      <c r="AI59" s="199"/>
      <c r="AJ59" s="122"/>
      <c r="AK59" s="195"/>
      <c r="AL59" s="122"/>
    </row>
    <row r="60" spans="1:38" ht="14.45" customHeight="1">
      <c r="A60" s="122"/>
      <c r="B60" s="122"/>
      <c r="C60" s="150" t="s">
        <v>47</v>
      </c>
      <c r="D60" s="122"/>
      <c r="E60" s="172">
        <f t="shared" ref="E60:Y60" si="18">E29</f>
        <v>-72804.5</v>
      </c>
      <c r="F60" s="172">
        <f t="shared" si="18"/>
        <v>-129320</v>
      </c>
      <c r="G60" s="172">
        <f t="shared" si="18"/>
        <v>-75369.5</v>
      </c>
      <c r="H60" s="172">
        <f t="shared" si="18"/>
        <v>-134710.5</v>
      </c>
      <c r="I60" s="172">
        <f t="shared" si="18"/>
        <v>-78062.5</v>
      </c>
      <c r="J60" s="172">
        <f t="shared" si="18"/>
        <v>-140372</v>
      </c>
      <c r="K60" s="172">
        <f t="shared" si="18"/>
        <v>-146316</v>
      </c>
      <c r="L60" s="172">
        <f t="shared" si="18"/>
        <v>-146315</v>
      </c>
      <c r="M60" s="172">
        <f t="shared" si="18"/>
        <v>-152556</v>
      </c>
      <c r="N60" s="172">
        <f t="shared" si="18"/>
        <v>-152557</v>
      </c>
      <c r="O60" s="172">
        <f t="shared" si="18"/>
        <v>-159110</v>
      </c>
      <c r="P60" s="172">
        <f t="shared" si="18"/>
        <v>-165989.5</v>
      </c>
      <c r="Q60" s="172">
        <f t="shared" si="18"/>
        <v>-173214.90999999997</v>
      </c>
      <c r="R60" s="172">
        <f t="shared" si="18"/>
        <v>-180800.66</v>
      </c>
      <c r="S60" s="172">
        <f t="shared" si="18"/>
        <v>-188766.66</v>
      </c>
      <c r="T60" s="172">
        <f t="shared" si="18"/>
        <v>-197129.66</v>
      </c>
      <c r="U60" s="172">
        <f t="shared" si="18"/>
        <v>-205913.66</v>
      </c>
      <c r="V60" s="172">
        <f t="shared" si="18"/>
        <v>-207732.21000000002</v>
      </c>
      <c r="W60" s="172">
        <f t="shared" si="18"/>
        <v>-223814.04999999993</v>
      </c>
      <c r="X60" s="172">
        <f t="shared" si="18"/>
        <v>-234979.99</v>
      </c>
      <c r="Y60" s="208">
        <f t="shared" si="18"/>
        <v>-245654.20999999996</v>
      </c>
      <c r="Z60" s="170"/>
      <c r="AA60" s="209">
        <f>SUM(E60:G60)</f>
        <v>-277494</v>
      </c>
      <c r="AB60" s="172">
        <f>SUM(H60:J60)</f>
        <v>-353145</v>
      </c>
      <c r="AC60" s="172">
        <f>SUM(K60:M60)</f>
        <v>-445187</v>
      </c>
      <c r="AD60" s="172">
        <f>SUM(N60:P60)</f>
        <v>-477656.5</v>
      </c>
      <c r="AE60" s="172">
        <f>SUM(Q60:S60)</f>
        <v>-542782.23</v>
      </c>
      <c r="AF60" s="172">
        <f>SUM(T60:V60)</f>
        <v>-610775.53</v>
      </c>
      <c r="AG60" s="208">
        <f>SUM(W60:Y60)</f>
        <v>-704448.24999999988</v>
      </c>
      <c r="AH60" s="170"/>
      <c r="AI60" s="210">
        <f>SUM(E60:P60)</f>
        <v>-1553482.5</v>
      </c>
      <c r="AJ60" s="170"/>
      <c r="AK60" s="209">
        <f>SUM(Q60:Y60)</f>
        <v>-1858006.01</v>
      </c>
      <c r="AL60" s="172">
        <f>SUM(N60:Y60)</f>
        <v>-2335662.5099999998</v>
      </c>
    </row>
    <row r="61" spans="1:38" ht="14.45" customHeight="1">
      <c r="A61" s="122"/>
      <c r="B61" s="122"/>
      <c r="C61" s="150" t="s">
        <v>45</v>
      </c>
      <c r="D61" s="122"/>
      <c r="E61" s="172">
        <f t="shared" ref="E61:Y61" si="19">E26</f>
        <v>0</v>
      </c>
      <c r="F61" s="172">
        <f t="shared" si="19"/>
        <v>0</v>
      </c>
      <c r="G61" s="172">
        <f t="shared" si="19"/>
        <v>0</v>
      </c>
      <c r="H61" s="172">
        <f t="shared" si="19"/>
        <v>0</v>
      </c>
      <c r="I61" s="172">
        <f t="shared" si="19"/>
        <v>0</v>
      </c>
      <c r="J61" s="172">
        <f t="shared" si="19"/>
        <v>0</v>
      </c>
      <c r="K61" s="172">
        <f t="shared" si="19"/>
        <v>0</v>
      </c>
      <c r="L61" s="172">
        <f t="shared" si="19"/>
        <v>0</v>
      </c>
      <c r="M61" s="172">
        <f t="shared" si="19"/>
        <v>0</v>
      </c>
      <c r="N61" s="172">
        <f t="shared" si="19"/>
        <v>0</v>
      </c>
      <c r="O61" s="172">
        <f t="shared" si="19"/>
        <v>0</v>
      </c>
      <c r="P61" s="172">
        <f t="shared" si="19"/>
        <v>0</v>
      </c>
      <c r="Q61" s="172">
        <f t="shared" si="19"/>
        <v>0</v>
      </c>
      <c r="R61" s="172">
        <f t="shared" si="19"/>
        <v>0</v>
      </c>
      <c r="S61" s="172">
        <f t="shared" si="19"/>
        <v>0</v>
      </c>
      <c r="T61" s="172">
        <f t="shared" si="19"/>
        <v>0</v>
      </c>
      <c r="U61" s="172">
        <f t="shared" si="19"/>
        <v>0</v>
      </c>
      <c r="V61" s="172">
        <f t="shared" si="19"/>
        <v>0</v>
      </c>
      <c r="W61" s="172">
        <f t="shared" si="19"/>
        <v>0</v>
      </c>
      <c r="X61" s="172">
        <f t="shared" si="19"/>
        <v>0</v>
      </c>
      <c r="Y61" s="208">
        <f t="shared" si="19"/>
        <v>0</v>
      </c>
      <c r="Z61" s="170"/>
      <c r="AA61" s="209">
        <f>SUM(E61:G61)</f>
        <v>0</v>
      </c>
      <c r="AB61" s="172">
        <f>SUM(H61:J61)</f>
        <v>0</v>
      </c>
      <c r="AC61" s="172">
        <f>SUM(K61:M61)</f>
        <v>0</v>
      </c>
      <c r="AD61" s="172">
        <f>SUM(N61:P61)</f>
        <v>0</v>
      </c>
      <c r="AE61" s="172">
        <f>SUM(Q61:S61)</f>
        <v>0</v>
      </c>
      <c r="AF61" s="172">
        <f>SUM(T61:V61)</f>
        <v>0</v>
      </c>
      <c r="AG61" s="208">
        <f>SUM(W61:Y61)</f>
        <v>0</v>
      </c>
      <c r="AH61" s="170"/>
      <c r="AI61" s="210">
        <f>SUM(E61:P61)</f>
        <v>0</v>
      </c>
      <c r="AJ61" s="170"/>
      <c r="AK61" s="209">
        <f>SUM(Q61:Y61)</f>
        <v>0</v>
      </c>
      <c r="AL61" s="172">
        <f>SUM(N61:Y61)</f>
        <v>0</v>
      </c>
    </row>
    <row r="62" spans="1:38" ht="8.1" customHeight="1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90"/>
      <c r="Z62" s="122"/>
      <c r="AA62" s="195"/>
      <c r="AB62" s="122"/>
      <c r="AC62" s="122"/>
      <c r="AD62" s="122"/>
      <c r="AE62" s="122"/>
      <c r="AF62" s="122"/>
      <c r="AG62" s="190"/>
      <c r="AH62" s="122"/>
      <c r="AI62" s="199"/>
      <c r="AJ62" s="122"/>
      <c r="AK62" s="195"/>
      <c r="AL62" s="122"/>
    </row>
    <row r="63" spans="1:38" ht="14.45" customHeight="1">
      <c r="A63" s="122"/>
      <c r="B63" s="122"/>
      <c r="C63" s="159" t="s">
        <v>69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90"/>
      <c r="Z63" s="122"/>
      <c r="AA63" s="195"/>
      <c r="AB63" s="122"/>
      <c r="AC63" s="122"/>
      <c r="AD63" s="122"/>
      <c r="AE63" s="122"/>
      <c r="AF63" s="122"/>
      <c r="AG63" s="190"/>
      <c r="AH63" s="122"/>
      <c r="AI63" s="199"/>
      <c r="AJ63" s="122"/>
      <c r="AK63" s="195"/>
      <c r="AL63" s="122"/>
    </row>
    <row r="64" spans="1:38" ht="14.45" customHeight="1">
      <c r="A64" s="122"/>
      <c r="B64" s="122"/>
      <c r="C64" s="150" t="s">
        <v>70</v>
      </c>
      <c r="D64" s="122"/>
      <c r="E64" s="172" cm="1">
        <f t="array" ref="E64">-(E36-INDEX('Data Summary'!M$8:M$38,28-7))</f>
        <v>-6958</v>
      </c>
      <c r="F64" s="172">
        <f t="shared" ref="F64:Y64" si="20">-(F36-E36)</f>
        <v>-685</v>
      </c>
      <c r="G64" s="172">
        <f t="shared" si="20"/>
        <v>825</v>
      </c>
      <c r="H64" s="172">
        <f t="shared" si="20"/>
        <v>-2387</v>
      </c>
      <c r="I64" s="172">
        <f t="shared" si="20"/>
        <v>-787</v>
      </c>
      <c r="J64" s="172">
        <f t="shared" si="20"/>
        <v>-822</v>
      </c>
      <c r="K64" s="172">
        <f t="shared" si="20"/>
        <v>-1398</v>
      </c>
      <c r="L64" s="172">
        <f t="shared" si="20"/>
        <v>-1053</v>
      </c>
      <c r="M64" s="172">
        <f t="shared" si="20"/>
        <v>-1146</v>
      </c>
      <c r="N64" s="172">
        <f t="shared" si="20"/>
        <v>-1259</v>
      </c>
      <c r="O64" s="172">
        <f t="shared" si="20"/>
        <v>-1210</v>
      </c>
      <c r="P64" s="172">
        <f t="shared" si="20"/>
        <v>-1265</v>
      </c>
      <c r="Q64" s="172">
        <f t="shared" si="20"/>
        <v>-1306.7699999999968</v>
      </c>
      <c r="R64" s="172">
        <f t="shared" si="20"/>
        <v>-1324</v>
      </c>
      <c r="S64" s="172">
        <f t="shared" si="20"/>
        <v>-1363</v>
      </c>
      <c r="T64" s="172">
        <f t="shared" si="20"/>
        <v>-1398</v>
      </c>
      <c r="U64" s="172">
        <f t="shared" si="20"/>
        <v>-1430</v>
      </c>
      <c r="V64" s="172">
        <f t="shared" si="20"/>
        <v>-10166.780000000006</v>
      </c>
      <c r="W64" s="172">
        <f t="shared" si="20"/>
        <v>-1502.9799999999959</v>
      </c>
      <c r="X64" s="172">
        <f t="shared" si="20"/>
        <v>-1539.7900000000081</v>
      </c>
      <c r="Y64" s="208">
        <f t="shared" si="20"/>
        <v>-1578.3399999999965</v>
      </c>
      <c r="Z64" s="170"/>
      <c r="AA64" s="209">
        <f t="shared" ref="AA64:AA69" si="21">SUM(E64:G64)</f>
        <v>-6818</v>
      </c>
      <c r="AB64" s="172">
        <f t="shared" ref="AB64:AB69" si="22">SUM(H64:J64)</f>
        <v>-3996</v>
      </c>
      <c r="AC64" s="172">
        <f t="shared" ref="AC64:AC69" si="23">SUM(K64:M64)</f>
        <v>-3597</v>
      </c>
      <c r="AD64" s="172">
        <f t="shared" ref="AD64:AD69" si="24">SUM(N64:P64)</f>
        <v>-3734</v>
      </c>
      <c r="AE64" s="172">
        <f t="shared" ref="AE64:AE69" si="25">SUM(Q64:S64)</f>
        <v>-3993.7699999999968</v>
      </c>
      <c r="AF64" s="172">
        <f t="shared" ref="AF64:AF69" si="26">SUM(T64:V64)</f>
        <v>-12994.780000000006</v>
      </c>
      <c r="AG64" s="208">
        <f t="shared" ref="AG64:AG69" si="27">SUM(W64:Y64)</f>
        <v>-4621.1100000000006</v>
      </c>
      <c r="AH64" s="170"/>
      <c r="AI64" s="210">
        <f t="shared" ref="AI64:AI69" si="28">SUM(E64:P64)</f>
        <v>-18145</v>
      </c>
      <c r="AJ64" s="170"/>
      <c r="AK64" s="209">
        <f t="shared" ref="AK64:AK69" si="29">SUM(Q64:Y64)</f>
        <v>-21609.660000000003</v>
      </c>
      <c r="AL64" s="172">
        <f t="shared" ref="AL64:AL69" si="30">SUM(N64:Y64)</f>
        <v>-25343.660000000003</v>
      </c>
    </row>
    <row r="65" spans="1:38" ht="14.45" customHeight="1">
      <c r="A65" s="122"/>
      <c r="B65" s="122"/>
      <c r="C65" s="150" t="s">
        <v>71</v>
      </c>
      <c r="D65" s="122"/>
      <c r="E65" s="172" cm="1">
        <f t="array" ref="E65">-(E37-INDEX('Data Summary'!M$8:M$38,30-7))</f>
        <v>0</v>
      </c>
      <c r="F65" s="172">
        <f t="shared" ref="F65:Y65" si="31">-(F37-E37)</f>
        <v>0</v>
      </c>
      <c r="G65" s="172">
        <f t="shared" si="31"/>
        <v>0</v>
      </c>
      <c r="H65" s="172">
        <f t="shared" si="31"/>
        <v>0</v>
      </c>
      <c r="I65" s="172">
        <f t="shared" si="31"/>
        <v>0</v>
      </c>
      <c r="J65" s="172">
        <f t="shared" si="31"/>
        <v>0</v>
      </c>
      <c r="K65" s="172">
        <f t="shared" si="31"/>
        <v>0</v>
      </c>
      <c r="L65" s="172">
        <f t="shared" si="31"/>
        <v>0</v>
      </c>
      <c r="M65" s="172">
        <f t="shared" si="31"/>
        <v>0</v>
      </c>
      <c r="N65" s="172">
        <f t="shared" si="31"/>
        <v>0</v>
      </c>
      <c r="O65" s="172">
        <f t="shared" si="31"/>
        <v>0</v>
      </c>
      <c r="P65" s="172">
        <f t="shared" si="31"/>
        <v>0</v>
      </c>
      <c r="Q65" s="172">
        <f t="shared" si="31"/>
        <v>0</v>
      </c>
      <c r="R65" s="172">
        <f t="shared" si="31"/>
        <v>0</v>
      </c>
      <c r="S65" s="172">
        <f t="shared" si="31"/>
        <v>0</v>
      </c>
      <c r="T65" s="172">
        <f t="shared" si="31"/>
        <v>0</v>
      </c>
      <c r="U65" s="172">
        <f t="shared" si="31"/>
        <v>0</v>
      </c>
      <c r="V65" s="172">
        <f t="shared" si="31"/>
        <v>300</v>
      </c>
      <c r="W65" s="172">
        <f t="shared" si="31"/>
        <v>-1000</v>
      </c>
      <c r="X65" s="172">
        <f t="shared" si="31"/>
        <v>0</v>
      </c>
      <c r="Y65" s="208">
        <f t="shared" si="31"/>
        <v>0</v>
      </c>
      <c r="Z65" s="170"/>
      <c r="AA65" s="209">
        <f t="shared" si="21"/>
        <v>0</v>
      </c>
      <c r="AB65" s="172">
        <f t="shared" si="22"/>
        <v>0</v>
      </c>
      <c r="AC65" s="172">
        <f t="shared" si="23"/>
        <v>0</v>
      </c>
      <c r="AD65" s="172">
        <f t="shared" si="24"/>
        <v>0</v>
      </c>
      <c r="AE65" s="172">
        <f t="shared" si="25"/>
        <v>0</v>
      </c>
      <c r="AF65" s="172">
        <f t="shared" si="26"/>
        <v>300</v>
      </c>
      <c r="AG65" s="208">
        <f t="shared" si="27"/>
        <v>-1000</v>
      </c>
      <c r="AH65" s="170"/>
      <c r="AI65" s="210">
        <f t="shared" si="28"/>
        <v>0</v>
      </c>
      <c r="AJ65" s="170"/>
      <c r="AK65" s="209">
        <f t="shared" si="29"/>
        <v>-700</v>
      </c>
      <c r="AL65" s="172">
        <f t="shared" si="30"/>
        <v>-700</v>
      </c>
    </row>
    <row r="66" spans="1:38" ht="14.45" customHeight="1">
      <c r="A66" s="122"/>
      <c r="B66" s="122"/>
      <c r="C66" s="150" t="s">
        <v>72</v>
      </c>
      <c r="D66" s="122"/>
      <c r="E66" s="172" cm="1">
        <f t="array" ref="E66">-(E39-INDEX('Data Summary'!M$8:M$38,32-7))</f>
        <v>0</v>
      </c>
      <c r="F66" s="172">
        <f t="shared" ref="F66:Y66" si="32">-(F39-E39)</f>
        <v>0</v>
      </c>
      <c r="G66" s="172">
        <f t="shared" si="32"/>
        <v>0</v>
      </c>
      <c r="H66" s="172">
        <f t="shared" si="32"/>
        <v>0</v>
      </c>
      <c r="I66" s="172">
        <f t="shared" si="32"/>
        <v>0</v>
      </c>
      <c r="J66" s="172">
        <f t="shared" si="32"/>
        <v>0</v>
      </c>
      <c r="K66" s="172">
        <f t="shared" si="32"/>
        <v>0</v>
      </c>
      <c r="L66" s="172">
        <f t="shared" si="32"/>
        <v>0</v>
      </c>
      <c r="M66" s="172">
        <f t="shared" si="32"/>
        <v>0</v>
      </c>
      <c r="N66" s="172">
        <f t="shared" si="32"/>
        <v>0</v>
      </c>
      <c r="O66" s="172">
        <f t="shared" si="32"/>
        <v>0</v>
      </c>
      <c r="P66" s="172">
        <f t="shared" si="32"/>
        <v>0</v>
      </c>
      <c r="Q66" s="172">
        <f t="shared" si="32"/>
        <v>0</v>
      </c>
      <c r="R66" s="172">
        <f t="shared" si="32"/>
        <v>0</v>
      </c>
      <c r="S66" s="172">
        <f t="shared" si="32"/>
        <v>0</v>
      </c>
      <c r="T66" s="172">
        <f t="shared" si="32"/>
        <v>0</v>
      </c>
      <c r="U66" s="172">
        <f t="shared" si="32"/>
        <v>0</v>
      </c>
      <c r="V66" s="172">
        <f t="shared" si="32"/>
        <v>0</v>
      </c>
      <c r="W66" s="172">
        <f t="shared" si="32"/>
        <v>0</v>
      </c>
      <c r="X66" s="172">
        <f t="shared" si="32"/>
        <v>0</v>
      </c>
      <c r="Y66" s="208">
        <f t="shared" si="32"/>
        <v>0</v>
      </c>
      <c r="Z66" s="170"/>
      <c r="AA66" s="209">
        <f t="shared" si="21"/>
        <v>0</v>
      </c>
      <c r="AB66" s="172">
        <f t="shared" si="22"/>
        <v>0</v>
      </c>
      <c r="AC66" s="172">
        <f t="shared" si="23"/>
        <v>0</v>
      </c>
      <c r="AD66" s="172">
        <f t="shared" si="24"/>
        <v>0</v>
      </c>
      <c r="AE66" s="172">
        <f t="shared" si="25"/>
        <v>0</v>
      </c>
      <c r="AF66" s="172">
        <f t="shared" si="26"/>
        <v>0</v>
      </c>
      <c r="AG66" s="208">
        <f t="shared" si="27"/>
        <v>0</v>
      </c>
      <c r="AH66" s="170"/>
      <c r="AI66" s="210">
        <f t="shared" si="28"/>
        <v>0</v>
      </c>
      <c r="AJ66" s="170"/>
      <c r="AK66" s="209">
        <f t="shared" si="29"/>
        <v>0</v>
      </c>
      <c r="AL66" s="172">
        <f t="shared" si="30"/>
        <v>0</v>
      </c>
    </row>
    <row r="67" spans="1:38" ht="14.45" customHeight="1">
      <c r="A67" s="122"/>
      <c r="B67" s="122"/>
      <c r="C67" s="150" t="s">
        <v>73</v>
      </c>
      <c r="D67" s="122"/>
      <c r="E67" s="172" cm="1">
        <f t="array" ref="E67">E43-INDEX('Data Summary'!M$8:M$38,33-7)</f>
        <v>0</v>
      </c>
      <c r="F67" s="172">
        <f t="shared" ref="F67:Y67" si="33">F43-E43</f>
        <v>0</v>
      </c>
      <c r="G67" s="172">
        <f t="shared" si="33"/>
        <v>0</v>
      </c>
      <c r="H67" s="172">
        <f t="shared" si="33"/>
        <v>0</v>
      </c>
      <c r="I67" s="172">
        <f t="shared" si="33"/>
        <v>0</v>
      </c>
      <c r="J67" s="172">
        <f t="shared" si="33"/>
        <v>0</v>
      </c>
      <c r="K67" s="172">
        <f t="shared" si="33"/>
        <v>0</v>
      </c>
      <c r="L67" s="172">
        <f t="shared" si="33"/>
        <v>0</v>
      </c>
      <c r="M67" s="172">
        <f t="shared" si="33"/>
        <v>0</v>
      </c>
      <c r="N67" s="172">
        <f t="shared" si="33"/>
        <v>0</v>
      </c>
      <c r="O67" s="172">
        <f t="shared" si="33"/>
        <v>0</v>
      </c>
      <c r="P67" s="172">
        <f t="shared" si="33"/>
        <v>0</v>
      </c>
      <c r="Q67" s="172">
        <f t="shared" si="33"/>
        <v>0</v>
      </c>
      <c r="R67" s="172">
        <f t="shared" si="33"/>
        <v>0</v>
      </c>
      <c r="S67" s="172">
        <f t="shared" si="33"/>
        <v>0</v>
      </c>
      <c r="T67" s="172">
        <f t="shared" si="33"/>
        <v>0</v>
      </c>
      <c r="U67" s="172">
        <f t="shared" si="33"/>
        <v>0</v>
      </c>
      <c r="V67" s="172">
        <f t="shared" si="33"/>
        <v>1000</v>
      </c>
      <c r="W67" s="172">
        <f t="shared" si="33"/>
        <v>0</v>
      </c>
      <c r="X67" s="172">
        <f t="shared" si="33"/>
        <v>0</v>
      </c>
      <c r="Y67" s="208">
        <f t="shared" si="33"/>
        <v>0</v>
      </c>
      <c r="Z67" s="170"/>
      <c r="AA67" s="209">
        <f t="shared" si="21"/>
        <v>0</v>
      </c>
      <c r="AB67" s="172">
        <f t="shared" si="22"/>
        <v>0</v>
      </c>
      <c r="AC67" s="172">
        <f t="shared" si="23"/>
        <v>0</v>
      </c>
      <c r="AD67" s="172">
        <f t="shared" si="24"/>
        <v>0</v>
      </c>
      <c r="AE67" s="172">
        <f t="shared" si="25"/>
        <v>0</v>
      </c>
      <c r="AF67" s="172">
        <f t="shared" si="26"/>
        <v>1000</v>
      </c>
      <c r="AG67" s="208">
        <f t="shared" si="27"/>
        <v>0</v>
      </c>
      <c r="AH67" s="170"/>
      <c r="AI67" s="210">
        <f t="shared" si="28"/>
        <v>0</v>
      </c>
      <c r="AJ67" s="170"/>
      <c r="AK67" s="209">
        <f t="shared" si="29"/>
        <v>1000</v>
      </c>
      <c r="AL67" s="172">
        <f t="shared" si="30"/>
        <v>1000</v>
      </c>
    </row>
    <row r="68" spans="1:38" ht="14.45" customHeight="1">
      <c r="A68" s="122"/>
      <c r="B68" s="122"/>
      <c r="C68" s="150" t="s">
        <v>74</v>
      </c>
      <c r="D68" s="122"/>
      <c r="E68" s="172" cm="1">
        <f t="array" ref="E68">E44-INDEX('Data Summary'!M$8:M$38,34-7)</f>
        <v>0</v>
      </c>
      <c r="F68" s="172">
        <f t="shared" ref="F68:Y68" si="34">F44-E44</f>
        <v>0</v>
      </c>
      <c r="G68" s="172">
        <f t="shared" si="34"/>
        <v>0</v>
      </c>
      <c r="H68" s="172">
        <f t="shared" si="34"/>
        <v>0</v>
      </c>
      <c r="I68" s="172">
        <f t="shared" si="34"/>
        <v>0</v>
      </c>
      <c r="J68" s="172">
        <f t="shared" si="34"/>
        <v>0</v>
      </c>
      <c r="K68" s="172">
        <f t="shared" si="34"/>
        <v>0</v>
      </c>
      <c r="L68" s="172">
        <f t="shared" si="34"/>
        <v>0</v>
      </c>
      <c r="M68" s="172">
        <f t="shared" si="34"/>
        <v>0</v>
      </c>
      <c r="N68" s="172">
        <f t="shared" si="34"/>
        <v>0</v>
      </c>
      <c r="O68" s="172">
        <f t="shared" si="34"/>
        <v>0</v>
      </c>
      <c r="P68" s="172">
        <f t="shared" si="34"/>
        <v>0</v>
      </c>
      <c r="Q68" s="172">
        <f t="shared" si="34"/>
        <v>0</v>
      </c>
      <c r="R68" s="172">
        <f t="shared" si="34"/>
        <v>0</v>
      </c>
      <c r="S68" s="172">
        <f t="shared" si="34"/>
        <v>0</v>
      </c>
      <c r="T68" s="172">
        <f t="shared" si="34"/>
        <v>0</v>
      </c>
      <c r="U68" s="172">
        <f t="shared" si="34"/>
        <v>0</v>
      </c>
      <c r="V68" s="172">
        <f t="shared" si="34"/>
        <v>0</v>
      </c>
      <c r="W68" s="172">
        <f t="shared" si="34"/>
        <v>0</v>
      </c>
      <c r="X68" s="172">
        <f t="shared" si="34"/>
        <v>0</v>
      </c>
      <c r="Y68" s="208">
        <f t="shared" si="34"/>
        <v>0</v>
      </c>
      <c r="Z68" s="170"/>
      <c r="AA68" s="209">
        <f t="shared" si="21"/>
        <v>0</v>
      </c>
      <c r="AB68" s="172">
        <f t="shared" si="22"/>
        <v>0</v>
      </c>
      <c r="AC68" s="172">
        <f t="shared" si="23"/>
        <v>0</v>
      </c>
      <c r="AD68" s="172">
        <f t="shared" si="24"/>
        <v>0</v>
      </c>
      <c r="AE68" s="172">
        <f t="shared" si="25"/>
        <v>0</v>
      </c>
      <c r="AF68" s="172">
        <f t="shared" si="26"/>
        <v>0</v>
      </c>
      <c r="AG68" s="208">
        <f t="shared" si="27"/>
        <v>0</v>
      </c>
      <c r="AH68" s="170"/>
      <c r="AI68" s="210">
        <f t="shared" si="28"/>
        <v>0</v>
      </c>
      <c r="AJ68" s="170"/>
      <c r="AK68" s="209">
        <f t="shared" si="29"/>
        <v>0</v>
      </c>
      <c r="AL68" s="172">
        <f t="shared" si="30"/>
        <v>0</v>
      </c>
    </row>
    <row r="69" spans="1:38" ht="14.45" customHeight="1">
      <c r="A69" s="122"/>
      <c r="B69" s="122"/>
      <c r="C69" s="150" t="s">
        <v>75</v>
      </c>
      <c r="D69" s="122"/>
      <c r="E69" s="201" cm="1">
        <f t="array" ref="E69">E46-INDEX('Data Summary'!M$8:M$38,36-7)</f>
        <v>0</v>
      </c>
      <c r="F69" s="201">
        <f t="shared" ref="F69:Y69" si="35">F46-E46</f>
        <v>0</v>
      </c>
      <c r="G69" s="201">
        <f t="shared" si="35"/>
        <v>0</v>
      </c>
      <c r="H69" s="201">
        <f t="shared" si="35"/>
        <v>0</v>
      </c>
      <c r="I69" s="201">
        <f t="shared" si="35"/>
        <v>0</v>
      </c>
      <c r="J69" s="201">
        <f t="shared" si="35"/>
        <v>0</v>
      </c>
      <c r="K69" s="201">
        <f t="shared" si="35"/>
        <v>0</v>
      </c>
      <c r="L69" s="201">
        <f t="shared" si="35"/>
        <v>0</v>
      </c>
      <c r="M69" s="201">
        <f t="shared" si="35"/>
        <v>0</v>
      </c>
      <c r="N69" s="201">
        <f t="shared" si="35"/>
        <v>0</v>
      </c>
      <c r="O69" s="201">
        <f t="shared" si="35"/>
        <v>0</v>
      </c>
      <c r="P69" s="201">
        <f t="shared" si="35"/>
        <v>0</v>
      </c>
      <c r="Q69" s="201">
        <f t="shared" si="35"/>
        <v>0</v>
      </c>
      <c r="R69" s="201">
        <f t="shared" si="35"/>
        <v>0</v>
      </c>
      <c r="S69" s="201">
        <f t="shared" si="35"/>
        <v>0</v>
      </c>
      <c r="T69" s="201">
        <f t="shared" si="35"/>
        <v>0</v>
      </c>
      <c r="U69" s="201">
        <f t="shared" si="35"/>
        <v>0</v>
      </c>
      <c r="V69" s="201">
        <f t="shared" si="35"/>
        <v>0</v>
      </c>
      <c r="W69" s="201">
        <f t="shared" si="35"/>
        <v>0</v>
      </c>
      <c r="X69" s="201">
        <f t="shared" si="35"/>
        <v>0</v>
      </c>
      <c r="Y69" s="202">
        <f t="shared" si="35"/>
        <v>0</v>
      </c>
      <c r="Z69" s="170"/>
      <c r="AA69" s="203">
        <f t="shared" si="21"/>
        <v>0</v>
      </c>
      <c r="AB69" s="201">
        <f t="shared" si="22"/>
        <v>0</v>
      </c>
      <c r="AC69" s="201">
        <f t="shared" si="23"/>
        <v>0</v>
      </c>
      <c r="AD69" s="201">
        <f t="shared" si="24"/>
        <v>0</v>
      </c>
      <c r="AE69" s="201">
        <f t="shared" si="25"/>
        <v>0</v>
      </c>
      <c r="AF69" s="201">
        <f t="shared" si="26"/>
        <v>0</v>
      </c>
      <c r="AG69" s="202">
        <f t="shared" si="27"/>
        <v>0</v>
      </c>
      <c r="AH69" s="170"/>
      <c r="AI69" s="204">
        <f t="shared" si="28"/>
        <v>0</v>
      </c>
      <c r="AJ69" s="170"/>
      <c r="AK69" s="203">
        <f t="shared" si="29"/>
        <v>0</v>
      </c>
      <c r="AL69" s="201">
        <f t="shared" si="30"/>
        <v>0</v>
      </c>
    </row>
    <row r="70" spans="1:38" ht="14.45" customHeight="1">
      <c r="A70" s="122"/>
      <c r="B70" s="122"/>
      <c r="C70" s="151" t="s">
        <v>76</v>
      </c>
      <c r="D70" s="122"/>
      <c r="E70" s="173">
        <f t="shared" ref="E70:Y70" si="36">E60+E61+SUM(E64:E69)</f>
        <v>-79762.5</v>
      </c>
      <c r="F70" s="173">
        <f t="shared" si="36"/>
        <v>-130005</v>
      </c>
      <c r="G70" s="173">
        <f t="shared" si="36"/>
        <v>-74544.5</v>
      </c>
      <c r="H70" s="173">
        <f t="shared" si="36"/>
        <v>-137097.5</v>
      </c>
      <c r="I70" s="173">
        <f t="shared" si="36"/>
        <v>-78849.5</v>
      </c>
      <c r="J70" s="173">
        <f t="shared" si="36"/>
        <v>-141194</v>
      </c>
      <c r="K70" s="173">
        <f t="shared" si="36"/>
        <v>-147714</v>
      </c>
      <c r="L70" s="173">
        <f t="shared" si="36"/>
        <v>-147368</v>
      </c>
      <c r="M70" s="173">
        <f t="shared" si="36"/>
        <v>-153702</v>
      </c>
      <c r="N70" s="173">
        <f t="shared" si="36"/>
        <v>-153816</v>
      </c>
      <c r="O70" s="173">
        <f t="shared" si="36"/>
        <v>-160320</v>
      </c>
      <c r="P70" s="173">
        <f t="shared" si="36"/>
        <v>-167254.5</v>
      </c>
      <c r="Q70" s="173">
        <f t="shared" si="36"/>
        <v>-174521.67999999996</v>
      </c>
      <c r="R70" s="173">
        <f t="shared" si="36"/>
        <v>-182124.66</v>
      </c>
      <c r="S70" s="173">
        <f t="shared" si="36"/>
        <v>-190129.66</v>
      </c>
      <c r="T70" s="173">
        <f t="shared" si="36"/>
        <v>-198527.66</v>
      </c>
      <c r="U70" s="173">
        <f t="shared" si="36"/>
        <v>-207343.66</v>
      </c>
      <c r="V70" s="173">
        <f t="shared" si="36"/>
        <v>-216598.99000000002</v>
      </c>
      <c r="W70" s="173">
        <f t="shared" si="36"/>
        <v>-226317.02999999991</v>
      </c>
      <c r="X70" s="173">
        <f t="shared" si="36"/>
        <v>-236519.78</v>
      </c>
      <c r="Y70" s="205">
        <f t="shared" si="36"/>
        <v>-247232.54999999996</v>
      </c>
      <c r="Z70" s="125"/>
      <c r="AA70" s="206">
        <f t="shared" ref="AA70:AG70" si="37">AA60+AA61+SUM(AA64:AA69)</f>
        <v>-284312</v>
      </c>
      <c r="AB70" s="173">
        <f t="shared" si="37"/>
        <v>-357141</v>
      </c>
      <c r="AC70" s="173">
        <f t="shared" si="37"/>
        <v>-448784</v>
      </c>
      <c r="AD70" s="173">
        <f t="shared" si="37"/>
        <v>-481390.5</v>
      </c>
      <c r="AE70" s="173">
        <f t="shared" si="37"/>
        <v>-546776</v>
      </c>
      <c r="AF70" s="173">
        <f t="shared" si="37"/>
        <v>-622470.31000000006</v>
      </c>
      <c r="AG70" s="205">
        <f t="shared" si="37"/>
        <v>-710069.35999999987</v>
      </c>
      <c r="AH70" s="125"/>
      <c r="AI70" s="207">
        <f>AI60+AI61+SUM(AI64:AI69)</f>
        <v>-1571627.5</v>
      </c>
      <c r="AJ70" s="125"/>
      <c r="AK70" s="206">
        <f>AK60+AK61+SUM(AK64:AK69)</f>
        <v>-1879315.67</v>
      </c>
      <c r="AL70" s="173">
        <f>AL60+AL61+SUM(AL64:AL69)</f>
        <v>-2360706.17</v>
      </c>
    </row>
    <row r="71" spans="1:38" ht="8.1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90"/>
      <c r="Z71" s="122"/>
      <c r="AA71" s="195"/>
      <c r="AB71" s="122"/>
      <c r="AC71" s="122"/>
      <c r="AD71" s="122"/>
      <c r="AE71" s="122"/>
      <c r="AF71" s="122"/>
      <c r="AG71" s="190"/>
      <c r="AH71" s="122"/>
      <c r="AI71" s="199"/>
      <c r="AJ71" s="122"/>
      <c r="AK71" s="195"/>
      <c r="AL71" s="122"/>
    </row>
    <row r="72" spans="1:38" ht="14.45" customHeight="1">
      <c r="A72" s="122"/>
      <c r="B72" s="122"/>
      <c r="C72" s="159" t="s">
        <v>77</v>
      </c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90"/>
      <c r="Z72" s="122"/>
      <c r="AA72" s="195"/>
      <c r="AB72" s="122"/>
      <c r="AC72" s="122"/>
      <c r="AD72" s="122"/>
      <c r="AE72" s="122"/>
      <c r="AF72" s="122"/>
      <c r="AG72" s="190"/>
      <c r="AH72" s="122"/>
      <c r="AI72" s="199"/>
      <c r="AJ72" s="122"/>
      <c r="AK72" s="195"/>
      <c r="AL72" s="122"/>
    </row>
    <row r="73" spans="1:38" ht="14.45" customHeight="1">
      <c r="A73" s="122"/>
      <c r="B73" s="122"/>
      <c r="C73" s="150" t="s">
        <v>78</v>
      </c>
      <c r="D73" s="122"/>
      <c r="E73" s="201" cm="1">
        <f t="array" ref="E73">-(E38-INDEX('Data Summary'!M$8:M$38,31-7))-E61</f>
        <v>-13949.5</v>
      </c>
      <c r="F73" s="201">
        <f t="shared" ref="F73:Y73" si="38">-(F38-E38)-F61</f>
        <v>15051</v>
      </c>
      <c r="G73" s="201">
        <f t="shared" si="38"/>
        <v>3050.5</v>
      </c>
      <c r="H73" s="201">
        <f t="shared" si="38"/>
        <v>3050.5</v>
      </c>
      <c r="I73" s="201">
        <f t="shared" si="38"/>
        <v>3050.5</v>
      </c>
      <c r="J73" s="201">
        <f t="shared" si="38"/>
        <v>3051</v>
      </c>
      <c r="K73" s="201">
        <f t="shared" si="38"/>
        <v>3051</v>
      </c>
      <c r="L73" s="201">
        <f t="shared" si="38"/>
        <v>3051</v>
      </c>
      <c r="M73" s="201">
        <f t="shared" si="38"/>
        <v>3051</v>
      </c>
      <c r="N73" s="201">
        <f t="shared" si="38"/>
        <v>3051</v>
      </c>
      <c r="O73" s="201">
        <f t="shared" si="38"/>
        <v>3051</v>
      </c>
      <c r="P73" s="201">
        <f t="shared" si="38"/>
        <v>3050.5</v>
      </c>
      <c r="Q73" s="201">
        <f t="shared" si="38"/>
        <v>3050.6600000000035</v>
      </c>
      <c r="R73" s="201">
        <f t="shared" si="38"/>
        <v>3050.6599999999962</v>
      </c>
      <c r="S73" s="201">
        <f t="shared" si="38"/>
        <v>3050.6600000000035</v>
      </c>
      <c r="T73" s="201">
        <f t="shared" si="38"/>
        <v>3050.6599999999962</v>
      </c>
      <c r="U73" s="201">
        <f t="shared" si="38"/>
        <v>3050.6600000000035</v>
      </c>
      <c r="V73" s="201">
        <f t="shared" si="38"/>
        <v>3050.6600000000035</v>
      </c>
      <c r="W73" s="201">
        <f t="shared" si="38"/>
        <v>3050.6599999999889</v>
      </c>
      <c r="X73" s="201">
        <f t="shared" si="38"/>
        <v>3050.6600000000035</v>
      </c>
      <c r="Y73" s="202">
        <f t="shared" si="38"/>
        <v>3050.6600000000035</v>
      </c>
      <c r="Z73" s="170"/>
      <c r="AA73" s="203">
        <f>SUM(E73:G73)</f>
        <v>4152</v>
      </c>
      <c r="AB73" s="201">
        <f>SUM(H73:J73)</f>
        <v>9152</v>
      </c>
      <c r="AC73" s="201">
        <f>SUM(K73:M73)</f>
        <v>9153</v>
      </c>
      <c r="AD73" s="201">
        <f>SUM(N73:P73)</f>
        <v>9152.5</v>
      </c>
      <c r="AE73" s="201">
        <f>SUM(Q73:S73)</f>
        <v>9151.9800000000032</v>
      </c>
      <c r="AF73" s="201">
        <f>SUM(T73:V73)</f>
        <v>9151.9800000000032</v>
      </c>
      <c r="AG73" s="202">
        <f>SUM(W73:Y73)</f>
        <v>9151.9799999999959</v>
      </c>
      <c r="AH73" s="170"/>
      <c r="AI73" s="204">
        <f>SUM(E73:P73)</f>
        <v>31609.5</v>
      </c>
      <c r="AJ73" s="170"/>
      <c r="AK73" s="203">
        <f>SUM(Q73:Y73)</f>
        <v>27455.940000000002</v>
      </c>
      <c r="AL73" s="201">
        <f>SUM(N73:Y73)</f>
        <v>36608.44</v>
      </c>
    </row>
    <row r="74" spans="1:38" ht="14.45" customHeight="1">
      <c r="A74" s="122"/>
      <c r="B74" s="122"/>
      <c r="C74" s="151" t="s">
        <v>79</v>
      </c>
      <c r="D74" s="122"/>
      <c r="E74" s="173">
        <f t="shared" ref="E74:Y74" si="39">E73</f>
        <v>-13949.5</v>
      </c>
      <c r="F74" s="173">
        <f t="shared" si="39"/>
        <v>15051</v>
      </c>
      <c r="G74" s="173">
        <f t="shared" si="39"/>
        <v>3050.5</v>
      </c>
      <c r="H74" s="173">
        <f t="shared" si="39"/>
        <v>3050.5</v>
      </c>
      <c r="I74" s="173">
        <f t="shared" si="39"/>
        <v>3050.5</v>
      </c>
      <c r="J74" s="173">
        <f t="shared" si="39"/>
        <v>3051</v>
      </c>
      <c r="K74" s="173">
        <f t="shared" si="39"/>
        <v>3051</v>
      </c>
      <c r="L74" s="173">
        <f t="shared" si="39"/>
        <v>3051</v>
      </c>
      <c r="M74" s="173">
        <f t="shared" si="39"/>
        <v>3051</v>
      </c>
      <c r="N74" s="173">
        <f t="shared" si="39"/>
        <v>3051</v>
      </c>
      <c r="O74" s="173">
        <f t="shared" si="39"/>
        <v>3051</v>
      </c>
      <c r="P74" s="173">
        <f t="shared" si="39"/>
        <v>3050.5</v>
      </c>
      <c r="Q74" s="173">
        <f t="shared" si="39"/>
        <v>3050.6600000000035</v>
      </c>
      <c r="R74" s="173">
        <f t="shared" si="39"/>
        <v>3050.6599999999962</v>
      </c>
      <c r="S74" s="173">
        <f t="shared" si="39"/>
        <v>3050.6600000000035</v>
      </c>
      <c r="T74" s="173">
        <f t="shared" si="39"/>
        <v>3050.6599999999962</v>
      </c>
      <c r="U74" s="173">
        <f t="shared" si="39"/>
        <v>3050.6600000000035</v>
      </c>
      <c r="V74" s="173">
        <f t="shared" si="39"/>
        <v>3050.6600000000035</v>
      </c>
      <c r="W74" s="173">
        <f t="shared" si="39"/>
        <v>3050.6599999999889</v>
      </c>
      <c r="X74" s="173">
        <f t="shared" si="39"/>
        <v>3050.6600000000035</v>
      </c>
      <c r="Y74" s="205">
        <f t="shared" si="39"/>
        <v>3050.6600000000035</v>
      </c>
      <c r="Z74" s="125"/>
      <c r="AA74" s="206">
        <f t="shared" ref="AA74:AG74" si="40">AA73</f>
        <v>4152</v>
      </c>
      <c r="AB74" s="173">
        <f t="shared" si="40"/>
        <v>9152</v>
      </c>
      <c r="AC74" s="173">
        <f t="shared" si="40"/>
        <v>9153</v>
      </c>
      <c r="AD74" s="173">
        <f t="shared" si="40"/>
        <v>9152.5</v>
      </c>
      <c r="AE74" s="173">
        <f t="shared" si="40"/>
        <v>9151.9800000000032</v>
      </c>
      <c r="AF74" s="173">
        <f t="shared" si="40"/>
        <v>9151.9800000000032</v>
      </c>
      <c r="AG74" s="205">
        <f t="shared" si="40"/>
        <v>9151.9799999999959</v>
      </c>
      <c r="AH74" s="125"/>
      <c r="AI74" s="207">
        <f>AI73</f>
        <v>31609.5</v>
      </c>
      <c r="AJ74" s="125"/>
      <c r="AK74" s="206">
        <f>AK73</f>
        <v>27455.940000000002</v>
      </c>
      <c r="AL74" s="173">
        <f>AL73</f>
        <v>36608.44</v>
      </c>
    </row>
    <row r="75" spans="1:38" ht="8.1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90"/>
      <c r="Z75" s="122"/>
      <c r="AA75" s="195"/>
      <c r="AB75" s="122"/>
      <c r="AC75" s="122"/>
      <c r="AD75" s="122"/>
      <c r="AE75" s="122"/>
      <c r="AF75" s="122"/>
      <c r="AG75" s="190"/>
      <c r="AH75" s="122"/>
      <c r="AI75" s="199"/>
      <c r="AJ75" s="122"/>
      <c r="AK75" s="195"/>
      <c r="AL75" s="122"/>
    </row>
    <row r="76" spans="1:38" ht="14.45" customHeight="1">
      <c r="A76" s="122"/>
      <c r="B76" s="122"/>
      <c r="C76" s="159" t="s">
        <v>80</v>
      </c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90"/>
      <c r="Z76" s="122"/>
      <c r="AA76" s="195"/>
      <c r="AB76" s="122"/>
      <c r="AC76" s="122"/>
      <c r="AD76" s="122"/>
      <c r="AE76" s="122"/>
      <c r="AF76" s="122"/>
      <c r="AG76" s="190"/>
      <c r="AH76" s="122"/>
      <c r="AI76" s="199"/>
      <c r="AJ76" s="122"/>
      <c r="AK76" s="195"/>
      <c r="AL76" s="122"/>
    </row>
    <row r="77" spans="1:38" ht="14.45" customHeight="1">
      <c r="A77" s="122"/>
      <c r="B77" s="122"/>
      <c r="C77" s="150" t="s">
        <v>81</v>
      </c>
      <c r="D77" s="122"/>
      <c r="E77" s="172" cm="1">
        <f t="array" ref="E77">E45-INDEX('Data Summary'!M$8:M$38,35-7)</f>
        <v>0</v>
      </c>
      <c r="F77" s="172">
        <f t="shared" ref="F77:Y77" si="41">F45-E45</f>
        <v>0</v>
      </c>
      <c r="G77" s="172">
        <f t="shared" si="41"/>
        <v>0</v>
      </c>
      <c r="H77" s="172">
        <f t="shared" si="41"/>
        <v>0</v>
      </c>
      <c r="I77" s="172">
        <f t="shared" si="41"/>
        <v>0</v>
      </c>
      <c r="J77" s="172">
        <f t="shared" si="41"/>
        <v>0</v>
      </c>
      <c r="K77" s="172">
        <f t="shared" si="41"/>
        <v>0</v>
      </c>
      <c r="L77" s="172">
        <f t="shared" si="41"/>
        <v>0</v>
      </c>
      <c r="M77" s="172">
        <f t="shared" si="41"/>
        <v>0</v>
      </c>
      <c r="N77" s="172">
        <f t="shared" si="41"/>
        <v>0</v>
      </c>
      <c r="O77" s="172">
        <f t="shared" si="41"/>
        <v>0</v>
      </c>
      <c r="P77" s="172">
        <f t="shared" si="41"/>
        <v>0</v>
      </c>
      <c r="Q77" s="172">
        <f t="shared" si="41"/>
        <v>0</v>
      </c>
      <c r="R77" s="172">
        <f t="shared" si="41"/>
        <v>0</v>
      </c>
      <c r="S77" s="172">
        <f t="shared" si="41"/>
        <v>0</v>
      </c>
      <c r="T77" s="172">
        <f t="shared" si="41"/>
        <v>0</v>
      </c>
      <c r="U77" s="172">
        <f t="shared" si="41"/>
        <v>0</v>
      </c>
      <c r="V77" s="172">
        <f t="shared" si="41"/>
        <v>0</v>
      </c>
      <c r="W77" s="172">
        <f t="shared" si="41"/>
        <v>0</v>
      </c>
      <c r="X77" s="172">
        <f t="shared" si="41"/>
        <v>0</v>
      </c>
      <c r="Y77" s="208">
        <f t="shared" si="41"/>
        <v>0</v>
      </c>
      <c r="Z77" s="170"/>
      <c r="AA77" s="209">
        <f>SUM(E77:G77)</f>
        <v>0</v>
      </c>
      <c r="AB77" s="172">
        <f>SUM(H77:J77)</f>
        <v>0</v>
      </c>
      <c r="AC77" s="172">
        <f>SUM(K77:M77)</f>
        <v>0</v>
      </c>
      <c r="AD77" s="172">
        <f>SUM(N77:P77)</f>
        <v>0</v>
      </c>
      <c r="AE77" s="172">
        <f>SUM(Q77:S77)</f>
        <v>0</v>
      </c>
      <c r="AF77" s="172">
        <f>SUM(T77:V77)</f>
        <v>0</v>
      </c>
      <c r="AG77" s="208">
        <f>SUM(W77:Y77)</f>
        <v>0</v>
      </c>
      <c r="AH77" s="170"/>
      <c r="AI77" s="210">
        <f>SUM(E77:P77)</f>
        <v>0</v>
      </c>
      <c r="AJ77" s="170"/>
      <c r="AK77" s="209">
        <f>SUM(Q77:Y77)</f>
        <v>0</v>
      </c>
      <c r="AL77" s="172">
        <f>SUM(N77:Y77)</f>
        <v>0</v>
      </c>
    </row>
    <row r="78" spans="1:38" ht="14.45" customHeight="1">
      <c r="A78" s="122"/>
      <c r="B78" s="122"/>
      <c r="C78" s="150" t="s">
        <v>82</v>
      </c>
      <c r="D78" s="122"/>
      <c r="E78" s="201" cm="1">
        <f t="array" ref="E78">E50-INDEX('Data Summary'!M$8:M$38,37-7)</f>
        <v>0</v>
      </c>
      <c r="F78" s="201">
        <f t="shared" ref="F78:Y78" si="42">F50-E50</f>
        <v>0</v>
      </c>
      <c r="G78" s="201">
        <f t="shared" si="42"/>
        <v>0</v>
      </c>
      <c r="H78" s="201">
        <f t="shared" si="42"/>
        <v>0</v>
      </c>
      <c r="I78" s="201">
        <f t="shared" si="42"/>
        <v>0</v>
      </c>
      <c r="J78" s="201">
        <f t="shared" si="42"/>
        <v>0</v>
      </c>
      <c r="K78" s="201">
        <f t="shared" si="42"/>
        <v>0</v>
      </c>
      <c r="L78" s="201">
        <f t="shared" si="42"/>
        <v>0</v>
      </c>
      <c r="M78" s="201">
        <f t="shared" si="42"/>
        <v>0</v>
      </c>
      <c r="N78" s="201">
        <f t="shared" si="42"/>
        <v>0</v>
      </c>
      <c r="O78" s="201">
        <f t="shared" si="42"/>
        <v>0</v>
      </c>
      <c r="P78" s="201">
        <f t="shared" si="42"/>
        <v>0</v>
      </c>
      <c r="Q78" s="201">
        <f t="shared" si="42"/>
        <v>0</v>
      </c>
      <c r="R78" s="201">
        <f t="shared" si="42"/>
        <v>0</v>
      </c>
      <c r="S78" s="201">
        <f t="shared" si="42"/>
        <v>0</v>
      </c>
      <c r="T78" s="201">
        <f t="shared" si="42"/>
        <v>0</v>
      </c>
      <c r="U78" s="201">
        <f t="shared" si="42"/>
        <v>0</v>
      </c>
      <c r="V78" s="201">
        <f t="shared" si="42"/>
        <v>0</v>
      </c>
      <c r="W78" s="201">
        <f t="shared" si="42"/>
        <v>0</v>
      </c>
      <c r="X78" s="201">
        <f t="shared" si="42"/>
        <v>0</v>
      </c>
      <c r="Y78" s="202">
        <f t="shared" si="42"/>
        <v>0</v>
      </c>
      <c r="Z78" s="170"/>
      <c r="AA78" s="203">
        <f>SUM(E78:G78)</f>
        <v>0</v>
      </c>
      <c r="AB78" s="201">
        <f>SUM(H78:J78)</f>
        <v>0</v>
      </c>
      <c r="AC78" s="201">
        <f>SUM(K78:M78)</f>
        <v>0</v>
      </c>
      <c r="AD78" s="201">
        <f>SUM(N78:P78)</f>
        <v>0</v>
      </c>
      <c r="AE78" s="201">
        <f>SUM(Q78:S78)</f>
        <v>0</v>
      </c>
      <c r="AF78" s="201">
        <f>SUM(T78:V78)</f>
        <v>0</v>
      </c>
      <c r="AG78" s="202">
        <f>SUM(W78:Y78)</f>
        <v>0</v>
      </c>
      <c r="AH78" s="170"/>
      <c r="AI78" s="204">
        <f>SUM(E78:P78)</f>
        <v>0</v>
      </c>
      <c r="AJ78" s="170"/>
      <c r="AK78" s="203">
        <f>SUM(Q78:Y78)</f>
        <v>0</v>
      </c>
      <c r="AL78" s="201">
        <f>SUM(N78:Y78)</f>
        <v>0</v>
      </c>
    </row>
    <row r="79" spans="1:38" ht="14.45" customHeight="1">
      <c r="A79" s="122"/>
      <c r="B79" s="122"/>
      <c r="C79" s="151" t="s">
        <v>83</v>
      </c>
      <c r="D79" s="122"/>
      <c r="E79" s="173">
        <f t="shared" ref="E79:Y79" si="43">SUM(E77:E78)</f>
        <v>0</v>
      </c>
      <c r="F79" s="173">
        <f t="shared" si="43"/>
        <v>0</v>
      </c>
      <c r="G79" s="173">
        <f t="shared" si="43"/>
        <v>0</v>
      </c>
      <c r="H79" s="173">
        <f t="shared" si="43"/>
        <v>0</v>
      </c>
      <c r="I79" s="173">
        <f t="shared" si="43"/>
        <v>0</v>
      </c>
      <c r="J79" s="173">
        <f t="shared" si="43"/>
        <v>0</v>
      </c>
      <c r="K79" s="173">
        <f t="shared" si="43"/>
        <v>0</v>
      </c>
      <c r="L79" s="173">
        <f t="shared" si="43"/>
        <v>0</v>
      </c>
      <c r="M79" s="173">
        <f t="shared" si="43"/>
        <v>0</v>
      </c>
      <c r="N79" s="173">
        <f t="shared" si="43"/>
        <v>0</v>
      </c>
      <c r="O79" s="173">
        <f t="shared" si="43"/>
        <v>0</v>
      </c>
      <c r="P79" s="173">
        <f t="shared" si="43"/>
        <v>0</v>
      </c>
      <c r="Q79" s="173">
        <f t="shared" si="43"/>
        <v>0</v>
      </c>
      <c r="R79" s="173">
        <f t="shared" si="43"/>
        <v>0</v>
      </c>
      <c r="S79" s="173">
        <f t="shared" si="43"/>
        <v>0</v>
      </c>
      <c r="T79" s="173">
        <f t="shared" si="43"/>
        <v>0</v>
      </c>
      <c r="U79" s="173">
        <f t="shared" si="43"/>
        <v>0</v>
      </c>
      <c r="V79" s="173">
        <f t="shared" si="43"/>
        <v>0</v>
      </c>
      <c r="W79" s="173">
        <f t="shared" si="43"/>
        <v>0</v>
      </c>
      <c r="X79" s="173">
        <f t="shared" si="43"/>
        <v>0</v>
      </c>
      <c r="Y79" s="205">
        <f t="shared" si="43"/>
        <v>0</v>
      </c>
      <c r="Z79" s="125"/>
      <c r="AA79" s="206">
        <f t="shared" ref="AA79:AG79" si="44">SUM(AA77:AA78)</f>
        <v>0</v>
      </c>
      <c r="AB79" s="173">
        <f t="shared" si="44"/>
        <v>0</v>
      </c>
      <c r="AC79" s="173">
        <f t="shared" si="44"/>
        <v>0</v>
      </c>
      <c r="AD79" s="173">
        <f t="shared" si="44"/>
        <v>0</v>
      </c>
      <c r="AE79" s="173">
        <f t="shared" si="44"/>
        <v>0</v>
      </c>
      <c r="AF79" s="173">
        <f t="shared" si="44"/>
        <v>0</v>
      </c>
      <c r="AG79" s="205">
        <f t="shared" si="44"/>
        <v>0</v>
      </c>
      <c r="AH79" s="125"/>
      <c r="AI79" s="207">
        <f>SUM(AI77:AI78)</f>
        <v>0</v>
      </c>
      <c r="AJ79" s="125"/>
      <c r="AK79" s="206">
        <f>SUM(AK77:AK78)</f>
        <v>0</v>
      </c>
      <c r="AL79" s="173">
        <f>SUM(AL77:AL78)</f>
        <v>0</v>
      </c>
    </row>
    <row r="80" spans="1:38" ht="8.1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90"/>
      <c r="Z80" s="122"/>
      <c r="AA80" s="195"/>
      <c r="AB80" s="122"/>
      <c r="AC80" s="122"/>
      <c r="AD80" s="122"/>
      <c r="AE80" s="122"/>
      <c r="AF80" s="122"/>
      <c r="AG80" s="190"/>
      <c r="AH80" s="122"/>
      <c r="AI80" s="199"/>
      <c r="AJ80" s="122"/>
      <c r="AK80" s="195"/>
      <c r="AL80" s="122"/>
    </row>
    <row r="81" spans="1:38" ht="14.45" customHeight="1">
      <c r="A81" s="122"/>
      <c r="B81" s="122"/>
      <c r="C81" s="151" t="s">
        <v>84</v>
      </c>
      <c r="D81" s="122"/>
      <c r="E81" s="173">
        <f t="shared" ref="E81:Y81" si="45">E70+E74+E79</f>
        <v>-93712</v>
      </c>
      <c r="F81" s="173">
        <f t="shared" si="45"/>
        <v>-114954</v>
      </c>
      <c r="G81" s="173">
        <f t="shared" si="45"/>
        <v>-71494</v>
      </c>
      <c r="H81" s="173">
        <f t="shared" si="45"/>
        <v>-134047</v>
      </c>
      <c r="I81" s="173">
        <f t="shared" si="45"/>
        <v>-75799</v>
      </c>
      <c r="J81" s="173">
        <f t="shared" si="45"/>
        <v>-138143</v>
      </c>
      <c r="K81" s="173">
        <f t="shared" si="45"/>
        <v>-144663</v>
      </c>
      <c r="L81" s="173">
        <f t="shared" si="45"/>
        <v>-144317</v>
      </c>
      <c r="M81" s="173">
        <f t="shared" si="45"/>
        <v>-150651</v>
      </c>
      <c r="N81" s="173">
        <f t="shared" si="45"/>
        <v>-150765</v>
      </c>
      <c r="O81" s="173">
        <f t="shared" si="45"/>
        <v>-157269</v>
      </c>
      <c r="P81" s="173">
        <f t="shared" si="45"/>
        <v>-164204</v>
      </c>
      <c r="Q81" s="173">
        <f t="shared" si="45"/>
        <v>-171471.01999999996</v>
      </c>
      <c r="R81" s="173">
        <f t="shared" si="45"/>
        <v>-179074</v>
      </c>
      <c r="S81" s="173">
        <f t="shared" si="45"/>
        <v>-187079</v>
      </c>
      <c r="T81" s="173">
        <f t="shared" si="45"/>
        <v>-195477</v>
      </c>
      <c r="U81" s="173">
        <f t="shared" si="45"/>
        <v>-204293</v>
      </c>
      <c r="V81" s="173">
        <f t="shared" si="45"/>
        <v>-213548.33000000002</v>
      </c>
      <c r="W81" s="173">
        <f t="shared" si="45"/>
        <v>-223266.36999999994</v>
      </c>
      <c r="X81" s="173">
        <f t="shared" si="45"/>
        <v>-233469.12</v>
      </c>
      <c r="Y81" s="205">
        <f t="shared" si="45"/>
        <v>-244181.88999999996</v>
      </c>
      <c r="Z81" s="125"/>
      <c r="AA81" s="206">
        <f t="shared" ref="AA81:AG81" si="46">AA70+AA74+AA79</f>
        <v>-280160</v>
      </c>
      <c r="AB81" s="173">
        <f t="shared" si="46"/>
        <v>-347989</v>
      </c>
      <c r="AC81" s="173">
        <f t="shared" si="46"/>
        <v>-439631</v>
      </c>
      <c r="AD81" s="173">
        <f t="shared" si="46"/>
        <v>-472238</v>
      </c>
      <c r="AE81" s="173">
        <f t="shared" si="46"/>
        <v>-537624.02</v>
      </c>
      <c r="AF81" s="173">
        <f t="shared" si="46"/>
        <v>-613318.33000000007</v>
      </c>
      <c r="AG81" s="205">
        <f t="shared" si="46"/>
        <v>-700917.37999999989</v>
      </c>
      <c r="AH81" s="125"/>
      <c r="AI81" s="207">
        <f>AI70+AI74+AI79</f>
        <v>-1540018</v>
      </c>
      <c r="AJ81" s="125"/>
      <c r="AK81" s="206">
        <f>AK70+AK74+AK79</f>
        <v>-1851859.73</v>
      </c>
      <c r="AL81" s="173">
        <f>AL70+AL74+AL79</f>
        <v>-2324097.73</v>
      </c>
    </row>
    <row r="82" spans="1:38" ht="14.45" customHeight="1">
      <c r="A82" s="122"/>
      <c r="B82" s="122"/>
      <c r="C82" s="150" t="s">
        <v>85</v>
      </c>
      <c r="D82" s="122"/>
      <c r="E82" s="172" cm="1">
        <f t="array" ref="E82">INDEX('Data Summary'!M$8:M$38,29-7)</f>
        <v>4285000.5</v>
      </c>
      <c r="F82" s="172">
        <f t="shared" ref="F82:Y82" si="47">E35</f>
        <v>4191288.5</v>
      </c>
      <c r="G82" s="172">
        <f t="shared" si="47"/>
        <v>4076334.5</v>
      </c>
      <c r="H82" s="172">
        <f t="shared" si="47"/>
        <v>4004840.5</v>
      </c>
      <c r="I82" s="172">
        <f t="shared" si="47"/>
        <v>3870793.5</v>
      </c>
      <c r="J82" s="172">
        <f t="shared" si="47"/>
        <v>3794994.5</v>
      </c>
      <c r="K82" s="172">
        <f t="shared" si="47"/>
        <v>3656851.5</v>
      </c>
      <c r="L82" s="172">
        <f t="shared" si="47"/>
        <v>3512188.5</v>
      </c>
      <c r="M82" s="172">
        <f t="shared" si="47"/>
        <v>3367871.5</v>
      </c>
      <c r="N82" s="172">
        <f t="shared" si="47"/>
        <v>3217220.5</v>
      </c>
      <c r="O82" s="172">
        <f t="shared" si="47"/>
        <v>3066455.5</v>
      </c>
      <c r="P82" s="172">
        <f t="shared" si="47"/>
        <v>2909186.5</v>
      </c>
      <c r="Q82" s="172">
        <f t="shared" si="47"/>
        <v>2744982.5</v>
      </c>
      <c r="R82" s="172">
        <f t="shared" si="47"/>
        <v>2573511.48</v>
      </c>
      <c r="S82" s="172">
        <f t="shared" si="47"/>
        <v>2394437.4799999995</v>
      </c>
      <c r="T82" s="172">
        <f t="shared" si="47"/>
        <v>2207358.48</v>
      </c>
      <c r="U82" s="172">
        <f t="shared" si="47"/>
        <v>2011881.48</v>
      </c>
      <c r="V82" s="172">
        <f t="shared" si="47"/>
        <v>1807588.48</v>
      </c>
      <c r="W82" s="172">
        <f t="shared" si="47"/>
        <v>1594040.15</v>
      </c>
      <c r="X82" s="172">
        <f t="shared" si="47"/>
        <v>1370773.78</v>
      </c>
      <c r="Y82" s="208">
        <f t="shared" si="47"/>
        <v>1137304.6599999999</v>
      </c>
      <c r="Z82" s="170"/>
      <c r="AA82" s="209" cm="1">
        <f t="array" ref="AA82">INDEX('Data Summary'!M$8:M$38,29-7)</f>
        <v>4285000.5</v>
      </c>
      <c r="AB82" s="172" cm="1">
        <f t="array" ref="AB82">INDEX('Data Summary'!P$8:P$38,29-7)</f>
        <v>4004840.5</v>
      </c>
      <c r="AC82" s="172" cm="1">
        <f t="array" ref="AC82">INDEX('Data Summary'!S$8:S$38,29-7)</f>
        <v>3656851.5</v>
      </c>
      <c r="AD82" s="172" cm="1">
        <f t="array" ref="AD82">INDEX('Data Summary'!V$8:V$38,29-7)</f>
        <v>3217220.5</v>
      </c>
      <c r="AE82" s="172" cm="1">
        <f t="array" ref="AE82">INDEX('Data Summary'!Y$8:Y$38,29-7)</f>
        <v>2744982.5</v>
      </c>
      <c r="AF82" s="172" cm="1">
        <f t="array" ref="AF82">INDEX('Data Summary'!AB$8:AB$38,29-7)</f>
        <v>2207358.48</v>
      </c>
      <c r="AG82" s="208" cm="1">
        <f t="array" ref="AG82">INDEX('Data Summary'!AE$8:AE$38,29-7)</f>
        <v>1594040.15</v>
      </c>
      <c r="AH82" s="170"/>
      <c r="AI82" s="210" cm="1">
        <f t="array" ref="AI82">INDEX('Data Summary'!M$8:M$38,29-7)</f>
        <v>4285000.5</v>
      </c>
      <c r="AJ82" s="170"/>
      <c r="AK82" s="209" cm="1">
        <f t="array" ref="AK82">INDEX('Data Summary'!Y$8:Y$38,29-7)</f>
        <v>2744982.5</v>
      </c>
      <c r="AL82" s="172" cm="1">
        <f t="array" ref="AL82">INDEX('Data Summary'!V$8:V$38,29-7)</f>
        <v>3217220.5</v>
      </c>
    </row>
    <row r="83" spans="1:38" ht="16.5" customHeight="1" thickBot="1">
      <c r="A83" s="122"/>
      <c r="B83" s="122"/>
      <c r="C83" s="151" t="s">
        <v>86</v>
      </c>
      <c r="D83" s="122"/>
      <c r="E83" s="211">
        <f t="shared" ref="E83:Y83" si="48">E81+E82</f>
        <v>4191288.5</v>
      </c>
      <c r="F83" s="211">
        <f t="shared" si="48"/>
        <v>4076334.5</v>
      </c>
      <c r="G83" s="211">
        <f t="shared" si="48"/>
        <v>4004840.5</v>
      </c>
      <c r="H83" s="211">
        <f t="shared" si="48"/>
        <v>3870793.5</v>
      </c>
      <c r="I83" s="211">
        <f t="shared" si="48"/>
        <v>3794994.5</v>
      </c>
      <c r="J83" s="211">
        <f t="shared" si="48"/>
        <v>3656851.5</v>
      </c>
      <c r="K83" s="211">
        <f t="shared" si="48"/>
        <v>3512188.5</v>
      </c>
      <c r="L83" s="211">
        <f t="shared" si="48"/>
        <v>3367871.5</v>
      </c>
      <c r="M83" s="211">
        <f t="shared" si="48"/>
        <v>3217220.5</v>
      </c>
      <c r="N83" s="211">
        <f t="shared" si="48"/>
        <v>3066455.5</v>
      </c>
      <c r="O83" s="211">
        <f t="shared" si="48"/>
        <v>2909186.5</v>
      </c>
      <c r="P83" s="211">
        <f t="shared" si="48"/>
        <v>2744982.5</v>
      </c>
      <c r="Q83" s="211">
        <f t="shared" si="48"/>
        <v>2573511.48</v>
      </c>
      <c r="R83" s="211">
        <f t="shared" si="48"/>
        <v>2394437.48</v>
      </c>
      <c r="S83" s="211">
        <f t="shared" si="48"/>
        <v>2207358.4799999995</v>
      </c>
      <c r="T83" s="211">
        <f t="shared" si="48"/>
        <v>2011881.48</v>
      </c>
      <c r="U83" s="211">
        <f t="shared" si="48"/>
        <v>1807588.48</v>
      </c>
      <c r="V83" s="211">
        <f t="shared" si="48"/>
        <v>1594040.15</v>
      </c>
      <c r="W83" s="211">
        <f t="shared" si="48"/>
        <v>1370773.78</v>
      </c>
      <c r="X83" s="211">
        <f t="shared" si="48"/>
        <v>1137304.6600000001</v>
      </c>
      <c r="Y83" s="212">
        <f t="shared" si="48"/>
        <v>893122.77</v>
      </c>
      <c r="Z83" s="125"/>
      <c r="AA83" s="213">
        <f t="shared" ref="AA83:AG83" si="49">AA81+AA82</f>
        <v>4004840.5</v>
      </c>
      <c r="AB83" s="211">
        <f t="shared" si="49"/>
        <v>3656851.5</v>
      </c>
      <c r="AC83" s="211">
        <f t="shared" si="49"/>
        <v>3217220.5</v>
      </c>
      <c r="AD83" s="211">
        <f t="shared" si="49"/>
        <v>2744982.5</v>
      </c>
      <c r="AE83" s="211">
        <f t="shared" si="49"/>
        <v>2207358.48</v>
      </c>
      <c r="AF83" s="211">
        <f t="shared" si="49"/>
        <v>1594040.15</v>
      </c>
      <c r="AG83" s="212">
        <f t="shared" si="49"/>
        <v>893122.77</v>
      </c>
      <c r="AH83" s="125"/>
      <c r="AI83" s="214">
        <f>AI81+AI82</f>
        <v>2744982.5</v>
      </c>
      <c r="AJ83" s="125"/>
      <c r="AK83" s="213">
        <f>AK81+AK82</f>
        <v>893122.77</v>
      </c>
      <c r="AL83" s="211">
        <f>AL81+AL82</f>
        <v>893122.77</v>
      </c>
    </row>
    <row r="84" spans="1:38" ht="14.45" customHeight="1" thickTop="1">
      <c r="A84" s="122"/>
      <c r="B84" s="122"/>
      <c r="C84" s="150" t="s">
        <v>87</v>
      </c>
      <c r="D84" s="122"/>
      <c r="E84" s="172">
        <f t="shared" ref="E84:Y84" si="50">E83-E35</f>
        <v>0</v>
      </c>
      <c r="F84" s="172">
        <f t="shared" si="50"/>
        <v>0</v>
      </c>
      <c r="G84" s="172">
        <f t="shared" si="50"/>
        <v>0</v>
      </c>
      <c r="H84" s="172">
        <f t="shared" si="50"/>
        <v>0</v>
      </c>
      <c r="I84" s="172">
        <f t="shared" si="50"/>
        <v>0</v>
      </c>
      <c r="J84" s="172">
        <f t="shared" si="50"/>
        <v>0</v>
      </c>
      <c r="K84" s="172">
        <f t="shared" si="50"/>
        <v>0</v>
      </c>
      <c r="L84" s="172">
        <f t="shared" si="50"/>
        <v>0</v>
      </c>
      <c r="M84" s="172">
        <f t="shared" si="50"/>
        <v>0</v>
      </c>
      <c r="N84" s="172">
        <f t="shared" si="50"/>
        <v>0</v>
      </c>
      <c r="O84" s="172">
        <f t="shared" si="50"/>
        <v>0</v>
      </c>
      <c r="P84" s="172">
        <f t="shared" si="50"/>
        <v>0</v>
      </c>
      <c r="Q84" s="172">
        <f t="shared" si="50"/>
        <v>0</v>
      </c>
      <c r="R84" s="172">
        <f t="shared" si="50"/>
        <v>0</v>
      </c>
      <c r="S84" s="172">
        <f t="shared" si="50"/>
        <v>0</v>
      </c>
      <c r="T84" s="172">
        <f t="shared" si="50"/>
        <v>0</v>
      </c>
      <c r="U84" s="172">
        <f t="shared" si="50"/>
        <v>0</v>
      </c>
      <c r="V84" s="172">
        <f t="shared" si="50"/>
        <v>0</v>
      </c>
      <c r="W84" s="172">
        <f t="shared" si="50"/>
        <v>0</v>
      </c>
      <c r="X84" s="172">
        <f t="shared" si="50"/>
        <v>0</v>
      </c>
      <c r="Y84" s="208">
        <f t="shared" si="50"/>
        <v>0</v>
      </c>
      <c r="Z84" s="170"/>
      <c r="AA84" s="209">
        <f t="shared" ref="AA84:AG84" si="51">AA83-AA35</f>
        <v>0</v>
      </c>
      <c r="AB84" s="172">
        <f t="shared" si="51"/>
        <v>0</v>
      </c>
      <c r="AC84" s="172">
        <f t="shared" si="51"/>
        <v>0</v>
      </c>
      <c r="AD84" s="172">
        <f t="shared" si="51"/>
        <v>0</v>
      </c>
      <c r="AE84" s="172">
        <f t="shared" si="51"/>
        <v>0</v>
      </c>
      <c r="AF84" s="172">
        <f t="shared" si="51"/>
        <v>0</v>
      </c>
      <c r="AG84" s="208">
        <f t="shared" si="51"/>
        <v>0</v>
      </c>
      <c r="AH84" s="170"/>
      <c r="AI84" s="210">
        <f>AI83-AI35</f>
        <v>0</v>
      </c>
      <c r="AJ84" s="170"/>
      <c r="AK84" s="209">
        <f>AK83-AK35</f>
        <v>0</v>
      </c>
      <c r="AL84" s="172">
        <f>AL83-AL35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052-AC5D-4938-AFEC-750B702E460F}">
  <sheetPr>
    <outlinePr summaryBelow="0" summaryRight="0"/>
  </sheetPr>
  <dimension ref="A1:BS116"/>
  <sheetViews>
    <sheetView showGridLines="0" zoomScaleNormal="100" workbookViewId="0">
      <pane xSplit="14" ySplit="8" topLeftCell="O9" activePane="bottomRight" state="frozen"/>
      <selection pane="topRight" activeCell="AG63" sqref="AG63"/>
      <selection pane="bottomLeft" activeCell="AG63" sqref="AG63"/>
      <selection pane="bottomRight" activeCell="D1" sqref="D1"/>
    </sheetView>
  </sheetViews>
  <sheetFormatPr defaultColWidth="10.28515625" defaultRowHeight="18.75" customHeight="1" outlineLevelRow="3" outlineLevelCol="2"/>
  <cols>
    <col min="1" max="1" width="3.28515625" style="2" customWidth="1"/>
    <col min="2" max="2" width="3.42578125" style="7" customWidth="1"/>
    <col min="3" max="3" width="2.42578125" style="6" customWidth="1"/>
    <col min="4" max="4" width="31.28515625" style="5" customWidth="1"/>
    <col min="5" max="5" width="25.85546875" style="2" customWidth="1" outlineLevel="1"/>
    <col min="6" max="6" width="10.28515625" style="2" customWidth="1" outlineLevel="1" collapsed="1"/>
    <col min="7" max="7" width="16.42578125" style="2" hidden="1" customWidth="1" outlineLevel="2"/>
    <col min="8" max="8" width="21.42578125" style="2" hidden="1" customWidth="1" outlineLevel="2"/>
    <col min="9" max="9" width="30" style="2" hidden="1" customWidth="1" outlineLevel="2"/>
    <col min="10" max="10" width="33" style="2" hidden="1" customWidth="1" outlineLevel="2"/>
    <col min="11" max="11" width="16.140625" style="2" hidden="1" customWidth="1" outlineLevel="2"/>
    <col min="12" max="12" width="20.42578125" style="2" hidden="1" customWidth="1" outlineLevel="2"/>
    <col min="13" max="13" width="4.28515625" style="2" hidden="1" customWidth="1" outlineLevel="2"/>
    <col min="14" max="14" width="2.140625" style="4" customWidth="1"/>
    <col min="15" max="15" width="3.42578125" style="3" bestFit="1" customWidth="1" collapsed="1"/>
    <col min="16" max="18" width="12.28515625" style="3" hidden="1" customWidth="1" outlineLevel="2"/>
    <col min="19" max="19" width="2.42578125" style="3" customWidth="1"/>
    <col min="20" max="20" width="3.42578125" style="3" bestFit="1" customWidth="1" collapsed="1"/>
    <col min="21" max="29" width="11.42578125" style="2" hidden="1" customWidth="1" outlineLevel="2"/>
    <col min="30" max="32" width="12.28515625" style="2" hidden="1" customWidth="1" outlineLevel="2"/>
    <col min="33" max="33" width="3.140625" style="2" customWidth="1"/>
    <col min="34" max="34" width="3.42578125" style="3" bestFit="1" customWidth="1"/>
    <col min="35" max="58" width="11.42578125" style="2" bestFit="1" customWidth="1" outlineLevel="1"/>
    <col min="59" max="71" width="12.28515625" style="2" bestFit="1" customWidth="1" outlineLevel="1"/>
    <col min="72" max="72" width="10.28515625" style="2" customWidth="1"/>
    <col min="73" max="16384" width="10.28515625" style="2"/>
  </cols>
  <sheetData>
    <row r="1" spans="1:71" ht="21" customHeight="1">
      <c r="A1" s="272" t="s">
        <v>536</v>
      </c>
    </row>
    <row r="2" spans="1:71" ht="18" customHeight="1">
      <c r="A2" t="str" cm="1">
        <f t="array" aca="1" ref="A2" ca="1">IFERROR(MID(CELL("filename",A1),FIND("]",CELL("filename",A1))+1,LEN(CELL("filename",A1))),"")</f>
        <v>Drivers</v>
      </c>
      <c r="O2" s="273" t="s">
        <v>112</v>
      </c>
      <c r="P2" s="54"/>
      <c r="Q2" s="54"/>
      <c r="R2" s="54"/>
      <c r="S2" s="54"/>
      <c r="T2" s="273" t="s">
        <v>111</v>
      </c>
      <c r="U2" s="56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274" t="s">
        <v>110</v>
      </c>
    </row>
    <row r="3" spans="1:71" collapsed="1">
      <c r="A3" s="2" t="str">
        <f>'Error Check'!D12</f>
        <v>Model Functioning Properly</v>
      </c>
      <c r="O3" s="273"/>
      <c r="P3" s="58" t="str">
        <f>IF(P$5&lt;=LatestMonthOfActuals,"Actual","Projected")</f>
        <v>Actual</v>
      </c>
      <c r="Q3" s="58" t="str">
        <f>IF(Q$5&lt;=LatestMonthOfActuals,"Actual","Projected")</f>
        <v>Projected</v>
      </c>
      <c r="R3" s="58" t="str">
        <f>IF(R$5&lt;=LatestMonthOfActuals,"Actual","Projected")</f>
        <v>Projected</v>
      </c>
      <c r="S3" s="54"/>
      <c r="T3" s="273"/>
      <c r="U3" s="58" t="str">
        <f t="shared" ref="U3:AF3" si="0">IF(U$5&lt;=LatestMonthOfActuals,"Actual","Projected")</f>
        <v>Actual</v>
      </c>
      <c r="V3" s="58" t="str">
        <f t="shared" si="0"/>
        <v>Actual</v>
      </c>
      <c r="W3" s="58" t="str">
        <f t="shared" si="0"/>
        <v>Actual</v>
      </c>
      <c r="X3" s="58" t="str">
        <f t="shared" si="0"/>
        <v>Actual</v>
      </c>
      <c r="Y3" s="58" t="str">
        <f t="shared" si="0"/>
        <v>Actual</v>
      </c>
      <c r="Z3" s="58" t="str">
        <f t="shared" si="0"/>
        <v>Actual</v>
      </c>
      <c r="AA3" s="58" t="str">
        <f t="shared" si="0"/>
        <v>Actual</v>
      </c>
      <c r="AB3" s="58" t="str">
        <f t="shared" si="0"/>
        <v>Projected</v>
      </c>
      <c r="AC3" s="58" t="str">
        <f t="shared" si="0"/>
        <v>Projected</v>
      </c>
      <c r="AD3" s="58" t="str">
        <f t="shared" si="0"/>
        <v>Projected</v>
      </c>
      <c r="AE3" s="58" t="str">
        <f t="shared" si="0"/>
        <v>Projected</v>
      </c>
      <c r="AF3" s="58" t="str">
        <f t="shared" si="0"/>
        <v>Projected</v>
      </c>
      <c r="AG3" s="59"/>
      <c r="AH3" s="274"/>
      <c r="AI3" s="58" t="str">
        <f t="shared" ref="AI3:BD3" si="1">IF(AI$5&lt;=LatestMonthOfActuals,"Actual","Projected")</f>
        <v>Actual</v>
      </c>
      <c r="AJ3" s="58" t="str">
        <f t="shared" si="1"/>
        <v>Actual</v>
      </c>
      <c r="AK3" s="58" t="str">
        <f t="shared" si="1"/>
        <v>Actual</v>
      </c>
      <c r="AL3" s="58" t="str">
        <f t="shared" si="1"/>
        <v>Actual</v>
      </c>
      <c r="AM3" s="58" t="str">
        <f t="shared" si="1"/>
        <v>Actual</v>
      </c>
      <c r="AN3" s="58" t="str">
        <f t="shared" si="1"/>
        <v>Actual</v>
      </c>
      <c r="AO3" s="58" t="str">
        <f t="shared" si="1"/>
        <v>Actual</v>
      </c>
      <c r="AP3" s="58" t="str">
        <f t="shared" si="1"/>
        <v>Actual</v>
      </c>
      <c r="AQ3" s="58" t="str">
        <f t="shared" si="1"/>
        <v>Actual</v>
      </c>
      <c r="AR3" s="58" t="str">
        <f t="shared" si="1"/>
        <v>Actual</v>
      </c>
      <c r="AS3" s="58" t="str">
        <f t="shared" si="1"/>
        <v>Actual</v>
      </c>
      <c r="AT3" s="58" t="str">
        <f t="shared" si="1"/>
        <v>Actual</v>
      </c>
      <c r="AU3" s="58" t="str">
        <f t="shared" si="1"/>
        <v>Actual</v>
      </c>
      <c r="AV3" s="58" t="str">
        <f t="shared" si="1"/>
        <v>Actual</v>
      </c>
      <c r="AW3" s="58" t="str">
        <f t="shared" si="1"/>
        <v>Actual</v>
      </c>
      <c r="AX3" s="58" t="str">
        <f t="shared" si="1"/>
        <v>Actual</v>
      </c>
      <c r="AY3" s="58" t="str">
        <f t="shared" si="1"/>
        <v>Actual</v>
      </c>
      <c r="AZ3" s="58" t="str">
        <f t="shared" si="1"/>
        <v>Actual</v>
      </c>
      <c r="BA3" s="58" t="str">
        <f t="shared" si="1"/>
        <v>Actual</v>
      </c>
      <c r="BB3" s="58" t="str">
        <f t="shared" si="1"/>
        <v>Actual</v>
      </c>
      <c r="BC3" s="58" t="str">
        <f t="shared" si="1"/>
        <v>Actual</v>
      </c>
      <c r="BD3" s="58" t="str">
        <f t="shared" si="1"/>
        <v>Actual</v>
      </c>
      <c r="BE3" s="58" t="str">
        <f t="shared" ref="BE3" si="2">IF(BE$5&lt;=LatestMonthOfActuals,"Actual","Projected")</f>
        <v>Projected</v>
      </c>
      <c r="BF3" s="58" t="str">
        <f t="shared" ref="BF3:BS3" si="3">IF(BF$5&lt;=LatestMonthOfActuals,"Actual","Projected")</f>
        <v>Projected</v>
      </c>
      <c r="BG3" s="58" t="str">
        <f t="shared" si="3"/>
        <v>Projected</v>
      </c>
      <c r="BH3" s="58" t="str">
        <f t="shared" si="3"/>
        <v>Projected</v>
      </c>
      <c r="BI3" s="58" t="str">
        <f t="shared" si="3"/>
        <v>Projected</v>
      </c>
      <c r="BJ3" s="58" t="str">
        <f t="shared" si="3"/>
        <v>Projected</v>
      </c>
      <c r="BK3" s="58" t="str">
        <f t="shared" si="3"/>
        <v>Projected</v>
      </c>
      <c r="BL3" s="58" t="str">
        <f t="shared" si="3"/>
        <v>Projected</v>
      </c>
      <c r="BM3" s="58" t="str">
        <f t="shared" si="3"/>
        <v>Projected</v>
      </c>
      <c r="BN3" s="58" t="str">
        <f t="shared" si="3"/>
        <v>Projected</v>
      </c>
      <c r="BO3" s="58" t="str">
        <f t="shared" si="3"/>
        <v>Projected</v>
      </c>
      <c r="BP3" s="58" t="str">
        <f t="shared" si="3"/>
        <v>Projected</v>
      </c>
      <c r="BQ3" s="58" t="str">
        <f t="shared" si="3"/>
        <v>Projected</v>
      </c>
      <c r="BR3" s="58" t="str">
        <f t="shared" si="3"/>
        <v>Projected</v>
      </c>
      <c r="BS3" s="58" t="str">
        <f t="shared" si="3"/>
        <v>Projected</v>
      </c>
    </row>
    <row r="4" spans="1:71" ht="18" hidden="1" customHeight="1" outlineLevel="3">
      <c r="O4" s="273"/>
      <c r="P4" s="56">
        <f>Start_Date</f>
        <v>45292</v>
      </c>
      <c r="Q4" s="56">
        <f>P5+1</f>
        <v>45658</v>
      </c>
      <c r="R4" s="56">
        <f>Q5+1</f>
        <v>46023</v>
      </c>
      <c r="S4" s="54"/>
      <c r="T4" s="273"/>
      <c r="U4" s="56">
        <f>Start_Date</f>
        <v>45292</v>
      </c>
      <c r="V4" s="55">
        <f t="shared" ref="V4:AF4" si="4">U5+1</f>
        <v>45383</v>
      </c>
      <c r="W4" s="55">
        <f t="shared" si="4"/>
        <v>45474</v>
      </c>
      <c r="X4" s="55">
        <f t="shared" si="4"/>
        <v>45566</v>
      </c>
      <c r="Y4" s="55">
        <f t="shared" si="4"/>
        <v>45658</v>
      </c>
      <c r="Z4" s="55">
        <f t="shared" si="4"/>
        <v>45748</v>
      </c>
      <c r="AA4" s="55">
        <f t="shared" si="4"/>
        <v>45839</v>
      </c>
      <c r="AB4" s="55">
        <f t="shared" si="4"/>
        <v>45931</v>
      </c>
      <c r="AC4" s="55">
        <f t="shared" si="4"/>
        <v>46023</v>
      </c>
      <c r="AD4" s="55">
        <f t="shared" si="4"/>
        <v>46113</v>
      </c>
      <c r="AE4" s="55">
        <f t="shared" si="4"/>
        <v>46204</v>
      </c>
      <c r="AF4" s="55">
        <f t="shared" si="4"/>
        <v>46296</v>
      </c>
      <c r="AG4" s="57"/>
      <c r="AH4" s="274"/>
      <c r="AI4" s="56">
        <f>EOMONTH(AI5,-1)+1</f>
        <v>45261</v>
      </c>
      <c r="AJ4" s="56">
        <f>Start_Date</f>
        <v>45292</v>
      </c>
      <c r="AK4" s="56">
        <f t="shared" ref="AK4:BD4" si="5">EOMONTH(AK5,-1)+1</f>
        <v>45323</v>
      </c>
      <c r="AL4" s="56">
        <f t="shared" si="5"/>
        <v>45352</v>
      </c>
      <c r="AM4" s="56">
        <f t="shared" si="5"/>
        <v>45383</v>
      </c>
      <c r="AN4" s="56">
        <f t="shared" si="5"/>
        <v>45413</v>
      </c>
      <c r="AO4" s="56">
        <f t="shared" si="5"/>
        <v>45444</v>
      </c>
      <c r="AP4" s="56">
        <f t="shared" si="5"/>
        <v>45474</v>
      </c>
      <c r="AQ4" s="56">
        <f t="shared" si="5"/>
        <v>45505</v>
      </c>
      <c r="AR4" s="56">
        <f t="shared" si="5"/>
        <v>45536</v>
      </c>
      <c r="AS4" s="56">
        <f t="shared" si="5"/>
        <v>45566</v>
      </c>
      <c r="AT4" s="56">
        <f t="shared" si="5"/>
        <v>45597</v>
      </c>
      <c r="AU4" s="56">
        <f t="shared" si="5"/>
        <v>45627</v>
      </c>
      <c r="AV4" s="56">
        <f t="shared" si="5"/>
        <v>45658</v>
      </c>
      <c r="AW4" s="56">
        <f t="shared" si="5"/>
        <v>45689</v>
      </c>
      <c r="AX4" s="56">
        <f t="shared" si="5"/>
        <v>45717</v>
      </c>
      <c r="AY4" s="56">
        <f t="shared" si="5"/>
        <v>45748</v>
      </c>
      <c r="AZ4" s="56">
        <f t="shared" si="5"/>
        <v>45778</v>
      </c>
      <c r="BA4" s="56">
        <f t="shared" si="5"/>
        <v>45809</v>
      </c>
      <c r="BB4" s="56">
        <f t="shared" si="5"/>
        <v>45839</v>
      </c>
      <c r="BC4" s="56">
        <f t="shared" si="5"/>
        <v>45870</v>
      </c>
      <c r="BD4" s="56">
        <f t="shared" si="5"/>
        <v>45901</v>
      </c>
      <c r="BE4" s="56">
        <f t="shared" ref="BE4" si="6">EOMONTH(BE5,-1)+1</f>
        <v>45931</v>
      </c>
      <c r="BF4" s="56">
        <f t="shared" ref="BF4:BS4" si="7">EOMONTH(BF5,-1)+1</f>
        <v>45962</v>
      </c>
      <c r="BG4" s="56">
        <f t="shared" si="7"/>
        <v>45992</v>
      </c>
      <c r="BH4" s="56">
        <f t="shared" si="7"/>
        <v>46023</v>
      </c>
      <c r="BI4" s="56">
        <f t="shared" si="7"/>
        <v>46054</v>
      </c>
      <c r="BJ4" s="56">
        <f t="shared" si="7"/>
        <v>46082</v>
      </c>
      <c r="BK4" s="56">
        <f t="shared" si="7"/>
        <v>46113</v>
      </c>
      <c r="BL4" s="56">
        <f t="shared" si="7"/>
        <v>46143</v>
      </c>
      <c r="BM4" s="56">
        <f t="shared" si="7"/>
        <v>46174</v>
      </c>
      <c r="BN4" s="56">
        <f t="shared" si="7"/>
        <v>46204</v>
      </c>
      <c r="BO4" s="56">
        <f t="shared" si="7"/>
        <v>46235</v>
      </c>
      <c r="BP4" s="56">
        <f t="shared" si="7"/>
        <v>46266</v>
      </c>
      <c r="BQ4" s="56">
        <f t="shared" si="7"/>
        <v>46296</v>
      </c>
      <c r="BR4" s="56">
        <f t="shared" si="7"/>
        <v>46327</v>
      </c>
      <c r="BS4" s="56">
        <f t="shared" si="7"/>
        <v>46357</v>
      </c>
    </row>
    <row r="5" spans="1:71" ht="18" hidden="1" customHeight="1" outlineLevel="3">
      <c r="O5" s="273"/>
      <c r="P5" s="56">
        <f>EOMONTH(DATE(YEAR(Start_Date),1,1),Fiscal_Offset+IF(U6&lt;YEAR(Start_Date),-1,11))</f>
        <v>45657</v>
      </c>
      <c r="Q5" s="55">
        <f>MIN(EOMONTH(P5,12),End_Date)</f>
        <v>46022</v>
      </c>
      <c r="R5" s="55">
        <f>MIN(EOMONTH(Q5,12),End_Date)</f>
        <v>46387</v>
      </c>
      <c r="S5" s="54"/>
      <c r="T5" s="273"/>
      <c r="U5" s="55">
        <f>EOMONTH(DATE(YEAR(Start_Date),1,1),MOD(ROUNDUP(MONTH(EOMONTH(Start_Date,-Fiscal_Offset))/3,0)*3+Fiscal_Offset-1,12))</f>
        <v>45382</v>
      </c>
      <c r="V5" s="55">
        <f t="shared" ref="V5:AF5" si="8">MIN(EOMONTH(V$4,2),End_Date)</f>
        <v>45473</v>
      </c>
      <c r="W5" s="55">
        <f t="shared" si="8"/>
        <v>45565</v>
      </c>
      <c r="X5" s="55">
        <f t="shared" si="8"/>
        <v>45657</v>
      </c>
      <c r="Y5" s="55">
        <f t="shared" si="8"/>
        <v>45747</v>
      </c>
      <c r="Z5" s="55">
        <f t="shared" si="8"/>
        <v>45838</v>
      </c>
      <c r="AA5" s="55">
        <f t="shared" si="8"/>
        <v>45930</v>
      </c>
      <c r="AB5" s="55">
        <f t="shared" si="8"/>
        <v>46022</v>
      </c>
      <c r="AC5" s="55">
        <f t="shared" si="8"/>
        <v>46112</v>
      </c>
      <c r="AD5" s="55">
        <f t="shared" si="8"/>
        <v>46203</v>
      </c>
      <c r="AE5" s="55">
        <f t="shared" si="8"/>
        <v>46295</v>
      </c>
      <c r="AF5" s="55">
        <f t="shared" si="8"/>
        <v>46387</v>
      </c>
      <c r="AG5" s="57"/>
      <c r="AH5" s="274"/>
      <c r="AI5" s="56">
        <f>EOMONTH(AJ5,-1)</f>
        <v>45291</v>
      </c>
      <c r="AJ5" s="56">
        <f>EOM_Start_Date</f>
        <v>45322</v>
      </c>
      <c r="AK5" s="55">
        <f t="shared" ref="AK5:BD5" si="9">EOMONTH(AJ5,1)</f>
        <v>45351</v>
      </c>
      <c r="AL5" s="55">
        <f t="shared" si="9"/>
        <v>45382</v>
      </c>
      <c r="AM5" s="55">
        <f t="shared" si="9"/>
        <v>45412</v>
      </c>
      <c r="AN5" s="55">
        <f t="shared" si="9"/>
        <v>45443</v>
      </c>
      <c r="AO5" s="55">
        <f t="shared" si="9"/>
        <v>45473</v>
      </c>
      <c r="AP5" s="55">
        <f t="shared" si="9"/>
        <v>45504</v>
      </c>
      <c r="AQ5" s="55">
        <f t="shared" si="9"/>
        <v>45535</v>
      </c>
      <c r="AR5" s="55">
        <f t="shared" si="9"/>
        <v>45565</v>
      </c>
      <c r="AS5" s="55">
        <f t="shared" si="9"/>
        <v>45596</v>
      </c>
      <c r="AT5" s="55">
        <f t="shared" si="9"/>
        <v>45626</v>
      </c>
      <c r="AU5" s="55">
        <f t="shared" si="9"/>
        <v>45657</v>
      </c>
      <c r="AV5" s="55">
        <f t="shared" si="9"/>
        <v>45688</v>
      </c>
      <c r="AW5" s="55">
        <f t="shared" si="9"/>
        <v>45716</v>
      </c>
      <c r="AX5" s="55">
        <f t="shared" si="9"/>
        <v>45747</v>
      </c>
      <c r="AY5" s="55">
        <f t="shared" si="9"/>
        <v>45777</v>
      </c>
      <c r="AZ5" s="55">
        <f t="shared" si="9"/>
        <v>45808</v>
      </c>
      <c r="BA5" s="55">
        <f t="shared" si="9"/>
        <v>45838</v>
      </c>
      <c r="BB5" s="55">
        <f t="shared" si="9"/>
        <v>45869</v>
      </c>
      <c r="BC5" s="55">
        <f t="shared" si="9"/>
        <v>45900</v>
      </c>
      <c r="BD5" s="55">
        <f t="shared" si="9"/>
        <v>45930</v>
      </c>
      <c r="BE5" s="55">
        <f t="shared" ref="BE5" si="10">EOMONTH(BD5,1)</f>
        <v>45961</v>
      </c>
      <c r="BF5" s="55">
        <f t="shared" ref="BF5:BS5" si="11">EOMONTH(BE5,1)</f>
        <v>45991</v>
      </c>
      <c r="BG5" s="55">
        <f t="shared" si="11"/>
        <v>46022</v>
      </c>
      <c r="BH5" s="55">
        <f t="shared" si="11"/>
        <v>46053</v>
      </c>
      <c r="BI5" s="55">
        <f t="shared" si="11"/>
        <v>46081</v>
      </c>
      <c r="BJ5" s="55">
        <f t="shared" si="11"/>
        <v>46112</v>
      </c>
      <c r="BK5" s="55">
        <f t="shared" si="11"/>
        <v>46142</v>
      </c>
      <c r="BL5" s="55">
        <f t="shared" si="11"/>
        <v>46173</v>
      </c>
      <c r="BM5" s="55">
        <f t="shared" si="11"/>
        <v>46203</v>
      </c>
      <c r="BN5" s="55">
        <f t="shared" si="11"/>
        <v>46234</v>
      </c>
      <c r="BO5" s="55">
        <f t="shared" si="11"/>
        <v>46265</v>
      </c>
      <c r="BP5" s="55">
        <f t="shared" si="11"/>
        <v>46295</v>
      </c>
      <c r="BQ5" s="55">
        <f t="shared" si="11"/>
        <v>46326</v>
      </c>
      <c r="BR5" s="55">
        <f t="shared" si="11"/>
        <v>46356</v>
      </c>
      <c r="BS5" s="55">
        <f t="shared" si="11"/>
        <v>46387</v>
      </c>
    </row>
    <row r="6" spans="1:71" ht="18" hidden="1" customHeight="1" outlineLevel="3">
      <c r="O6" s="273"/>
      <c r="P6" s="52">
        <f>YEAR(EOMONTH(P5,-Fiscal_Offset))</f>
        <v>2024</v>
      </c>
      <c r="Q6" s="52">
        <f>YEAR(EOMONTH(Q5,-Fiscal_Offset))</f>
        <v>2025</v>
      </c>
      <c r="R6" s="52">
        <f>YEAR(EOMONTH(R5,-Fiscal_Offset))</f>
        <v>2026</v>
      </c>
      <c r="S6" s="54"/>
      <c r="T6" s="273"/>
      <c r="U6" s="52">
        <f t="shared" ref="U6:AF6" si="12">YEAR(EOMONTH(U5,-Fiscal_Offset))</f>
        <v>2024</v>
      </c>
      <c r="V6" s="52">
        <f t="shared" si="12"/>
        <v>2024</v>
      </c>
      <c r="W6" s="52">
        <f t="shared" si="12"/>
        <v>2024</v>
      </c>
      <c r="X6" s="52">
        <f t="shared" si="12"/>
        <v>2024</v>
      </c>
      <c r="Y6" s="52">
        <f t="shared" si="12"/>
        <v>2025</v>
      </c>
      <c r="Z6" s="52">
        <f t="shared" si="12"/>
        <v>2025</v>
      </c>
      <c r="AA6" s="52">
        <f t="shared" si="12"/>
        <v>2025</v>
      </c>
      <c r="AB6" s="52">
        <f t="shared" si="12"/>
        <v>2025</v>
      </c>
      <c r="AC6" s="52">
        <f t="shared" si="12"/>
        <v>2026</v>
      </c>
      <c r="AD6" s="52">
        <f t="shared" si="12"/>
        <v>2026</v>
      </c>
      <c r="AE6" s="52">
        <f t="shared" si="12"/>
        <v>2026</v>
      </c>
      <c r="AF6" s="52">
        <f t="shared" si="12"/>
        <v>2026</v>
      </c>
      <c r="AG6" s="53"/>
      <c r="AH6" s="274"/>
      <c r="AI6" s="52">
        <f>YEAR(EOMONTH(AI4,-Fiscal_Offset))</f>
        <v>2023</v>
      </c>
      <c r="AJ6" s="52">
        <f t="shared" ref="AJ6:BD6" si="13">YEAR(EOMONTH(AJ5,-Fiscal_Offset))</f>
        <v>2024</v>
      </c>
      <c r="AK6" s="52">
        <f t="shared" si="13"/>
        <v>2024</v>
      </c>
      <c r="AL6" s="52">
        <f t="shared" si="13"/>
        <v>2024</v>
      </c>
      <c r="AM6" s="52">
        <f t="shared" si="13"/>
        <v>2024</v>
      </c>
      <c r="AN6" s="52">
        <f t="shared" si="13"/>
        <v>2024</v>
      </c>
      <c r="AO6" s="52">
        <f t="shared" si="13"/>
        <v>2024</v>
      </c>
      <c r="AP6" s="52">
        <f t="shared" si="13"/>
        <v>2024</v>
      </c>
      <c r="AQ6" s="52">
        <f t="shared" si="13"/>
        <v>2024</v>
      </c>
      <c r="AR6" s="52">
        <f t="shared" si="13"/>
        <v>2024</v>
      </c>
      <c r="AS6" s="52">
        <f t="shared" si="13"/>
        <v>2024</v>
      </c>
      <c r="AT6" s="52">
        <f t="shared" si="13"/>
        <v>2024</v>
      </c>
      <c r="AU6" s="52">
        <f t="shared" si="13"/>
        <v>2024</v>
      </c>
      <c r="AV6" s="52">
        <f t="shared" si="13"/>
        <v>2025</v>
      </c>
      <c r="AW6" s="52">
        <f t="shared" si="13"/>
        <v>2025</v>
      </c>
      <c r="AX6" s="52">
        <f t="shared" si="13"/>
        <v>2025</v>
      </c>
      <c r="AY6" s="52">
        <f t="shared" si="13"/>
        <v>2025</v>
      </c>
      <c r="AZ6" s="52">
        <f t="shared" si="13"/>
        <v>2025</v>
      </c>
      <c r="BA6" s="52">
        <f t="shared" si="13"/>
        <v>2025</v>
      </c>
      <c r="BB6" s="52">
        <f t="shared" si="13"/>
        <v>2025</v>
      </c>
      <c r="BC6" s="52">
        <f t="shared" si="13"/>
        <v>2025</v>
      </c>
      <c r="BD6" s="52">
        <f t="shared" si="13"/>
        <v>2025</v>
      </c>
      <c r="BE6" s="52">
        <f t="shared" ref="BE6" si="14">YEAR(EOMONTH(BE5,-Fiscal_Offset))</f>
        <v>2025</v>
      </c>
      <c r="BF6" s="52">
        <f t="shared" ref="BF6:BS6" si="15">YEAR(EOMONTH(BF5,-Fiscal_Offset))</f>
        <v>2025</v>
      </c>
      <c r="BG6" s="52">
        <f t="shared" si="15"/>
        <v>2025</v>
      </c>
      <c r="BH6" s="52">
        <f t="shared" si="15"/>
        <v>2026</v>
      </c>
      <c r="BI6" s="52">
        <f t="shared" si="15"/>
        <v>2026</v>
      </c>
      <c r="BJ6" s="52">
        <f t="shared" si="15"/>
        <v>2026</v>
      </c>
      <c r="BK6" s="52">
        <f t="shared" si="15"/>
        <v>2026</v>
      </c>
      <c r="BL6" s="52">
        <f t="shared" si="15"/>
        <v>2026</v>
      </c>
      <c r="BM6" s="52">
        <f t="shared" si="15"/>
        <v>2026</v>
      </c>
      <c r="BN6" s="52">
        <f t="shared" si="15"/>
        <v>2026</v>
      </c>
      <c r="BO6" s="52">
        <f t="shared" si="15"/>
        <v>2026</v>
      </c>
      <c r="BP6" s="52">
        <f t="shared" si="15"/>
        <v>2026</v>
      </c>
      <c r="BQ6" s="52">
        <f t="shared" si="15"/>
        <v>2026</v>
      </c>
      <c r="BR6" s="52">
        <f t="shared" si="15"/>
        <v>2026</v>
      </c>
      <c r="BS6" s="52">
        <f t="shared" si="15"/>
        <v>2026</v>
      </c>
    </row>
    <row r="7" spans="1:71" s="29" customFormat="1" ht="18" hidden="1" customHeight="1" outlineLevel="3">
      <c r="B7" s="51"/>
      <c r="C7" s="50"/>
      <c r="D7" s="49"/>
      <c r="N7" s="4"/>
      <c r="O7" s="273"/>
      <c r="P7" s="52" t="str">
        <f>"Q"&amp; ROUNDUP(MONTH(EOMONTH(P5,-Fiscal_Offset))/3,0)</f>
        <v>Q4</v>
      </c>
      <c r="Q7" s="52" t="str">
        <f>"Q"&amp; ROUNDUP(MONTH(EOMONTH(Q5,-Fiscal_Offset))/3,0)</f>
        <v>Q4</v>
      </c>
      <c r="R7" s="52" t="str">
        <f>"Q"&amp; ROUNDUP(MONTH(EOMONTH(R5,-Fiscal_Offset))/3,0)</f>
        <v>Q4</v>
      </c>
      <c r="S7" s="54"/>
      <c r="T7" s="273"/>
      <c r="U7" s="52" t="str">
        <f t="shared" ref="U7:AF7" si="16">"Q"&amp; ROUNDUP(MONTH(EOMONTH(U5,-Fiscal_Offset))/3,0)</f>
        <v>Q1</v>
      </c>
      <c r="V7" s="52" t="str">
        <f t="shared" si="16"/>
        <v>Q2</v>
      </c>
      <c r="W7" s="52" t="str">
        <f t="shared" si="16"/>
        <v>Q3</v>
      </c>
      <c r="X7" s="52" t="str">
        <f t="shared" si="16"/>
        <v>Q4</v>
      </c>
      <c r="Y7" s="52" t="str">
        <f t="shared" si="16"/>
        <v>Q1</v>
      </c>
      <c r="Z7" s="52" t="str">
        <f t="shared" si="16"/>
        <v>Q2</v>
      </c>
      <c r="AA7" s="52" t="str">
        <f t="shared" si="16"/>
        <v>Q3</v>
      </c>
      <c r="AB7" s="52" t="str">
        <f t="shared" si="16"/>
        <v>Q4</v>
      </c>
      <c r="AC7" s="52" t="str">
        <f t="shared" si="16"/>
        <v>Q1</v>
      </c>
      <c r="AD7" s="52" t="str">
        <f t="shared" si="16"/>
        <v>Q2</v>
      </c>
      <c r="AE7" s="52" t="str">
        <f t="shared" si="16"/>
        <v>Q3</v>
      </c>
      <c r="AF7" s="52" t="str">
        <f t="shared" si="16"/>
        <v>Q4</v>
      </c>
      <c r="AG7" s="53"/>
      <c r="AH7" s="274"/>
      <c r="AI7" s="52" t="str">
        <f t="shared" ref="AI7:BD7" si="17">"Q"&amp; ROUNDUP(MONTH(EOMONTH(AI5,-Fiscal_Offset))/3,0)</f>
        <v>Q4</v>
      </c>
      <c r="AJ7" s="52" t="str">
        <f t="shared" si="17"/>
        <v>Q1</v>
      </c>
      <c r="AK7" s="52" t="str">
        <f t="shared" si="17"/>
        <v>Q1</v>
      </c>
      <c r="AL7" s="52" t="str">
        <f t="shared" si="17"/>
        <v>Q1</v>
      </c>
      <c r="AM7" s="52" t="str">
        <f t="shared" si="17"/>
        <v>Q2</v>
      </c>
      <c r="AN7" s="52" t="str">
        <f t="shared" si="17"/>
        <v>Q2</v>
      </c>
      <c r="AO7" s="52" t="str">
        <f t="shared" si="17"/>
        <v>Q2</v>
      </c>
      <c r="AP7" s="52" t="str">
        <f t="shared" si="17"/>
        <v>Q3</v>
      </c>
      <c r="AQ7" s="52" t="str">
        <f t="shared" si="17"/>
        <v>Q3</v>
      </c>
      <c r="AR7" s="52" t="str">
        <f t="shared" si="17"/>
        <v>Q3</v>
      </c>
      <c r="AS7" s="52" t="str">
        <f t="shared" si="17"/>
        <v>Q4</v>
      </c>
      <c r="AT7" s="52" t="str">
        <f t="shared" si="17"/>
        <v>Q4</v>
      </c>
      <c r="AU7" s="52" t="str">
        <f t="shared" si="17"/>
        <v>Q4</v>
      </c>
      <c r="AV7" s="52" t="str">
        <f t="shared" si="17"/>
        <v>Q1</v>
      </c>
      <c r="AW7" s="52" t="str">
        <f t="shared" si="17"/>
        <v>Q1</v>
      </c>
      <c r="AX7" s="52" t="str">
        <f t="shared" si="17"/>
        <v>Q1</v>
      </c>
      <c r="AY7" s="52" t="str">
        <f t="shared" si="17"/>
        <v>Q2</v>
      </c>
      <c r="AZ7" s="52" t="str">
        <f t="shared" si="17"/>
        <v>Q2</v>
      </c>
      <c r="BA7" s="52" t="str">
        <f t="shared" si="17"/>
        <v>Q2</v>
      </c>
      <c r="BB7" s="52" t="str">
        <f t="shared" si="17"/>
        <v>Q3</v>
      </c>
      <c r="BC7" s="52" t="str">
        <f t="shared" si="17"/>
        <v>Q3</v>
      </c>
      <c r="BD7" s="52" t="str">
        <f t="shared" si="17"/>
        <v>Q3</v>
      </c>
      <c r="BE7" s="52" t="str">
        <f t="shared" ref="BE7" si="18">"Q"&amp; ROUNDUP(MONTH(EOMONTH(BE5,-Fiscal_Offset))/3,0)</f>
        <v>Q4</v>
      </c>
      <c r="BF7" s="52" t="str">
        <f t="shared" ref="BF7:BS7" si="19">"Q"&amp; ROUNDUP(MONTH(EOMONTH(BF5,-Fiscal_Offset))/3,0)</f>
        <v>Q4</v>
      </c>
      <c r="BG7" s="52" t="str">
        <f t="shared" si="19"/>
        <v>Q4</v>
      </c>
      <c r="BH7" s="52" t="str">
        <f t="shared" si="19"/>
        <v>Q1</v>
      </c>
      <c r="BI7" s="52" t="str">
        <f t="shared" si="19"/>
        <v>Q1</v>
      </c>
      <c r="BJ7" s="52" t="str">
        <f t="shared" si="19"/>
        <v>Q1</v>
      </c>
      <c r="BK7" s="52" t="str">
        <f t="shared" si="19"/>
        <v>Q2</v>
      </c>
      <c r="BL7" s="52" t="str">
        <f t="shared" si="19"/>
        <v>Q2</v>
      </c>
      <c r="BM7" s="52" t="str">
        <f t="shared" si="19"/>
        <v>Q2</v>
      </c>
      <c r="BN7" s="52" t="str">
        <f t="shared" si="19"/>
        <v>Q3</v>
      </c>
      <c r="BO7" s="52" t="str">
        <f t="shared" si="19"/>
        <v>Q3</v>
      </c>
      <c r="BP7" s="52" t="str">
        <f t="shared" si="19"/>
        <v>Q3</v>
      </c>
      <c r="BQ7" s="52" t="str">
        <f t="shared" si="19"/>
        <v>Q4</v>
      </c>
      <c r="BR7" s="52" t="str">
        <f t="shared" si="19"/>
        <v>Q4</v>
      </c>
      <c r="BS7" s="52" t="str">
        <f t="shared" si="19"/>
        <v>Q4</v>
      </c>
    </row>
    <row r="8" spans="1:71" s="29" customFormat="1">
      <c r="B8" s="51"/>
      <c r="C8" s="50"/>
      <c r="D8" s="49"/>
      <c r="E8" s="48" t="s">
        <v>148</v>
      </c>
      <c r="F8" s="48" t="s">
        <v>149</v>
      </c>
      <c r="G8" s="48" t="s">
        <v>150</v>
      </c>
      <c r="H8" s="48" t="s">
        <v>151</v>
      </c>
      <c r="I8" s="48" t="s">
        <v>152</v>
      </c>
      <c r="J8" s="48" t="s">
        <v>153</v>
      </c>
      <c r="K8" s="48" t="s">
        <v>154</v>
      </c>
      <c r="L8" s="48" t="s">
        <v>155</v>
      </c>
      <c r="M8" s="48"/>
      <c r="N8" s="4"/>
      <c r="O8" s="273"/>
      <c r="P8" s="47">
        <f>P6</f>
        <v>2024</v>
      </c>
      <c r="Q8" s="47">
        <f>Q6</f>
        <v>2025</v>
      </c>
      <c r="R8" s="47">
        <f>R6</f>
        <v>2026</v>
      </c>
      <c r="S8" s="46"/>
      <c r="T8" s="273"/>
      <c r="U8" s="45" t="str">
        <f t="shared" ref="U8:AF8" si="20">CONCATENATE(CONCATENATE(U$7," ",U$6))</f>
        <v>Q1 2024</v>
      </c>
      <c r="V8" s="45" t="str">
        <f t="shared" si="20"/>
        <v>Q2 2024</v>
      </c>
      <c r="W8" s="45" t="str">
        <f t="shared" si="20"/>
        <v>Q3 2024</v>
      </c>
      <c r="X8" s="45" t="str">
        <f t="shared" si="20"/>
        <v>Q4 2024</v>
      </c>
      <c r="Y8" s="45" t="str">
        <f t="shared" si="20"/>
        <v>Q1 2025</v>
      </c>
      <c r="Z8" s="45" t="str">
        <f t="shared" si="20"/>
        <v>Q2 2025</v>
      </c>
      <c r="AA8" s="45" t="str">
        <f t="shared" si="20"/>
        <v>Q3 2025</v>
      </c>
      <c r="AB8" s="45" t="str">
        <f t="shared" si="20"/>
        <v>Q4 2025</v>
      </c>
      <c r="AC8" s="45" t="str">
        <f t="shared" si="20"/>
        <v>Q1 2026</v>
      </c>
      <c r="AD8" s="45" t="str">
        <f t="shared" si="20"/>
        <v>Q2 2026</v>
      </c>
      <c r="AE8" s="45" t="str">
        <f t="shared" si="20"/>
        <v>Q3 2026</v>
      </c>
      <c r="AF8" s="45" t="str">
        <f t="shared" si="20"/>
        <v>Q4 2026</v>
      </c>
      <c r="AG8" s="44"/>
      <c r="AH8" s="274"/>
      <c r="AI8" s="43">
        <f t="shared" ref="AI8:BD8" si="21">AI5</f>
        <v>45291</v>
      </c>
      <c r="AJ8" s="43">
        <f t="shared" si="21"/>
        <v>45322</v>
      </c>
      <c r="AK8" s="43">
        <f t="shared" si="21"/>
        <v>45351</v>
      </c>
      <c r="AL8" s="43">
        <f t="shared" si="21"/>
        <v>45382</v>
      </c>
      <c r="AM8" s="43">
        <f t="shared" si="21"/>
        <v>45412</v>
      </c>
      <c r="AN8" s="43">
        <f t="shared" si="21"/>
        <v>45443</v>
      </c>
      <c r="AO8" s="43">
        <f t="shared" si="21"/>
        <v>45473</v>
      </c>
      <c r="AP8" s="43">
        <f t="shared" si="21"/>
        <v>45504</v>
      </c>
      <c r="AQ8" s="43">
        <f t="shared" si="21"/>
        <v>45535</v>
      </c>
      <c r="AR8" s="43">
        <f t="shared" si="21"/>
        <v>45565</v>
      </c>
      <c r="AS8" s="43">
        <f t="shared" si="21"/>
        <v>45596</v>
      </c>
      <c r="AT8" s="43">
        <f t="shared" si="21"/>
        <v>45626</v>
      </c>
      <c r="AU8" s="43">
        <f t="shared" si="21"/>
        <v>45657</v>
      </c>
      <c r="AV8" s="43">
        <f t="shared" si="21"/>
        <v>45688</v>
      </c>
      <c r="AW8" s="43">
        <f t="shared" si="21"/>
        <v>45716</v>
      </c>
      <c r="AX8" s="43">
        <f t="shared" si="21"/>
        <v>45747</v>
      </c>
      <c r="AY8" s="43">
        <f t="shared" si="21"/>
        <v>45777</v>
      </c>
      <c r="AZ8" s="43">
        <f t="shared" si="21"/>
        <v>45808</v>
      </c>
      <c r="BA8" s="43">
        <f t="shared" si="21"/>
        <v>45838</v>
      </c>
      <c r="BB8" s="43">
        <f t="shared" si="21"/>
        <v>45869</v>
      </c>
      <c r="BC8" s="43">
        <f t="shared" si="21"/>
        <v>45900</v>
      </c>
      <c r="BD8" s="43">
        <f t="shared" si="21"/>
        <v>45930</v>
      </c>
      <c r="BE8" s="43">
        <f t="shared" ref="BE8" si="22">BE5</f>
        <v>45961</v>
      </c>
      <c r="BF8" s="43">
        <f t="shared" ref="BF8:BS8" si="23">BF5</f>
        <v>45991</v>
      </c>
      <c r="BG8" s="43">
        <f t="shared" si="23"/>
        <v>46022</v>
      </c>
      <c r="BH8" s="43">
        <f t="shared" si="23"/>
        <v>46053</v>
      </c>
      <c r="BI8" s="43">
        <f t="shared" si="23"/>
        <v>46081</v>
      </c>
      <c r="BJ8" s="43">
        <f t="shared" si="23"/>
        <v>46112</v>
      </c>
      <c r="BK8" s="43">
        <f t="shared" si="23"/>
        <v>46142</v>
      </c>
      <c r="BL8" s="43">
        <f t="shared" si="23"/>
        <v>46173</v>
      </c>
      <c r="BM8" s="43">
        <f t="shared" si="23"/>
        <v>46203</v>
      </c>
      <c r="BN8" s="43">
        <f t="shared" si="23"/>
        <v>46234</v>
      </c>
      <c r="BO8" s="43">
        <f t="shared" si="23"/>
        <v>46265</v>
      </c>
      <c r="BP8" s="43">
        <f t="shared" si="23"/>
        <v>46295</v>
      </c>
      <c r="BQ8" s="43">
        <f t="shared" si="23"/>
        <v>46326</v>
      </c>
      <c r="BR8" s="43">
        <f t="shared" si="23"/>
        <v>46356</v>
      </c>
      <c r="BS8" s="43">
        <f t="shared" si="23"/>
        <v>46387</v>
      </c>
    </row>
    <row r="9" spans="1:71" s="29" customFormat="1" ht="24">
      <c r="B9" s="38" t="s">
        <v>156</v>
      </c>
      <c r="C9" s="31"/>
      <c r="D9" s="31"/>
      <c r="E9" s="42"/>
      <c r="F9" s="31"/>
      <c r="G9" s="31"/>
      <c r="H9" s="31"/>
      <c r="I9" s="31"/>
      <c r="J9" s="31"/>
      <c r="K9" s="31"/>
      <c r="L9" s="31"/>
      <c r="M9" s="31"/>
      <c r="N9" s="35"/>
      <c r="O9" s="32"/>
      <c r="P9" s="31"/>
      <c r="Q9" s="31"/>
      <c r="R9" s="31"/>
      <c r="S9" s="34"/>
      <c r="T9" s="32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3"/>
      <c r="AH9" s="32"/>
      <c r="AI9" s="31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</row>
    <row r="10" spans="1:71" ht="15" outlineLevel="1">
      <c r="B10" s="22"/>
      <c r="C10" s="21" t="s">
        <v>33</v>
      </c>
      <c r="D10" s="20"/>
      <c r="E10" s="18"/>
      <c r="F10" s="17"/>
      <c r="G10" s="15"/>
      <c r="H10" s="15"/>
      <c r="I10" s="15"/>
      <c r="J10" s="15"/>
      <c r="K10" s="16"/>
      <c r="L10" s="15"/>
      <c r="M10" s="14"/>
      <c r="O10" s="9"/>
      <c r="P10" s="19">
        <f>SUM(P11:P14)</f>
        <v>594395</v>
      </c>
      <c r="Q10" s="19">
        <f>SUM(Q11:Q14)</f>
        <v>916705.59263781237</v>
      </c>
      <c r="R10" s="19">
        <f>SUM(R11:R14)</f>
        <v>1150828.1189077806</v>
      </c>
      <c r="S10" s="9"/>
      <c r="T10" s="9"/>
      <c r="U10" s="19">
        <f t="shared" ref="U10:AF10" si="24">SUM(U11:U14)</f>
        <v>141336</v>
      </c>
      <c r="V10" s="19">
        <f t="shared" si="24"/>
        <v>143829</v>
      </c>
      <c r="W10" s="19">
        <f t="shared" si="24"/>
        <v>148291</v>
      </c>
      <c r="X10" s="19">
        <f t="shared" si="24"/>
        <v>160939</v>
      </c>
      <c r="Y10" s="19">
        <f t="shared" si="24"/>
        <v>186307.22</v>
      </c>
      <c r="Z10" s="19">
        <f t="shared" si="24"/>
        <v>224373.97</v>
      </c>
      <c r="AA10" s="19">
        <f t="shared" si="24"/>
        <v>249669.37</v>
      </c>
      <c r="AB10" s="19">
        <f t="shared" si="24"/>
        <v>256355.03263781252</v>
      </c>
      <c r="AC10" s="19">
        <f t="shared" si="24"/>
        <v>270168.82307258761</v>
      </c>
      <c r="AD10" s="19">
        <f t="shared" si="24"/>
        <v>281082.53711742599</v>
      </c>
      <c r="AE10" s="19">
        <f t="shared" si="24"/>
        <v>293518.02060510992</v>
      </c>
      <c r="AF10" s="19">
        <f t="shared" si="24"/>
        <v>306058.73811265721</v>
      </c>
      <c r="AG10" s="25"/>
      <c r="AH10" s="9"/>
      <c r="AI10" s="19">
        <f t="shared" ref="AI10:BD10" si="25">IF(AI$5&lt;=LatestMonthOfActuals,SUMIFS(AI11:AI14,$K11:$K14,"Account"),SUMIFS(AI11:AI14,$K11:$K14,"&lt;&gt;Sub-Account"))</f>
        <v>40000</v>
      </c>
      <c r="AJ10" s="19">
        <f t="shared" si="25"/>
        <v>48456.5</v>
      </c>
      <c r="AK10" s="19">
        <f t="shared" si="25"/>
        <v>42000</v>
      </c>
      <c r="AL10" s="19">
        <f t="shared" si="25"/>
        <v>50879.5</v>
      </c>
      <c r="AM10" s="19">
        <f t="shared" si="25"/>
        <v>44100</v>
      </c>
      <c r="AN10" s="19">
        <f t="shared" si="25"/>
        <v>53424</v>
      </c>
      <c r="AO10" s="19">
        <f t="shared" si="25"/>
        <v>46305</v>
      </c>
      <c r="AP10" s="19">
        <f t="shared" si="25"/>
        <v>48620</v>
      </c>
      <c r="AQ10" s="19">
        <f t="shared" si="25"/>
        <v>48620</v>
      </c>
      <c r="AR10" s="19">
        <f t="shared" si="25"/>
        <v>51051</v>
      </c>
      <c r="AS10" s="19">
        <f t="shared" si="25"/>
        <v>51051</v>
      </c>
      <c r="AT10" s="19">
        <f t="shared" si="25"/>
        <v>53604</v>
      </c>
      <c r="AU10" s="19">
        <f t="shared" si="25"/>
        <v>56284</v>
      </c>
      <c r="AV10" s="19">
        <f t="shared" si="25"/>
        <v>59098.22</v>
      </c>
      <c r="AW10" s="19">
        <f t="shared" si="25"/>
        <v>62053</v>
      </c>
      <c r="AX10" s="19">
        <f t="shared" si="25"/>
        <v>65156</v>
      </c>
      <c r="AY10" s="19">
        <f t="shared" si="25"/>
        <v>68414</v>
      </c>
      <c r="AZ10" s="19">
        <f t="shared" si="25"/>
        <v>71834</v>
      </c>
      <c r="BA10" s="19">
        <f t="shared" si="25"/>
        <v>84125.97</v>
      </c>
      <c r="BB10" s="19">
        <f t="shared" si="25"/>
        <v>79197.259999999995</v>
      </c>
      <c r="BC10" s="19">
        <f t="shared" si="25"/>
        <v>83157.13</v>
      </c>
      <c r="BD10" s="19">
        <f t="shared" si="25"/>
        <v>87314.98</v>
      </c>
      <c r="BE10" s="19">
        <f t="shared" ref="BE10" si="26">IF(BE$5&lt;=LatestMonthOfActuals,SUMIFS(BE11:BE14,$K11:$K14,"Account"),SUMIFS(BE11:BE14,$K11:$K14,"&lt;&gt;Sub-Account"))</f>
        <v>82957.584499999997</v>
      </c>
      <c r="BF10" s="19">
        <f t="shared" ref="BF10:BS10" si="27">IF(BF$5&lt;=LatestMonthOfActuals,SUMIFS(BF11:BF14,$K11:$K14,"Account"),SUMIFS(BF11:BF14,$K11:$K14,"&lt;&gt;Sub-Account"))</f>
        <v>85502.711787499997</v>
      </c>
      <c r="BG10" s="19">
        <f t="shared" si="27"/>
        <v>87894.736350312509</v>
      </c>
      <c r="BH10" s="19">
        <f t="shared" si="27"/>
        <v>88554.270461617198</v>
      </c>
      <c r="BI10" s="19">
        <f t="shared" si="27"/>
        <v>90191.747292400192</v>
      </c>
      <c r="BJ10" s="19">
        <f t="shared" si="27"/>
        <v>91422.80531857023</v>
      </c>
      <c r="BK10" s="19">
        <f t="shared" si="27"/>
        <v>92141.674749320024</v>
      </c>
      <c r="BL10" s="19">
        <f t="shared" si="27"/>
        <v>93748.89054295102</v>
      </c>
      <c r="BM10" s="19">
        <f t="shared" si="27"/>
        <v>95191.971825154964</v>
      </c>
      <c r="BN10" s="19">
        <f t="shared" si="27"/>
        <v>96468.98803325239</v>
      </c>
      <c r="BO10" s="19">
        <f t="shared" si="27"/>
        <v>97854.063608288547</v>
      </c>
      <c r="BP10" s="19">
        <f t="shared" si="27"/>
        <v>99194.968963568987</v>
      </c>
      <c r="BQ10" s="19">
        <f t="shared" si="27"/>
        <v>100555.09760144379</v>
      </c>
      <c r="BR10" s="19">
        <f t="shared" si="27"/>
        <v>102027.44660056547</v>
      </c>
      <c r="BS10" s="19">
        <f t="shared" si="27"/>
        <v>103476.19391064797</v>
      </c>
    </row>
    <row r="11" spans="1:71" ht="6" customHeight="1" outlineLevel="2">
      <c r="B11" s="22"/>
      <c r="C11" s="21"/>
      <c r="D11" s="26"/>
      <c r="E11" s="18"/>
      <c r="F11" s="17"/>
      <c r="G11" s="15"/>
      <c r="H11" s="15"/>
      <c r="I11" s="15"/>
      <c r="J11" s="15"/>
      <c r="K11" s="16"/>
      <c r="L11" s="15"/>
      <c r="M11" s="14"/>
      <c r="O11" s="9"/>
      <c r="P11" s="27"/>
      <c r="Q11" s="27"/>
      <c r="R11" s="27"/>
      <c r="S11" s="24"/>
      <c r="T11" s="24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5"/>
      <c r="AH11" s="9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</row>
    <row r="12" spans="1:71" ht="15" outlineLevel="2">
      <c r="B12" s="22"/>
      <c r="C12" s="21"/>
      <c r="D12" s="26" t="s">
        <v>157</v>
      </c>
      <c r="E12" s="18" t="s">
        <v>158</v>
      </c>
      <c r="F12" s="111">
        <v>0.05</v>
      </c>
      <c r="G12" s="15" t="str">
        <f>IFERROR(INDEX(PBC_ACCOUNT_LIST[Drivers Section],MATCH(Drivers!L12,PBC_ACCOUNT_LIST[Id],0)),"")</f>
        <v>Revenue</v>
      </c>
      <c r="H12" s="15" t="str">
        <f>IFERROR(INDEX(PBC_ACCOUNT_LIST[Summary Grouping],MATCH(Drivers!L12,PBC_ACCOUNT_LIST[Id],0)),"")</f>
        <v>Revenue</v>
      </c>
      <c r="I12" s="15"/>
      <c r="J12" s="15">
        <f>IFERROR(INDEX(PBC_ACCOUNT_LIST[Cash Flow Section],MATCH(Drivers!L12,PBC_ACCOUNT_LIST[Id],0)),"")</f>
        <v>0</v>
      </c>
      <c r="K12" s="16" t="s">
        <v>159</v>
      </c>
      <c r="L12" s="15">
        <v>199</v>
      </c>
      <c r="M12" s="14"/>
      <c r="O12" s="9"/>
      <c r="P12" s="27">
        <f t="shared" ref="P12:R13" si="28">SUMIFS($AI12:$BS12,$AI$4:$BS$4,"&gt;="&amp;P$4,$AI$5:$BS$5,"&lt;="&amp;P$5)</f>
        <v>594395</v>
      </c>
      <c r="Q12" s="27">
        <f t="shared" si="28"/>
        <v>916218.92232531239</v>
      </c>
      <c r="R12" s="27">
        <f t="shared" si="28"/>
        <v>1150240.3727679988</v>
      </c>
      <c r="S12" s="27"/>
      <c r="T12" s="27"/>
      <c r="U12" s="27">
        <f t="shared" ref="U12:AF13" si="29">SUMIFS($AI12:$BS12,$AI$4:$BS$4,"&gt;="&amp;U$4,$AI$5:$BS$5,"&lt;="&amp;U$5)</f>
        <v>141336</v>
      </c>
      <c r="V12" s="27">
        <f t="shared" si="29"/>
        <v>143829</v>
      </c>
      <c r="W12" s="27">
        <f t="shared" si="29"/>
        <v>148291</v>
      </c>
      <c r="X12" s="27">
        <f t="shared" si="29"/>
        <v>160939</v>
      </c>
      <c r="Y12" s="27">
        <f t="shared" si="29"/>
        <v>186307.22</v>
      </c>
      <c r="Z12" s="27">
        <f t="shared" si="29"/>
        <v>224073.97</v>
      </c>
      <c r="AA12" s="27">
        <f t="shared" si="29"/>
        <v>249669.37</v>
      </c>
      <c r="AB12" s="27">
        <f t="shared" si="29"/>
        <v>256168.36232531251</v>
      </c>
      <c r="AC12" s="27">
        <f t="shared" si="29"/>
        <v>270052.67038735811</v>
      </c>
      <c r="AD12" s="27">
        <f t="shared" si="29"/>
        <v>280924.88836369815</v>
      </c>
      <c r="AE12" s="27">
        <f t="shared" si="29"/>
        <v>293366.80314523925</v>
      </c>
      <c r="AF12" s="27">
        <f t="shared" si="29"/>
        <v>305896.01087170345</v>
      </c>
      <c r="AG12" s="112"/>
      <c r="AH12" s="113"/>
      <c r="AI12" s="27">
        <f>SUMIFS(PBC_PROFIT_AND_LOSS[AccountBalance], PBC_PROFIT_AND_LOSS[Id],$L12,PBC_PROFIT_AND_LOSS[Date],AI$5)</f>
        <v>40000</v>
      </c>
      <c r="AJ12" s="27">
        <f>SUMIFS(PBC_PROFIT_AND_LOSS[AccountBalance], PBC_PROFIT_AND_LOSS[Id],$L12,PBC_PROFIT_AND_LOSS[Date],AJ$5)</f>
        <v>48456.5</v>
      </c>
      <c r="AK12" s="27">
        <f>SUMIFS(PBC_PROFIT_AND_LOSS[AccountBalance], PBC_PROFIT_AND_LOSS[Id],$L12,PBC_PROFIT_AND_LOSS[Date],AK$5)</f>
        <v>42000</v>
      </c>
      <c r="AL12" s="27">
        <f>SUMIFS(PBC_PROFIT_AND_LOSS[AccountBalance], PBC_PROFIT_AND_LOSS[Id],$L12,PBC_PROFIT_AND_LOSS[Date],AL$5)</f>
        <v>50879.5</v>
      </c>
      <c r="AM12" s="27">
        <f>SUMIFS(PBC_PROFIT_AND_LOSS[AccountBalance], PBC_PROFIT_AND_LOSS[Id],$L12,PBC_PROFIT_AND_LOSS[Date],AM$5)</f>
        <v>44100</v>
      </c>
      <c r="AN12" s="27">
        <f>SUMIFS(PBC_PROFIT_AND_LOSS[AccountBalance], PBC_PROFIT_AND_LOSS[Id],$L12,PBC_PROFIT_AND_LOSS[Date],AN$5)</f>
        <v>53424</v>
      </c>
      <c r="AO12" s="27">
        <f>SUMIFS(PBC_PROFIT_AND_LOSS[AccountBalance], PBC_PROFIT_AND_LOSS[Id],$L12,PBC_PROFIT_AND_LOSS[Date],AO$5)</f>
        <v>46305</v>
      </c>
      <c r="AP12" s="27">
        <f>SUMIFS(PBC_PROFIT_AND_LOSS[AccountBalance], PBC_PROFIT_AND_LOSS[Id],$L12,PBC_PROFIT_AND_LOSS[Date],AP$5)</f>
        <v>48620</v>
      </c>
      <c r="AQ12" s="27">
        <f>SUMIFS(PBC_PROFIT_AND_LOSS[AccountBalance], PBC_PROFIT_AND_LOSS[Id],$L12,PBC_PROFIT_AND_LOSS[Date],AQ$5)</f>
        <v>48620</v>
      </c>
      <c r="AR12" s="27">
        <f>SUMIFS(PBC_PROFIT_AND_LOSS[AccountBalance], PBC_PROFIT_AND_LOSS[Id],$L12,PBC_PROFIT_AND_LOSS[Date],AR$5)</f>
        <v>51051</v>
      </c>
      <c r="AS12" s="27">
        <f>SUMIFS(PBC_PROFIT_AND_LOSS[AccountBalance], PBC_PROFIT_AND_LOSS[Id],$L12,PBC_PROFIT_AND_LOSS[Date],AS$5)</f>
        <v>51051</v>
      </c>
      <c r="AT12" s="27">
        <f>SUMIFS(PBC_PROFIT_AND_LOSS[AccountBalance], PBC_PROFIT_AND_LOSS[Id],$L12,PBC_PROFIT_AND_LOSS[Date],AT$5)</f>
        <v>53604</v>
      </c>
      <c r="AU12" s="27">
        <f>SUMIFS(PBC_PROFIT_AND_LOSS[AccountBalance], PBC_PROFIT_AND_LOSS[Id],$L12,PBC_PROFIT_AND_LOSS[Date],AU$5)</f>
        <v>56284</v>
      </c>
      <c r="AV12" s="27">
        <f>SUMIFS(PBC_PROFIT_AND_LOSS[AccountBalance], PBC_PROFIT_AND_LOSS[Id],$L12,PBC_PROFIT_AND_LOSS[Date],AV$5)</f>
        <v>59098.22</v>
      </c>
      <c r="AW12" s="27">
        <f>SUMIFS(PBC_PROFIT_AND_LOSS[AccountBalance], PBC_PROFIT_AND_LOSS[Id],$L12,PBC_PROFIT_AND_LOSS[Date],AW$5)</f>
        <v>62053</v>
      </c>
      <c r="AX12" s="27">
        <f>SUMIFS(PBC_PROFIT_AND_LOSS[AccountBalance], PBC_PROFIT_AND_LOSS[Id],$L12,PBC_PROFIT_AND_LOSS[Date],AX$5)</f>
        <v>65156</v>
      </c>
      <c r="AY12" s="27">
        <f>SUMIFS(PBC_PROFIT_AND_LOSS[AccountBalance], PBC_PROFIT_AND_LOSS[Id],$L12,PBC_PROFIT_AND_LOSS[Date],AY$5)</f>
        <v>68414</v>
      </c>
      <c r="AZ12" s="27">
        <f>SUMIFS(PBC_PROFIT_AND_LOSS[AccountBalance], PBC_PROFIT_AND_LOSS[Id],$L12,PBC_PROFIT_AND_LOSS[Date],AZ$5)</f>
        <v>71834</v>
      </c>
      <c r="BA12" s="27">
        <f>SUMIFS(PBC_PROFIT_AND_LOSS[AccountBalance], PBC_PROFIT_AND_LOSS[Id],$L12,PBC_PROFIT_AND_LOSS[Date],BA$5)</f>
        <v>83825.97</v>
      </c>
      <c r="BB12" s="27">
        <f>SUMIFS(PBC_PROFIT_AND_LOSS[AccountBalance], PBC_PROFIT_AND_LOSS[Id],$L12,PBC_PROFIT_AND_LOSS[Date],BB$5)</f>
        <v>79197.259999999995</v>
      </c>
      <c r="BC12" s="27">
        <f>SUMIFS(PBC_PROFIT_AND_LOSS[AccountBalance], PBC_PROFIT_AND_LOSS[Id],$L12,PBC_PROFIT_AND_LOSS[Date],BC$5)</f>
        <v>83157.13</v>
      </c>
      <c r="BD12" s="27">
        <f>SUMIFS(PBC_PROFIT_AND_LOSS[AccountBalance], PBC_PROFIT_AND_LOSS[Id],$L12,PBC_PROFIT_AND_LOSS[Date],BD$5)</f>
        <v>87314.98</v>
      </c>
      <c r="BE12" s="114">
        <f t="shared" ref="BE12:BE13" si="30">AVERAGE(AY12:BD12) * (1 + $F12)</f>
        <v>82905.084499999997</v>
      </c>
      <c r="BF12" s="114">
        <f>AVERAGE(AZ12:BE12) * (1 + $F12)</f>
        <v>85441.024287499997</v>
      </c>
      <c r="BG12" s="114">
        <f t="shared" ref="BG12:BS12" si="31">AVERAGE(BA12:BF12) * (1 + $F12)</f>
        <v>87822.253537812503</v>
      </c>
      <c r="BH12" s="114">
        <f t="shared" si="31"/>
        <v>88521.603156929705</v>
      </c>
      <c r="BI12" s="114">
        <f t="shared" si="31"/>
        <v>90153.363209392381</v>
      </c>
      <c r="BJ12" s="114">
        <f t="shared" si="31"/>
        <v>91377.704021036057</v>
      </c>
      <c r="BK12" s="114">
        <f t="shared" si="31"/>
        <v>92088.680724717356</v>
      </c>
      <c r="BL12" s="114">
        <f t="shared" si="31"/>
        <v>93695.810064042889</v>
      </c>
      <c r="BM12" s="114">
        <f t="shared" si="31"/>
        <v>95140.397574937917</v>
      </c>
      <c r="BN12" s="114">
        <f t="shared" si="31"/>
        <v>96421.07278143485</v>
      </c>
      <c r="BO12" s="114">
        <f t="shared" si="31"/>
        <v>97803.479965723265</v>
      </c>
      <c r="BP12" s="114">
        <f t="shared" si="31"/>
        <v>99142.250398081145</v>
      </c>
      <c r="BQ12" s="114">
        <f t="shared" si="31"/>
        <v>100501.04601406405</v>
      </c>
      <c r="BR12" s="114">
        <f t="shared" si="31"/>
        <v>101973.20993969974</v>
      </c>
      <c r="BS12" s="114">
        <f t="shared" si="31"/>
        <v>103421.75491793966</v>
      </c>
    </row>
    <row r="13" spans="1:71" ht="14.45" customHeight="1" outlineLevel="2">
      <c r="B13" s="22"/>
      <c r="C13" s="21"/>
      <c r="D13" s="26" t="s">
        <v>160</v>
      </c>
      <c r="E13" s="18" t="s">
        <v>158</v>
      </c>
      <c r="F13" s="111">
        <v>0.05</v>
      </c>
      <c r="G13" s="15" t="str">
        <f>IFERROR(INDEX(PBC_ACCOUNT_LIST[Drivers Section],MATCH(Drivers!L13,PBC_ACCOUNT_LIST[Id],0)),"")</f>
        <v>Revenue</v>
      </c>
      <c r="H13" s="15" t="str">
        <f>IFERROR(INDEX(PBC_ACCOUNT_LIST[Summary Grouping],MATCH(Drivers!L13,PBC_ACCOUNT_LIST[Id],0)),"")</f>
        <v>Revenue</v>
      </c>
      <c r="I13" s="15"/>
      <c r="J13" s="15">
        <f>IFERROR(INDEX(PBC_ACCOUNT_LIST[Cash Flow Section],MATCH(Drivers!L13,PBC_ACCOUNT_LIST[Id],0)),"")</f>
        <v>0</v>
      </c>
      <c r="K13" s="16" t="s">
        <v>159</v>
      </c>
      <c r="L13" s="15">
        <v>73</v>
      </c>
      <c r="M13" s="14"/>
      <c r="O13" s="9"/>
      <c r="P13" s="27">
        <f t="shared" si="28"/>
        <v>0</v>
      </c>
      <c r="Q13" s="27">
        <f t="shared" si="28"/>
        <v>486.67031250000002</v>
      </c>
      <c r="R13" s="27">
        <f t="shared" si="28"/>
        <v>587.74613978176876</v>
      </c>
      <c r="S13" s="27"/>
      <c r="T13" s="27"/>
      <c r="U13" s="27">
        <f t="shared" si="29"/>
        <v>0</v>
      </c>
      <c r="V13" s="27">
        <f t="shared" si="29"/>
        <v>0</v>
      </c>
      <c r="W13" s="27">
        <f t="shared" si="29"/>
        <v>0</v>
      </c>
      <c r="X13" s="27">
        <f t="shared" si="29"/>
        <v>0</v>
      </c>
      <c r="Y13" s="27">
        <f t="shared" si="29"/>
        <v>0</v>
      </c>
      <c r="Z13" s="27">
        <f t="shared" si="29"/>
        <v>300</v>
      </c>
      <c r="AA13" s="27">
        <f t="shared" si="29"/>
        <v>0</v>
      </c>
      <c r="AB13" s="27">
        <f t="shared" si="29"/>
        <v>186.67031250000002</v>
      </c>
      <c r="AC13" s="27">
        <f t="shared" si="29"/>
        <v>116.15268522949222</v>
      </c>
      <c r="AD13" s="27">
        <f t="shared" si="29"/>
        <v>157.64875372783703</v>
      </c>
      <c r="AE13" s="27">
        <f t="shared" si="29"/>
        <v>151.21745987066754</v>
      </c>
      <c r="AF13" s="27">
        <f t="shared" si="29"/>
        <v>162.72724095377194</v>
      </c>
      <c r="AG13" s="112"/>
      <c r="AH13" s="113"/>
      <c r="AI13" s="27">
        <f>SUMIFS(PBC_PROFIT_AND_LOSS[AccountBalance], PBC_PROFIT_AND_LOSS[Id],$L13,PBC_PROFIT_AND_LOSS[Date],AI$5)</f>
        <v>0</v>
      </c>
      <c r="AJ13" s="27">
        <f>SUMIFS(PBC_PROFIT_AND_LOSS[AccountBalance], PBC_PROFIT_AND_LOSS[Id],$L13,PBC_PROFIT_AND_LOSS[Date],AJ$5)</f>
        <v>0</v>
      </c>
      <c r="AK13" s="27">
        <f>SUMIFS(PBC_PROFIT_AND_LOSS[AccountBalance], PBC_PROFIT_AND_LOSS[Id],$L13,PBC_PROFIT_AND_LOSS[Date],AK$5)</f>
        <v>0</v>
      </c>
      <c r="AL13" s="27">
        <f>SUMIFS(PBC_PROFIT_AND_LOSS[AccountBalance], PBC_PROFIT_AND_LOSS[Id],$L13,PBC_PROFIT_AND_LOSS[Date],AL$5)</f>
        <v>0</v>
      </c>
      <c r="AM13" s="27">
        <f>SUMIFS(PBC_PROFIT_AND_LOSS[AccountBalance], PBC_PROFIT_AND_LOSS[Id],$L13,PBC_PROFIT_AND_LOSS[Date],AM$5)</f>
        <v>0</v>
      </c>
      <c r="AN13" s="27">
        <f>SUMIFS(PBC_PROFIT_AND_LOSS[AccountBalance], PBC_PROFIT_AND_LOSS[Id],$L13,PBC_PROFIT_AND_LOSS[Date],AN$5)</f>
        <v>0</v>
      </c>
      <c r="AO13" s="27">
        <f>SUMIFS(PBC_PROFIT_AND_LOSS[AccountBalance], PBC_PROFIT_AND_LOSS[Id],$L13,PBC_PROFIT_AND_LOSS[Date],AO$5)</f>
        <v>0</v>
      </c>
      <c r="AP13" s="27">
        <f>SUMIFS(PBC_PROFIT_AND_LOSS[AccountBalance], PBC_PROFIT_AND_LOSS[Id],$L13,PBC_PROFIT_AND_LOSS[Date],AP$5)</f>
        <v>0</v>
      </c>
      <c r="AQ13" s="27">
        <f>SUMIFS(PBC_PROFIT_AND_LOSS[AccountBalance], PBC_PROFIT_AND_LOSS[Id],$L13,PBC_PROFIT_AND_LOSS[Date],AQ$5)</f>
        <v>0</v>
      </c>
      <c r="AR13" s="27">
        <f>SUMIFS(PBC_PROFIT_AND_LOSS[AccountBalance], PBC_PROFIT_AND_LOSS[Id],$L13,PBC_PROFIT_AND_LOSS[Date],AR$5)</f>
        <v>0</v>
      </c>
      <c r="AS13" s="27">
        <f>SUMIFS(PBC_PROFIT_AND_LOSS[AccountBalance], PBC_PROFIT_AND_LOSS[Id],$L13,PBC_PROFIT_AND_LOSS[Date],AS$5)</f>
        <v>0</v>
      </c>
      <c r="AT13" s="27">
        <f>SUMIFS(PBC_PROFIT_AND_LOSS[AccountBalance], PBC_PROFIT_AND_LOSS[Id],$L13,PBC_PROFIT_AND_LOSS[Date],AT$5)</f>
        <v>0</v>
      </c>
      <c r="AU13" s="27">
        <f>SUMIFS(PBC_PROFIT_AND_LOSS[AccountBalance], PBC_PROFIT_AND_LOSS[Id],$L13,PBC_PROFIT_AND_LOSS[Date],AU$5)</f>
        <v>0</v>
      </c>
      <c r="AV13" s="27">
        <f>SUMIFS(PBC_PROFIT_AND_LOSS[AccountBalance], PBC_PROFIT_AND_LOSS[Id],$L13,PBC_PROFIT_AND_LOSS[Date],AV$5)</f>
        <v>0</v>
      </c>
      <c r="AW13" s="27">
        <f>SUMIFS(PBC_PROFIT_AND_LOSS[AccountBalance], PBC_PROFIT_AND_LOSS[Id],$L13,PBC_PROFIT_AND_LOSS[Date],AW$5)</f>
        <v>0</v>
      </c>
      <c r="AX13" s="27">
        <f>SUMIFS(PBC_PROFIT_AND_LOSS[AccountBalance], PBC_PROFIT_AND_LOSS[Id],$L13,PBC_PROFIT_AND_LOSS[Date],AX$5)</f>
        <v>0</v>
      </c>
      <c r="AY13" s="27">
        <f>SUMIFS(PBC_PROFIT_AND_LOSS[AccountBalance], PBC_PROFIT_AND_LOSS[Id],$L13,PBC_PROFIT_AND_LOSS[Date],AY$5)</f>
        <v>0</v>
      </c>
      <c r="AZ13" s="27">
        <f>SUMIFS(PBC_PROFIT_AND_LOSS[AccountBalance], PBC_PROFIT_AND_LOSS[Id],$L13,PBC_PROFIT_AND_LOSS[Date],AZ$5)</f>
        <v>0</v>
      </c>
      <c r="BA13" s="27">
        <f>SUMIFS(PBC_PROFIT_AND_LOSS[AccountBalance], PBC_PROFIT_AND_LOSS[Id],$L13,PBC_PROFIT_AND_LOSS[Date],BA$5)</f>
        <v>300</v>
      </c>
      <c r="BB13" s="27">
        <f>SUMIFS(PBC_PROFIT_AND_LOSS[AccountBalance], PBC_PROFIT_AND_LOSS[Id],$L13,PBC_PROFIT_AND_LOSS[Date],BB$5)</f>
        <v>0</v>
      </c>
      <c r="BC13" s="27">
        <f>SUMIFS(PBC_PROFIT_AND_LOSS[AccountBalance], PBC_PROFIT_AND_LOSS[Id],$L13,PBC_PROFIT_AND_LOSS[Date],BC$5)</f>
        <v>0</v>
      </c>
      <c r="BD13" s="27">
        <f>SUMIFS(PBC_PROFIT_AND_LOSS[AccountBalance], PBC_PROFIT_AND_LOSS[Id],$L13,PBC_PROFIT_AND_LOSS[Date],BD$5)</f>
        <v>0</v>
      </c>
      <c r="BE13" s="114">
        <f t="shared" si="30"/>
        <v>52.5</v>
      </c>
      <c r="BF13" s="114">
        <f t="shared" ref="BF13" si="32">AVERAGE(AZ13:BE13) * (1 + $F13)</f>
        <v>61.6875</v>
      </c>
      <c r="BG13" s="114">
        <f t="shared" ref="BG13" si="33">AVERAGE(BA13:BF13) * (1 + $F13)</f>
        <v>72.482812500000009</v>
      </c>
      <c r="BH13" s="114">
        <f t="shared" ref="BH13" si="34">AVERAGE(BB13:BG13) * (1 + $F13)</f>
        <v>32.667304687500007</v>
      </c>
      <c r="BI13" s="114">
        <f t="shared" ref="BI13" si="35">AVERAGE(BC13:BH13) * (1 + $F13)</f>
        <v>38.384083007812507</v>
      </c>
      <c r="BJ13" s="114">
        <f t="shared" ref="BJ13" si="36">AVERAGE(BD13:BI13) * (1 + $F13)</f>
        <v>45.1012975341797</v>
      </c>
      <c r="BK13" s="114">
        <f t="shared" ref="BK13" si="37">AVERAGE(BE13:BJ13) * (1 + $F13)</f>
        <v>52.994024602661149</v>
      </c>
      <c r="BL13" s="114">
        <f t="shared" ref="BL13" si="38">AVERAGE(BF13:BK13) * (1 + $F13)</f>
        <v>53.08047890812685</v>
      </c>
      <c r="BM13" s="114">
        <f t="shared" ref="BM13" si="39">AVERAGE(BG13:BL13) * (1 + $F13)</f>
        <v>51.574250217049041</v>
      </c>
      <c r="BN13" s="114">
        <f t="shared" ref="BN13" si="40">AVERAGE(BH13:BM13) * (1 + $F13)</f>
        <v>47.915251817532621</v>
      </c>
      <c r="BO13" s="114">
        <f t="shared" ref="BO13" si="41">AVERAGE(BI13:BN13) * (1 + $F13)</f>
        <v>50.583642565288329</v>
      </c>
      <c r="BP13" s="114">
        <f t="shared" ref="BP13" si="42">AVERAGE(BJ13:BO13) * (1 + $F13)</f>
        <v>52.718565487846597</v>
      </c>
      <c r="BQ13" s="114">
        <f t="shared" ref="BQ13" si="43">AVERAGE(BK13:BP13) * (1 + $F13)</f>
        <v>54.051587379738308</v>
      </c>
      <c r="BR13" s="114">
        <f t="shared" ref="BR13" si="44">AVERAGE(BL13:BQ13) * (1 + $F13)</f>
        <v>54.236660865726819</v>
      </c>
      <c r="BS13" s="114">
        <f t="shared" ref="BS13" si="45">AVERAGE(BM13:BR13) * (1 + $F13)</f>
        <v>54.438992708306806</v>
      </c>
    </row>
    <row r="14" spans="1:71" ht="15" outlineLevel="1">
      <c r="A14" s="2" t="s">
        <v>161</v>
      </c>
      <c r="B14" s="22"/>
      <c r="C14" s="21"/>
      <c r="D14" s="26"/>
      <c r="E14" s="18"/>
      <c r="F14" s="17"/>
      <c r="G14" s="15"/>
      <c r="H14" s="15"/>
      <c r="I14" s="15"/>
      <c r="J14" s="15"/>
      <c r="K14" s="16"/>
      <c r="L14" s="15"/>
      <c r="M14" s="14"/>
      <c r="O14" s="9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5"/>
      <c r="AH14" s="9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</row>
    <row r="15" spans="1:71" ht="15" outlineLevel="1">
      <c r="B15" s="22"/>
      <c r="C15" s="21" t="s">
        <v>143</v>
      </c>
      <c r="D15" s="20"/>
      <c r="E15" s="18"/>
      <c r="F15" s="17"/>
      <c r="G15" s="15"/>
      <c r="H15" s="15"/>
      <c r="I15" s="15"/>
      <c r="J15" s="15"/>
      <c r="K15" s="16"/>
      <c r="L15" s="15"/>
      <c r="M15" s="14"/>
      <c r="O15" s="9"/>
      <c r="P15" s="19">
        <f>SUM(P16:P21)</f>
        <v>53271.66</v>
      </c>
      <c r="Q15" s="19">
        <f>SUM(Q16:Q21)</f>
        <v>84550.552998125</v>
      </c>
      <c r="R15" s="19">
        <f>SUM(R16:R21)</f>
        <v>105524.28758730432</v>
      </c>
      <c r="S15" s="9"/>
      <c r="T15" s="9"/>
      <c r="U15" s="19">
        <f t="shared" ref="U15:AF15" si="46">SUM(U16:U21)</f>
        <v>11366</v>
      </c>
      <c r="V15" s="19">
        <f t="shared" si="46"/>
        <v>12551.5</v>
      </c>
      <c r="W15" s="19">
        <f t="shared" si="46"/>
        <v>14075.5</v>
      </c>
      <c r="X15" s="19">
        <f t="shared" si="46"/>
        <v>15278.66</v>
      </c>
      <c r="Y15" s="19">
        <f t="shared" si="46"/>
        <v>17685.420000000002</v>
      </c>
      <c r="Z15" s="19">
        <f t="shared" si="46"/>
        <v>20775.48</v>
      </c>
      <c r="AA15" s="19">
        <f t="shared" si="46"/>
        <v>22702.079999999998</v>
      </c>
      <c r="AB15" s="19">
        <f t="shared" si="46"/>
        <v>23387.572998125001</v>
      </c>
      <c r="AC15" s="19">
        <f t="shared" si="46"/>
        <v>24815.937114755186</v>
      </c>
      <c r="AD15" s="19">
        <f t="shared" si="46"/>
        <v>25732.26444164418</v>
      </c>
      <c r="AE15" s="19">
        <f t="shared" si="46"/>
        <v>26923.947328043803</v>
      </c>
      <c r="AF15" s="19">
        <f t="shared" si="46"/>
        <v>28052.13870286115</v>
      </c>
      <c r="AG15" s="25"/>
      <c r="AH15" s="9"/>
      <c r="AI15" s="19">
        <f t="shared" ref="AI15:BD15" si="47">IF(AI$5&lt;=LatestMonthOfActuals,SUMIFS(AI16:AI21,$K16:$K21,"Account"),SUMIFS(AI16:AI21,$K16:$K21,"&lt;&gt;Sub-Account"))</f>
        <v>3797.5</v>
      </c>
      <c r="AJ15" s="19">
        <f t="shared" si="47"/>
        <v>3599</v>
      </c>
      <c r="AK15" s="19">
        <f t="shared" si="47"/>
        <v>3988</v>
      </c>
      <c r="AL15" s="19">
        <f t="shared" si="47"/>
        <v>3779</v>
      </c>
      <c r="AM15" s="19">
        <f t="shared" si="47"/>
        <v>4186.5</v>
      </c>
      <c r="AN15" s="19">
        <f t="shared" si="47"/>
        <v>3968.5</v>
      </c>
      <c r="AO15" s="19">
        <f t="shared" si="47"/>
        <v>4396.5</v>
      </c>
      <c r="AP15" s="19">
        <f t="shared" si="47"/>
        <v>4615</v>
      </c>
      <c r="AQ15" s="19">
        <f t="shared" si="47"/>
        <v>4614.5</v>
      </c>
      <c r="AR15" s="19">
        <f t="shared" si="47"/>
        <v>4846</v>
      </c>
      <c r="AS15" s="19">
        <f t="shared" si="47"/>
        <v>4846.33</v>
      </c>
      <c r="AT15" s="19">
        <f t="shared" si="47"/>
        <v>5089.33</v>
      </c>
      <c r="AU15" s="19">
        <f t="shared" si="47"/>
        <v>5343</v>
      </c>
      <c r="AV15" s="19">
        <f t="shared" si="47"/>
        <v>5610.42</v>
      </c>
      <c r="AW15" s="19">
        <f t="shared" si="47"/>
        <v>5890</v>
      </c>
      <c r="AX15" s="19">
        <f t="shared" si="47"/>
        <v>6185</v>
      </c>
      <c r="AY15" s="19">
        <f t="shared" si="47"/>
        <v>6495</v>
      </c>
      <c r="AZ15" s="19">
        <f t="shared" si="47"/>
        <v>6820</v>
      </c>
      <c r="BA15" s="19">
        <f t="shared" si="47"/>
        <v>7460.48</v>
      </c>
      <c r="BB15" s="19">
        <f t="shared" si="47"/>
        <v>6518.5</v>
      </c>
      <c r="BC15" s="19">
        <f t="shared" si="47"/>
        <v>7894.43</v>
      </c>
      <c r="BD15" s="19">
        <f t="shared" si="47"/>
        <v>8289.15</v>
      </c>
      <c r="BE15" s="19">
        <f t="shared" ref="BE15" si="48">IF(BE$5&lt;=LatestMonthOfActuals,SUMIFS(BE16:BE21,$K16:$K21,"Account"),SUMIFS(BE16:BE21,$K16:$K21,"&lt;&gt;Sub-Account"))</f>
        <v>7608.5730000000003</v>
      </c>
      <c r="BF15" s="19">
        <f t="shared" ref="BF15:BS15" si="49">IF(BF$5&lt;=LatestMonthOfActuals,SUMIFS(BF16:BF21,$K16:$K21,"Account"),SUMIFS(BF16:BF21,$K16:$K21,"&lt;&gt;Sub-Account"))</f>
        <v>7803.4482750000006</v>
      </c>
      <c r="BG15" s="19">
        <f t="shared" si="49"/>
        <v>7975.5517231249996</v>
      </c>
      <c r="BH15" s="19">
        <f t="shared" si="49"/>
        <v>8065.689274671875</v>
      </c>
      <c r="BI15" s="19">
        <f t="shared" si="49"/>
        <v>8336.4473977394555</v>
      </c>
      <c r="BJ15" s="19">
        <f t="shared" si="49"/>
        <v>8413.800442343856</v>
      </c>
      <c r="BK15" s="19">
        <f t="shared" si="49"/>
        <v>8435.6142697540326</v>
      </c>
      <c r="BL15" s="19">
        <f t="shared" si="49"/>
        <v>8580.3464919609887</v>
      </c>
      <c r="BM15" s="19">
        <f t="shared" si="49"/>
        <v>8716.3036799291622</v>
      </c>
      <c r="BN15" s="19">
        <f t="shared" si="49"/>
        <v>8845.9352723698903</v>
      </c>
      <c r="BO15" s="19">
        <f t="shared" si="49"/>
        <v>8982.4783219670444</v>
      </c>
      <c r="BP15" s="19">
        <f t="shared" si="49"/>
        <v>9095.5337337068722</v>
      </c>
      <c r="BQ15" s="19">
        <f t="shared" si="49"/>
        <v>9214.8370596953973</v>
      </c>
      <c r="BR15" s="19">
        <f t="shared" si="49"/>
        <v>9351.2010479351356</v>
      </c>
      <c r="BS15" s="19">
        <f t="shared" si="49"/>
        <v>9486.100595230615</v>
      </c>
    </row>
    <row r="16" spans="1:71" ht="6" customHeight="1" outlineLevel="2">
      <c r="E16" s="18"/>
      <c r="F16" s="17"/>
      <c r="G16" s="15"/>
      <c r="H16" s="15"/>
      <c r="I16" s="15"/>
      <c r="J16" s="15"/>
      <c r="K16" s="16"/>
      <c r="L16" s="15"/>
      <c r="M16" s="14"/>
    </row>
    <row r="17" spans="3:71" outlineLevel="2">
      <c r="D17" s="115" t="s">
        <v>162</v>
      </c>
      <c r="E17" s="18" t="s">
        <v>158</v>
      </c>
      <c r="F17" s="111">
        <v>0.05</v>
      </c>
      <c r="G17" s="15" t="str">
        <f>IFERROR(INDEX(PBC_ACCOUNT_LIST[Drivers Section],MATCH(Drivers!L17,PBC_ACCOUNT_LIST[Id],0)),"")</f>
        <v>COGS</v>
      </c>
      <c r="H17" s="15" t="str">
        <f>IFERROR(INDEX(PBC_ACCOUNT_LIST[Summary Grouping],MATCH(Drivers!L17,PBC_ACCOUNT_LIST[Id],0)),"")</f>
        <v>COGS</v>
      </c>
      <c r="I17" s="15"/>
      <c r="J17" s="15">
        <f>IFERROR(INDEX(PBC_ACCOUNT_LIST[Cash Flow Section],MATCH(Drivers!L17,PBC_ACCOUNT_LIST[Id],0)),"")</f>
        <v>0</v>
      </c>
      <c r="K17" s="16" t="s">
        <v>159</v>
      </c>
      <c r="L17" s="15">
        <v>164</v>
      </c>
      <c r="M17" s="14"/>
      <c r="P17" s="113">
        <f t="shared" ref="P17:R20" si="50">SUMIFS($AI17:$BS17,$AI$4:$BS$4,"&gt;="&amp;P$4,$AI$5:$BS$5,"&lt;="&amp;P$5)</f>
        <v>42018</v>
      </c>
      <c r="Q17" s="113">
        <f t="shared" si="50"/>
        <v>67468.766484374995</v>
      </c>
      <c r="R17" s="113">
        <f t="shared" si="50"/>
        <v>84751.277211387729</v>
      </c>
      <c r="S17" s="113"/>
      <c r="T17" s="113"/>
      <c r="U17" s="116">
        <f t="shared" ref="U17:AF20" si="51">SUMIFS($AI17:$BS17,$AI$4:$BS$4,"&gt;="&amp;U$4,$AI$5:$BS$5,"&lt;="&amp;U$5)</f>
        <v>8997</v>
      </c>
      <c r="V17" s="116">
        <f t="shared" si="51"/>
        <v>9907</v>
      </c>
      <c r="W17" s="116">
        <f t="shared" si="51"/>
        <v>11084</v>
      </c>
      <c r="X17" s="116">
        <f t="shared" si="51"/>
        <v>12030</v>
      </c>
      <c r="Y17" s="116">
        <f t="shared" si="51"/>
        <v>13925.61</v>
      </c>
      <c r="Z17" s="116">
        <f t="shared" si="51"/>
        <v>16122.119999999999</v>
      </c>
      <c r="AA17" s="116">
        <f t="shared" si="51"/>
        <v>18662.879999999997</v>
      </c>
      <c r="AB17" s="116">
        <f t="shared" si="51"/>
        <v>18758.156484375002</v>
      </c>
      <c r="AC17" s="116">
        <f t="shared" si="51"/>
        <v>19943.542386207275</v>
      </c>
      <c r="AD17" s="116">
        <f t="shared" si="51"/>
        <v>20669.420064424969</v>
      </c>
      <c r="AE17" s="116">
        <f t="shared" si="51"/>
        <v>21612.917458048778</v>
      </c>
      <c r="AF17" s="116">
        <f t="shared" si="51"/>
        <v>22525.3973027067</v>
      </c>
      <c r="AG17" s="116"/>
      <c r="AH17" s="113"/>
      <c r="AI17" s="116">
        <f>SUMIFS(PBC_PROFIT_AND_LOSS[AccountBalance], PBC_PROFIT_AND_LOSS[Id],$L17,PBC_PROFIT_AND_LOSS[Date],AI$5)</f>
        <v>2990</v>
      </c>
      <c r="AJ17" s="116">
        <f>SUMIFS(PBC_PROFIT_AND_LOSS[AccountBalance], PBC_PROFIT_AND_LOSS[Id],$L17,PBC_PROFIT_AND_LOSS[Date],AJ$5)</f>
        <v>2857</v>
      </c>
      <c r="AK17" s="116">
        <f>SUMIFS(PBC_PROFIT_AND_LOSS[AccountBalance], PBC_PROFIT_AND_LOSS[Id],$L17,PBC_PROFIT_AND_LOSS[Date],AK$5)</f>
        <v>3140</v>
      </c>
      <c r="AL17" s="116">
        <f>SUMIFS(PBC_PROFIT_AND_LOSS[AccountBalance], PBC_PROFIT_AND_LOSS[Id],$L17,PBC_PROFIT_AND_LOSS[Date],AL$5)</f>
        <v>3000</v>
      </c>
      <c r="AM17" s="116">
        <f>SUMIFS(PBC_PROFIT_AND_LOSS[AccountBalance], PBC_PROFIT_AND_LOSS[Id],$L17,PBC_PROFIT_AND_LOSS[Date],AM$5)</f>
        <v>3296</v>
      </c>
      <c r="AN17" s="116">
        <f>SUMIFS(PBC_PROFIT_AND_LOSS[AccountBalance], PBC_PROFIT_AND_LOSS[Id],$L17,PBC_PROFIT_AND_LOSS[Date],AN$5)</f>
        <v>3150</v>
      </c>
      <c r="AO17" s="116">
        <f>SUMIFS(PBC_PROFIT_AND_LOSS[AccountBalance], PBC_PROFIT_AND_LOSS[Id],$L17,PBC_PROFIT_AND_LOSS[Date],AO$5)</f>
        <v>3461</v>
      </c>
      <c r="AP17" s="116">
        <f>SUMIFS(PBC_PROFIT_AND_LOSS[AccountBalance], PBC_PROFIT_AND_LOSS[Id],$L17,PBC_PROFIT_AND_LOSS[Date],AP$5)</f>
        <v>3634</v>
      </c>
      <c r="AQ17" s="116">
        <f>SUMIFS(PBC_PROFIT_AND_LOSS[AccountBalance], PBC_PROFIT_AND_LOSS[Id],$L17,PBC_PROFIT_AND_LOSS[Date],AQ$5)</f>
        <v>3634</v>
      </c>
      <c r="AR17" s="116">
        <f>SUMIFS(PBC_PROFIT_AND_LOSS[AccountBalance], PBC_PROFIT_AND_LOSS[Id],$L17,PBC_PROFIT_AND_LOSS[Date],AR$5)</f>
        <v>3816</v>
      </c>
      <c r="AS17" s="116">
        <f>SUMIFS(PBC_PROFIT_AND_LOSS[AccountBalance], PBC_PROFIT_AND_LOSS[Id],$L17,PBC_PROFIT_AND_LOSS[Date],AS$5)</f>
        <v>3816</v>
      </c>
      <c r="AT17" s="116">
        <f>SUMIFS(PBC_PROFIT_AND_LOSS[AccountBalance], PBC_PROFIT_AND_LOSS[Id],$L17,PBC_PROFIT_AND_LOSS[Date],AT$5)</f>
        <v>4007</v>
      </c>
      <c r="AU17" s="116">
        <f>SUMIFS(PBC_PROFIT_AND_LOSS[AccountBalance], PBC_PROFIT_AND_LOSS[Id],$L17,PBC_PROFIT_AND_LOSS[Date],AU$5)</f>
        <v>4207</v>
      </c>
      <c r="AV17" s="116">
        <f>SUMIFS(PBC_PROFIT_AND_LOSS[AccountBalance], PBC_PROFIT_AND_LOSS[Id],$L17,PBC_PROFIT_AND_LOSS[Date],AV$5)</f>
        <v>4417.6099999999997</v>
      </c>
      <c r="AW17" s="116">
        <f>SUMIFS(PBC_PROFIT_AND_LOSS[AccountBalance], PBC_PROFIT_AND_LOSS[Id],$L17,PBC_PROFIT_AND_LOSS[Date],AW$5)</f>
        <v>4638</v>
      </c>
      <c r="AX17" s="116">
        <f>SUMIFS(PBC_PROFIT_AND_LOSS[AccountBalance], PBC_PROFIT_AND_LOSS[Id],$L17,PBC_PROFIT_AND_LOSS[Date],AX$5)</f>
        <v>4870</v>
      </c>
      <c r="AY17" s="116">
        <f>SUMIFS(PBC_PROFIT_AND_LOSS[AccountBalance], PBC_PROFIT_AND_LOSS[Id],$L17,PBC_PROFIT_AND_LOSS[Date],AY$5)</f>
        <v>5114</v>
      </c>
      <c r="AZ17" s="116">
        <f>SUMIFS(PBC_PROFIT_AND_LOSS[AccountBalance], PBC_PROFIT_AND_LOSS[Id],$L17,PBC_PROFIT_AND_LOSS[Date],AZ$5)</f>
        <v>5370</v>
      </c>
      <c r="BA17" s="116">
        <f>SUMIFS(PBC_PROFIT_AND_LOSS[AccountBalance], PBC_PROFIT_AND_LOSS[Id],$L17,PBC_PROFIT_AND_LOSS[Date],BA$5)</f>
        <v>5638.12</v>
      </c>
      <c r="BB17" s="116">
        <f>SUMIFS(PBC_PROFIT_AND_LOSS[AccountBalance], PBC_PROFIT_AND_LOSS[Id],$L17,PBC_PROFIT_AND_LOSS[Date],BB$5)</f>
        <v>5920.02</v>
      </c>
      <c r="BC17" s="116">
        <f>SUMIFS(PBC_PROFIT_AND_LOSS[AccountBalance], PBC_PROFIT_AND_LOSS[Id],$L17,PBC_PROFIT_AND_LOSS[Date],BC$5)</f>
        <v>6216.03</v>
      </c>
      <c r="BD17" s="116">
        <f>SUMIFS(PBC_PROFIT_AND_LOSS[AccountBalance], PBC_PROFIT_AND_LOSS[Id],$L17,PBC_PROFIT_AND_LOSS[Date],BD$5)</f>
        <v>6526.83</v>
      </c>
      <c r="BE17" s="117">
        <f t="shared" ref="BE17:BE20" si="52">AVERAGE(AY17:BD17) * (1 + $F17)</f>
        <v>6087.375</v>
      </c>
      <c r="BF17" s="117">
        <f>AVERAGE(AZ17:BE17) * (1 + $F17)</f>
        <v>6257.7156250000007</v>
      </c>
      <c r="BG17" s="117">
        <f t="shared" ref="BG17:BS17" si="53">AVERAGE(BA17:BF17) * (1 + $F17)</f>
        <v>6413.0658593749995</v>
      </c>
      <c r="BH17" s="117">
        <f t="shared" si="53"/>
        <v>6548.6813847656249</v>
      </c>
      <c r="BI17" s="117">
        <f t="shared" si="53"/>
        <v>6658.69712709961</v>
      </c>
      <c r="BJ17" s="117">
        <f t="shared" si="53"/>
        <v>6736.1638743420399</v>
      </c>
      <c r="BK17" s="117">
        <f t="shared" si="53"/>
        <v>6772.797302351898</v>
      </c>
      <c r="BL17" s="117">
        <f t="shared" si="53"/>
        <v>6892.746205263481</v>
      </c>
      <c r="BM17" s="117">
        <f t="shared" si="53"/>
        <v>7003.8765568095905</v>
      </c>
      <c r="BN17" s="117">
        <f t="shared" si="53"/>
        <v>7107.2684288606433</v>
      </c>
      <c r="BO17" s="117">
        <f t="shared" si="53"/>
        <v>7205.0211615772714</v>
      </c>
      <c r="BP17" s="117">
        <f t="shared" si="53"/>
        <v>7300.6278676108623</v>
      </c>
      <c r="BQ17" s="117">
        <f t="shared" si="53"/>
        <v>7399.409066432906</v>
      </c>
      <c r="BR17" s="117">
        <f t="shared" si="53"/>
        <v>7509.066125147081</v>
      </c>
      <c r="BS17" s="117">
        <f t="shared" si="53"/>
        <v>7616.9221111267134</v>
      </c>
    </row>
    <row r="18" spans="3:71" outlineLevel="2">
      <c r="D18" s="115" t="s">
        <v>163</v>
      </c>
      <c r="E18" s="18" t="s">
        <v>158</v>
      </c>
      <c r="F18" s="111">
        <v>0.05</v>
      </c>
      <c r="G18" s="15" t="str">
        <f>IFERROR(INDEX(PBC_ACCOUNT_LIST[Drivers Section],MATCH(Drivers!L18,PBC_ACCOUNT_LIST[Id],0)),"")</f>
        <v>COGS</v>
      </c>
      <c r="H18" s="15" t="str">
        <f>IFERROR(INDEX(PBC_ACCOUNT_LIST[Summary Grouping],MATCH(Drivers!L18,PBC_ACCOUNT_LIST[Id],0)),"")</f>
        <v>COGS</v>
      </c>
      <c r="I18" s="15"/>
      <c r="J18" s="15">
        <f>IFERROR(INDEX(PBC_ACCOUNT_LIST[Cash Flow Section],MATCH(Drivers!L18,PBC_ACCOUNT_LIST[Id],0)),"")</f>
        <v>0</v>
      </c>
      <c r="K18" s="16" t="s">
        <v>159</v>
      </c>
      <c r="L18" s="15">
        <v>165</v>
      </c>
      <c r="M18" s="14"/>
      <c r="P18" s="113">
        <f t="shared" si="50"/>
        <v>11253.66</v>
      </c>
      <c r="Q18" s="113">
        <f t="shared" si="50"/>
        <v>18217.350576250003</v>
      </c>
      <c r="R18" s="113">
        <f t="shared" si="50"/>
        <v>22884.007787870974</v>
      </c>
      <c r="S18" s="113"/>
      <c r="T18" s="113"/>
      <c r="U18" s="116">
        <f t="shared" si="51"/>
        <v>2369</v>
      </c>
      <c r="V18" s="116">
        <f t="shared" si="51"/>
        <v>2644.5</v>
      </c>
      <c r="W18" s="116">
        <f t="shared" si="51"/>
        <v>2991.5</v>
      </c>
      <c r="X18" s="116">
        <f t="shared" si="51"/>
        <v>3248.66</v>
      </c>
      <c r="Y18" s="116">
        <f t="shared" si="51"/>
        <v>3759.81</v>
      </c>
      <c r="Z18" s="116">
        <f t="shared" si="51"/>
        <v>4353.3599999999997</v>
      </c>
      <c r="AA18" s="116">
        <f t="shared" si="51"/>
        <v>5039.2</v>
      </c>
      <c r="AB18" s="116">
        <f t="shared" si="51"/>
        <v>5064.98057625</v>
      </c>
      <c r="AC18" s="116">
        <f t="shared" si="51"/>
        <v>5385.0270357500585</v>
      </c>
      <c r="AD18" s="116">
        <f t="shared" si="51"/>
        <v>5581.0291276980988</v>
      </c>
      <c r="AE18" s="116">
        <f t="shared" si="51"/>
        <v>5835.7847770834142</v>
      </c>
      <c r="AF18" s="116">
        <f t="shared" si="51"/>
        <v>6082.1668473394038</v>
      </c>
      <c r="AG18" s="116"/>
      <c r="AH18" s="113"/>
      <c r="AI18" s="116">
        <f>SUMIFS(PBC_PROFIT_AND_LOSS[AccountBalance], PBC_PROFIT_AND_LOSS[Id],$L18,PBC_PROFIT_AND_LOSS[Date],AI$5)</f>
        <v>807.5</v>
      </c>
      <c r="AJ18" s="116">
        <f>SUMIFS(PBC_PROFIT_AND_LOSS[AccountBalance], PBC_PROFIT_AND_LOSS[Id],$L18,PBC_PROFIT_AND_LOSS[Date],AJ$5)</f>
        <v>742</v>
      </c>
      <c r="AK18" s="116">
        <f>SUMIFS(PBC_PROFIT_AND_LOSS[AccountBalance], PBC_PROFIT_AND_LOSS[Id],$L18,PBC_PROFIT_AND_LOSS[Date],AK$5)</f>
        <v>848</v>
      </c>
      <c r="AL18" s="116">
        <f>SUMIFS(PBC_PROFIT_AND_LOSS[AccountBalance], PBC_PROFIT_AND_LOSS[Id],$L18,PBC_PROFIT_AND_LOSS[Date],AL$5)</f>
        <v>779</v>
      </c>
      <c r="AM18" s="116">
        <f>SUMIFS(PBC_PROFIT_AND_LOSS[AccountBalance], PBC_PROFIT_AND_LOSS[Id],$L18,PBC_PROFIT_AND_LOSS[Date],AM$5)</f>
        <v>890.5</v>
      </c>
      <c r="AN18" s="116">
        <f>SUMIFS(PBC_PROFIT_AND_LOSS[AccountBalance], PBC_PROFIT_AND_LOSS[Id],$L18,PBC_PROFIT_AND_LOSS[Date],AN$5)</f>
        <v>818.5</v>
      </c>
      <c r="AO18" s="116">
        <f>SUMIFS(PBC_PROFIT_AND_LOSS[AccountBalance], PBC_PROFIT_AND_LOSS[Id],$L18,PBC_PROFIT_AND_LOSS[Date],AO$5)</f>
        <v>935.5</v>
      </c>
      <c r="AP18" s="116">
        <f>SUMIFS(PBC_PROFIT_AND_LOSS[AccountBalance], PBC_PROFIT_AND_LOSS[Id],$L18,PBC_PROFIT_AND_LOSS[Date],AP$5)</f>
        <v>981</v>
      </c>
      <c r="AQ18" s="116">
        <f>SUMIFS(PBC_PROFIT_AND_LOSS[AccountBalance], PBC_PROFIT_AND_LOSS[Id],$L18,PBC_PROFIT_AND_LOSS[Date],AQ$5)</f>
        <v>980.5</v>
      </c>
      <c r="AR18" s="116">
        <f>SUMIFS(PBC_PROFIT_AND_LOSS[AccountBalance], PBC_PROFIT_AND_LOSS[Id],$L18,PBC_PROFIT_AND_LOSS[Date],AR$5)</f>
        <v>1030</v>
      </c>
      <c r="AS18" s="116">
        <f>SUMIFS(PBC_PROFIT_AND_LOSS[AccountBalance], PBC_PROFIT_AND_LOSS[Id],$L18,PBC_PROFIT_AND_LOSS[Date],AS$5)</f>
        <v>1030.33</v>
      </c>
      <c r="AT18" s="116">
        <f>SUMIFS(PBC_PROFIT_AND_LOSS[AccountBalance], PBC_PROFIT_AND_LOSS[Id],$L18,PBC_PROFIT_AND_LOSS[Date],AT$5)</f>
        <v>1082.33</v>
      </c>
      <c r="AU18" s="116">
        <f>SUMIFS(PBC_PROFIT_AND_LOSS[AccountBalance], PBC_PROFIT_AND_LOSS[Id],$L18,PBC_PROFIT_AND_LOSS[Date],AU$5)</f>
        <v>1136</v>
      </c>
      <c r="AV18" s="116">
        <f>SUMIFS(PBC_PROFIT_AND_LOSS[AccountBalance], PBC_PROFIT_AND_LOSS[Id],$L18,PBC_PROFIT_AND_LOSS[Date],AV$5)</f>
        <v>1192.81</v>
      </c>
      <c r="AW18" s="116">
        <f>SUMIFS(PBC_PROFIT_AND_LOSS[AccountBalance], PBC_PROFIT_AND_LOSS[Id],$L18,PBC_PROFIT_AND_LOSS[Date],AW$5)</f>
        <v>1252</v>
      </c>
      <c r="AX18" s="116">
        <f>SUMIFS(PBC_PROFIT_AND_LOSS[AccountBalance], PBC_PROFIT_AND_LOSS[Id],$L18,PBC_PROFIT_AND_LOSS[Date],AX$5)</f>
        <v>1315</v>
      </c>
      <c r="AY18" s="116">
        <f>SUMIFS(PBC_PROFIT_AND_LOSS[AccountBalance], PBC_PROFIT_AND_LOSS[Id],$L18,PBC_PROFIT_AND_LOSS[Date],AY$5)</f>
        <v>1381</v>
      </c>
      <c r="AZ18" s="116">
        <f>SUMIFS(PBC_PROFIT_AND_LOSS[AccountBalance], PBC_PROFIT_AND_LOSS[Id],$L18,PBC_PROFIT_AND_LOSS[Date],AZ$5)</f>
        <v>1450</v>
      </c>
      <c r="BA18" s="116">
        <f>SUMIFS(PBC_PROFIT_AND_LOSS[AccountBalance], PBC_PROFIT_AND_LOSS[Id],$L18,PBC_PROFIT_AND_LOSS[Date],BA$5)</f>
        <v>1522.36</v>
      </c>
      <c r="BB18" s="116">
        <f>SUMIFS(PBC_PROFIT_AND_LOSS[AccountBalance], PBC_PROFIT_AND_LOSS[Id],$L18,PBC_PROFIT_AND_LOSS[Date],BB$5)</f>
        <v>1598.48</v>
      </c>
      <c r="BC18" s="116">
        <f>SUMIFS(PBC_PROFIT_AND_LOSS[AccountBalance], PBC_PROFIT_AND_LOSS[Id],$L18,PBC_PROFIT_AND_LOSS[Date],BC$5)</f>
        <v>1678.4</v>
      </c>
      <c r="BD18" s="116">
        <f>SUMIFS(PBC_PROFIT_AND_LOSS[AccountBalance], PBC_PROFIT_AND_LOSS[Id],$L18,PBC_PROFIT_AND_LOSS[Date],BD$5)</f>
        <v>1762.32</v>
      </c>
      <c r="BE18" s="117">
        <f t="shared" si="52"/>
        <v>1643.6979999999999</v>
      </c>
      <c r="BF18" s="117">
        <f t="shared" ref="BF18:BF20" si="54">AVERAGE(AZ18:BE18) * (1 + $F18)</f>
        <v>1689.6701500000001</v>
      </c>
      <c r="BG18" s="117">
        <f t="shared" ref="BG18:BG20" si="55">AVERAGE(BA18:BF18) * (1 + $F18)</f>
        <v>1731.61242625</v>
      </c>
      <c r="BH18" s="117">
        <f t="shared" ref="BH18:BH20" si="56">AVERAGE(BB18:BG18) * (1 + $F18)</f>
        <v>1768.2316008437499</v>
      </c>
      <c r="BI18" s="117">
        <f t="shared" ref="BI18:BI20" si="57">AVERAGE(BC18:BH18) * (1 + $F18)</f>
        <v>1797.9381309914063</v>
      </c>
      <c r="BJ18" s="117">
        <f t="shared" ref="BJ18:BJ20" si="58">AVERAGE(BD18:BI18) * (1 + $F18)</f>
        <v>1818.8573039149023</v>
      </c>
      <c r="BK18" s="117">
        <f t="shared" ref="BK18:BK20" si="59">AVERAGE(BE18:BJ18) * (1 + $F18)</f>
        <v>1828.7513321000104</v>
      </c>
      <c r="BL18" s="117">
        <f t="shared" ref="BL18:BL20" si="60">AVERAGE(BF18:BK18) * (1 + $F18)</f>
        <v>1861.135665217512</v>
      </c>
      <c r="BM18" s="117">
        <f t="shared" ref="BM18:BM20" si="61">AVERAGE(BG18:BL18) * (1 + $F18)</f>
        <v>1891.1421303805769</v>
      </c>
      <c r="BN18" s="117">
        <f t="shared" ref="BN18:BN20" si="62">AVERAGE(BH18:BM18) * (1 + $F18)</f>
        <v>1919.0598286034276</v>
      </c>
      <c r="BO18" s="117">
        <f t="shared" ref="BO18:BO20" si="63">AVERAGE(BI18:BN18) * (1 + $F18)</f>
        <v>1945.4547684613715</v>
      </c>
      <c r="BP18" s="117">
        <f t="shared" ref="BP18:BP20" si="64">AVERAGE(BJ18:BO18) * (1 + $F18)</f>
        <v>1971.2701800186153</v>
      </c>
      <c r="BQ18" s="117">
        <f t="shared" ref="BQ18:BQ20" si="65">AVERAGE(BK18:BP18) * (1 + $F18)</f>
        <v>1997.9424333367649</v>
      </c>
      <c r="BR18" s="117">
        <f t="shared" ref="BR18:BR20" si="66">AVERAGE(BL18:BQ18) * (1 + $F18)</f>
        <v>2027.5508760531968</v>
      </c>
      <c r="BS18" s="117">
        <f t="shared" ref="BS18:BS20" si="67">AVERAGE(BM18:BR18) * (1 + $F18)</f>
        <v>2056.6735379494421</v>
      </c>
    </row>
    <row r="19" spans="3:71" outlineLevel="2">
      <c r="D19" s="115" t="s">
        <v>164</v>
      </c>
      <c r="E19" s="18" t="s">
        <v>158</v>
      </c>
      <c r="F19" s="111">
        <v>0.05</v>
      </c>
      <c r="G19" s="15" t="str">
        <f>IFERROR(INDEX(PBC_ACCOUNT_LIST[Drivers Section],MATCH(Drivers!L19,PBC_ACCOUNT_LIST[Id],0)),"")</f>
        <v>COGS</v>
      </c>
      <c r="H19" s="15" t="str">
        <f>IFERROR(INDEX(PBC_ACCOUNT_LIST[Summary Grouping],MATCH(Drivers!L19,PBC_ACCOUNT_LIST[Id],0)),"")</f>
        <v>COGS</v>
      </c>
      <c r="I19" s="15"/>
      <c r="J19" s="15">
        <f>IFERROR(INDEX(PBC_ACCOUNT_LIST[Cash Flow Section],MATCH(Drivers!L19,PBC_ACCOUNT_LIST[Id],0)),"")</f>
        <v>0</v>
      </c>
      <c r="K19" s="16" t="s">
        <v>159</v>
      </c>
      <c r="L19" s="15">
        <v>24</v>
      </c>
      <c r="M19" s="14"/>
      <c r="P19" s="113">
        <f t="shared" si="50"/>
        <v>0</v>
      </c>
      <c r="Q19" s="113">
        <f t="shared" si="50"/>
        <v>486.67031250000002</v>
      </c>
      <c r="R19" s="113">
        <f t="shared" si="50"/>
        <v>587.74613978176876</v>
      </c>
      <c r="S19" s="113"/>
      <c r="T19" s="113"/>
      <c r="U19" s="116">
        <f t="shared" si="51"/>
        <v>0</v>
      </c>
      <c r="V19" s="116">
        <f t="shared" si="51"/>
        <v>0</v>
      </c>
      <c r="W19" s="116">
        <f t="shared" si="51"/>
        <v>0</v>
      </c>
      <c r="X19" s="116">
        <f t="shared" si="51"/>
        <v>0</v>
      </c>
      <c r="Y19" s="116">
        <f t="shared" si="51"/>
        <v>0</v>
      </c>
      <c r="Z19" s="116">
        <f t="shared" si="51"/>
        <v>300</v>
      </c>
      <c r="AA19" s="116">
        <f t="shared" si="51"/>
        <v>0</v>
      </c>
      <c r="AB19" s="116">
        <f t="shared" si="51"/>
        <v>186.67031250000002</v>
      </c>
      <c r="AC19" s="116">
        <f t="shared" si="51"/>
        <v>116.15268522949222</v>
      </c>
      <c r="AD19" s="116">
        <f t="shared" si="51"/>
        <v>157.64875372783703</v>
      </c>
      <c r="AE19" s="116">
        <f t="shared" si="51"/>
        <v>151.21745987066754</v>
      </c>
      <c r="AF19" s="116">
        <f t="shared" si="51"/>
        <v>162.72724095377194</v>
      </c>
      <c r="AG19" s="116"/>
      <c r="AH19" s="113"/>
      <c r="AI19" s="116">
        <f>SUMIFS(PBC_PROFIT_AND_LOSS[AccountBalance], PBC_PROFIT_AND_LOSS[Id],$L19,PBC_PROFIT_AND_LOSS[Date],AI$5)</f>
        <v>0</v>
      </c>
      <c r="AJ19" s="116">
        <f>SUMIFS(PBC_PROFIT_AND_LOSS[AccountBalance], PBC_PROFIT_AND_LOSS[Id],$L19,PBC_PROFIT_AND_LOSS[Date],AJ$5)</f>
        <v>0</v>
      </c>
      <c r="AK19" s="116">
        <f>SUMIFS(PBC_PROFIT_AND_LOSS[AccountBalance], PBC_PROFIT_AND_LOSS[Id],$L19,PBC_PROFIT_AND_LOSS[Date],AK$5)</f>
        <v>0</v>
      </c>
      <c r="AL19" s="116">
        <f>SUMIFS(PBC_PROFIT_AND_LOSS[AccountBalance], PBC_PROFIT_AND_LOSS[Id],$L19,PBC_PROFIT_AND_LOSS[Date],AL$5)</f>
        <v>0</v>
      </c>
      <c r="AM19" s="116">
        <f>SUMIFS(PBC_PROFIT_AND_LOSS[AccountBalance], PBC_PROFIT_AND_LOSS[Id],$L19,PBC_PROFIT_AND_LOSS[Date],AM$5)</f>
        <v>0</v>
      </c>
      <c r="AN19" s="116">
        <f>SUMIFS(PBC_PROFIT_AND_LOSS[AccountBalance], PBC_PROFIT_AND_LOSS[Id],$L19,PBC_PROFIT_AND_LOSS[Date],AN$5)</f>
        <v>0</v>
      </c>
      <c r="AO19" s="116">
        <f>SUMIFS(PBC_PROFIT_AND_LOSS[AccountBalance], PBC_PROFIT_AND_LOSS[Id],$L19,PBC_PROFIT_AND_LOSS[Date],AO$5)</f>
        <v>0</v>
      </c>
      <c r="AP19" s="116">
        <f>SUMIFS(PBC_PROFIT_AND_LOSS[AccountBalance], PBC_PROFIT_AND_LOSS[Id],$L19,PBC_PROFIT_AND_LOSS[Date],AP$5)</f>
        <v>0</v>
      </c>
      <c r="AQ19" s="116">
        <f>SUMIFS(PBC_PROFIT_AND_LOSS[AccountBalance], PBC_PROFIT_AND_LOSS[Id],$L19,PBC_PROFIT_AND_LOSS[Date],AQ$5)</f>
        <v>0</v>
      </c>
      <c r="AR19" s="116">
        <f>SUMIFS(PBC_PROFIT_AND_LOSS[AccountBalance], PBC_PROFIT_AND_LOSS[Id],$L19,PBC_PROFIT_AND_LOSS[Date],AR$5)</f>
        <v>0</v>
      </c>
      <c r="AS19" s="116">
        <f>SUMIFS(PBC_PROFIT_AND_LOSS[AccountBalance], PBC_PROFIT_AND_LOSS[Id],$L19,PBC_PROFIT_AND_LOSS[Date],AS$5)</f>
        <v>0</v>
      </c>
      <c r="AT19" s="116">
        <f>SUMIFS(PBC_PROFIT_AND_LOSS[AccountBalance], PBC_PROFIT_AND_LOSS[Id],$L19,PBC_PROFIT_AND_LOSS[Date],AT$5)</f>
        <v>0</v>
      </c>
      <c r="AU19" s="116">
        <f>SUMIFS(PBC_PROFIT_AND_LOSS[AccountBalance], PBC_PROFIT_AND_LOSS[Id],$L19,PBC_PROFIT_AND_LOSS[Date],AU$5)</f>
        <v>0</v>
      </c>
      <c r="AV19" s="116">
        <f>SUMIFS(PBC_PROFIT_AND_LOSS[AccountBalance], PBC_PROFIT_AND_LOSS[Id],$L19,PBC_PROFIT_AND_LOSS[Date],AV$5)</f>
        <v>0</v>
      </c>
      <c r="AW19" s="116">
        <f>SUMIFS(PBC_PROFIT_AND_LOSS[AccountBalance], PBC_PROFIT_AND_LOSS[Id],$L19,PBC_PROFIT_AND_LOSS[Date],AW$5)</f>
        <v>0</v>
      </c>
      <c r="AX19" s="116">
        <f>SUMIFS(PBC_PROFIT_AND_LOSS[AccountBalance], PBC_PROFIT_AND_LOSS[Id],$L19,PBC_PROFIT_AND_LOSS[Date],AX$5)</f>
        <v>0</v>
      </c>
      <c r="AY19" s="116">
        <f>SUMIFS(PBC_PROFIT_AND_LOSS[AccountBalance], PBC_PROFIT_AND_LOSS[Id],$L19,PBC_PROFIT_AND_LOSS[Date],AY$5)</f>
        <v>0</v>
      </c>
      <c r="AZ19" s="116">
        <f>SUMIFS(PBC_PROFIT_AND_LOSS[AccountBalance], PBC_PROFIT_AND_LOSS[Id],$L19,PBC_PROFIT_AND_LOSS[Date],AZ$5)</f>
        <v>0</v>
      </c>
      <c r="BA19" s="116">
        <f>SUMIFS(PBC_PROFIT_AND_LOSS[AccountBalance], PBC_PROFIT_AND_LOSS[Id],$L19,PBC_PROFIT_AND_LOSS[Date],BA$5)</f>
        <v>300</v>
      </c>
      <c r="BB19" s="116">
        <f>SUMIFS(PBC_PROFIT_AND_LOSS[AccountBalance], PBC_PROFIT_AND_LOSS[Id],$L19,PBC_PROFIT_AND_LOSS[Date],BB$5)</f>
        <v>0</v>
      </c>
      <c r="BC19" s="116">
        <f>SUMIFS(PBC_PROFIT_AND_LOSS[AccountBalance], PBC_PROFIT_AND_LOSS[Id],$L19,PBC_PROFIT_AND_LOSS[Date],BC$5)</f>
        <v>0</v>
      </c>
      <c r="BD19" s="116">
        <f>SUMIFS(PBC_PROFIT_AND_LOSS[AccountBalance], PBC_PROFIT_AND_LOSS[Id],$L19,PBC_PROFIT_AND_LOSS[Date],BD$5)</f>
        <v>0</v>
      </c>
      <c r="BE19" s="117">
        <f t="shared" si="52"/>
        <v>52.5</v>
      </c>
      <c r="BF19" s="117">
        <f t="shared" si="54"/>
        <v>61.6875</v>
      </c>
      <c r="BG19" s="117">
        <f t="shared" si="55"/>
        <v>72.482812500000009</v>
      </c>
      <c r="BH19" s="117">
        <f t="shared" si="56"/>
        <v>32.667304687500007</v>
      </c>
      <c r="BI19" s="117">
        <f t="shared" si="57"/>
        <v>38.384083007812507</v>
      </c>
      <c r="BJ19" s="117">
        <f t="shared" si="58"/>
        <v>45.1012975341797</v>
      </c>
      <c r="BK19" s="117">
        <f t="shared" si="59"/>
        <v>52.994024602661149</v>
      </c>
      <c r="BL19" s="117">
        <f t="shared" si="60"/>
        <v>53.08047890812685</v>
      </c>
      <c r="BM19" s="117">
        <f t="shared" si="61"/>
        <v>51.574250217049041</v>
      </c>
      <c r="BN19" s="117">
        <f t="shared" si="62"/>
        <v>47.915251817532621</v>
      </c>
      <c r="BO19" s="117">
        <f t="shared" si="63"/>
        <v>50.583642565288329</v>
      </c>
      <c r="BP19" s="117">
        <f t="shared" si="64"/>
        <v>52.718565487846597</v>
      </c>
      <c r="BQ19" s="117">
        <f t="shared" si="65"/>
        <v>54.051587379738308</v>
      </c>
      <c r="BR19" s="117">
        <f t="shared" si="66"/>
        <v>54.236660865726819</v>
      </c>
      <c r="BS19" s="117">
        <f t="shared" si="67"/>
        <v>54.438992708306806</v>
      </c>
    </row>
    <row r="20" spans="3:71" ht="14.45" customHeight="1" outlineLevel="2">
      <c r="D20" s="115" t="s">
        <v>165</v>
      </c>
      <c r="E20" s="18" t="s">
        <v>158</v>
      </c>
      <c r="F20" s="111">
        <v>0.05</v>
      </c>
      <c r="G20" s="15" t="str">
        <f>IFERROR(INDEX(PBC_ACCOUNT_LIST[Drivers Section],MATCH(Drivers!L20,PBC_ACCOUNT_LIST[Id],0)),"")</f>
        <v>COGS</v>
      </c>
      <c r="H20" s="15" t="str">
        <f>IFERROR(INDEX(PBC_ACCOUNT_LIST[Summary Grouping],MATCH(Drivers!L20,PBC_ACCOUNT_LIST[Id],0)),"")</f>
        <v>COGS</v>
      </c>
      <c r="I20" s="15"/>
      <c r="J20" s="15">
        <f>IFERROR(INDEX(PBC_ACCOUNT_LIST[Cash Flow Section],MATCH(Drivers!L20,PBC_ACCOUNT_LIST[Id],0)),"")</f>
        <v>0</v>
      </c>
      <c r="K20" s="16" t="s">
        <v>159</v>
      </c>
      <c r="L20" s="15">
        <v>207</v>
      </c>
      <c r="M20" s="14"/>
      <c r="P20" s="113">
        <f t="shared" si="50"/>
        <v>0</v>
      </c>
      <c r="Q20" s="113">
        <f t="shared" si="50"/>
        <v>-1622.234375</v>
      </c>
      <c r="R20" s="113">
        <f t="shared" si="50"/>
        <v>-2698.7435517361459</v>
      </c>
      <c r="S20" s="113"/>
      <c r="T20" s="113"/>
      <c r="U20" s="116">
        <f t="shared" si="51"/>
        <v>0</v>
      </c>
      <c r="V20" s="116">
        <f t="shared" si="51"/>
        <v>0</v>
      </c>
      <c r="W20" s="116">
        <f t="shared" si="51"/>
        <v>0</v>
      </c>
      <c r="X20" s="116">
        <f t="shared" si="51"/>
        <v>0</v>
      </c>
      <c r="Y20" s="116">
        <f t="shared" si="51"/>
        <v>0</v>
      </c>
      <c r="Z20" s="116">
        <f t="shared" si="51"/>
        <v>0</v>
      </c>
      <c r="AA20" s="116">
        <f t="shared" si="51"/>
        <v>-1000</v>
      </c>
      <c r="AB20" s="116">
        <f t="shared" si="51"/>
        <v>-622.234375</v>
      </c>
      <c r="AC20" s="116">
        <f t="shared" si="51"/>
        <v>-628.7849924316406</v>
      </c>
      <c r="AD20" s="116">
        <f t="shared" si="51"/>
        <v>-675.83350420672218</v>
      </c>
      <c r="AE20" s="116">
        <f t="shared" si="51"/>
        <v>-675.97236695905508</v>
      </c>
      <c r="AF20" s="116">
        <f t="shared" si="51"/>
        <v>-718.15268813872797</v>
      </c>
      <c r="AG20" s="116"/>
      <c r="AH20" s="113"/>
      <c r="AI20" s="116">
        <f>SUMIFS(PBC_PROFIT_AND_LOSS[AccountBalance], PBC_PROFIT_AND_LOSS[Id],$L20,PBC_PROFIT_AND_LOSS[Date],AI$5)</f>
        <v>0</v>
      </c>
      <c r="AJ20" s="116">
        <f>SUMIFS(PBC_PROFIT_AND_LOSS[AccountBalance], PBC_PROFIT_AND_LOSS[Id],$L20,PBC_PROFIT_AND_LOSS[Date],AJ$5)</f>
        <v>0</v>
      </c>
      <c r="AK20" s="116">
        <f>SUMIFS(PBC_PROFIT_AND_LOSS[AccountBalance], PBC_PROFIT_AND_LOSS[Id],$L20,PBC_PROFIT_AND_LOSS[Date],AK$5)</f>
        <v>0</v>
      </c>
      <c r="AL20" s="116">
        <f>SUMIFS(PBC_PROFIT_AND_LOSS[AccountBalance], PBC_PROFIT_AND_LOSS[Id],$L20,PBC_PROFIT_AND_LOSS[Date],AL$5)</f>
        <v>0</v>
      </c>
      <c r="AM20" s="116">
        <f>SUMIFS(PBC_PROFIT_AND_LOSS[AccountBalance], PBC_PROFIT_AND_LOSS[Id],$L20,PBC_PROFIT_AND_LOSS[Date],AM$5)</f>
        <v>0</v>
      </c>
      <c r="AN20" s="116">
        <f>SUMIFS(PBC_PROFIT_AND_LOSS[AccountBalance], PBC_PROFIT_AND_LOSS[Id],$L20,PBC_PROFIT_AND_LOSS[Date],AN$5)</f>
        <v>0</v>
      </c>
      <c r="AO20" s="116">
        <f>SUMIFS(PBC_PROFIT_AND_LOSS[AccountBalance], PBC_PROFIT_AND_LOSS[Id],$L20,PBC_PROFIT_AND_LOSS[Date],AO$5)</f>
        <v>0</v>
      </c>
      <c r="AP20" s="116">
        <f>SUMIFS(PBC_PROFIT_AND_LOSS[AccountBalance], PBC_PROFIT_AND_LOSS[Id],$L20,PBC_PROFIT_AND_LOSS[Date],AP$5)</f>
        <v>0</v>
      </c>
      <c r="AQ20" s="116">
        <f>SUMIFS(PBC_PROFIT_AND_LOSS[AccountBalance], PBC_PROFIT_AND_LOSS[Id],$L20,PBC_PROFIT_AND_LOSS[Date],AQ$5)</f>
        <v>0</v>
      </c>
      <c r="AR20" s="116">
        <f>SUMIFS(PBC_PROFIT_AND_LOSS[AccountBalance], PBC_PROFIT_AND_LOSS[Id],$L20,PBC_PROFIT_AND_LOSS[Date],AR$5)</f>
        <v>0</v>
      </c>
      <c r="AS20" s="116">
        <f>SUMIFS(PBC_PROFIT_AND_LOSS[AccountBalance], PBC_PROFIT_AND_LOSS[Id],$L20,PBC_PROFIT_AND_LOSS[Date],AS$5)</f>
        <v>0</v>
      </c>
      <c r="AT20" s="116">
        <f>SUMIFS(PBC_PROFIT_AND_LOSS[AccountBalance], PBC_PROFIT_AND_LOSS[Id],$L20,PBC_PROFIT_AND_LOSS[Date],AT$5)</f>
        <v>0</v>
      </c>
      <c r="AU20" s="116">
        <f>SUMIFS(PBC_PROFIT_AND_LOSS[AccountBalance], PBC_PROFIT_AND_LOSS[Id],$L20,PBC_PROFIT_AND_LOSS[Date],AU$5)</f>
        <v>0</v>
      </c>
      <c r="AV20" s="116">
        <f>SUMIFS(PBC_PROFIT_AND_LOSS[AccountBalance], PBC_PROFIT_AND_LOSS[Id],$L20,PBC_PROFIT_AND_LOSS[Date],AV$5)</f>
        <v>0</v>
      </c>
      <c r="AW20" s="116">
        <f>SUMIFS(PBC_PROFIT_AND_LOSS[AccountBalance], PBC_PROFIT_AND_LOSS[Id],$L20,PBC_PROFIT_AND_LOSS[Date],AW$5)</f>
        <v>0</v>
      </c>
      <c r="AX20" s="116">
        <f>SUMIFS(PBC_PROFIT_AND_LOSS[AccountBalance], PBC_PROFIT_AND_LOSS[Id],$L20,PBC_PROFIT_AND_LOSS[Date],AX$5)</f>
        <v>0</v>
      </c>
      <c r="AY20" s="116">
        <f>SUMIFS(PBC_PROFIT_AND_LOSS[AccountBalance], PBC_PROFIT_AND_LOSS[Id],$L20,PBC_PROFIT_AND_LOSS[Date],AY$5)</f>
        <v>0</v>
      </c>
      <c r="AZ20" s="116">
        <f>SUMIFS(PBC_PROFIT_AND_LOSS[AccountBalance], PBC_PROFIT_AND_LOSS[Id],$L20,PBC_PROFIT_AND_LOSS[Date],AZ$5)</f>
        <v>0</v>
      </c>
      <c r="BA20" s="116">
        <f>SUMIFS(PBC_PROFIT_AND_LOSS[AccountBalance], PBC_PROFIT_AND_LOSS[Id],$L20,PBC_PROFIT_AND_LOSS[Date],BA$5)</f>
        <v>0</v>
      </c>
      <c r="BB20" s="116">
        <f>SUMIFS(PBC_PROFIT_AND_LOSS[AccountBalance], PBC_PROFIT_AND_LOSS[Id],$L20,PBC_PROFIT_AND_LOSS[Date],BB$5)</f>
        <v>-1000</v>
      </c>
      <c r="BC20" s="116">
        <f>SUMIFS(PBC_PROFIT_AND_LOSS[AccountBalance], PBC_PROFIT_AND_LOSS[Id],$L20,PBC_PROFIT_AND_LOSS[Date],BC$5)</f>
        <v>0</v>
      </c>
      <c r="BD20" s="116">
        <f>SUMIFS(PBC_PROFIT_AND_LOSS[AccountBalance], PBC_PROFIT_AND_LOSS[Id],$L20,PBC_PROFIT_AND_LOSS[Date],BD$5)</f>
        <v>0</v>
      </c>
      <c r="BE20" s="117">
        <f t="shared" si="52"/>
        <v>-175</v>
      </c>
      <c r="BF20" s="117">
        <f t="shared" si="54"/>
        <v>-205.62500000000003</v>
      </c>
      <c r="BG20" s="117">
        <f t="shared" si="55"/>
        <v>-241.609375</v>
      </c>
      <c r="BH20" s="117">
        <f t="shared" si="56"/>
        <v>-283.89101562499997</v>
      </c>
      <c r="BI20" s="117">
        <f t="shared" si="57"/>
        <v>-158.57194335937501</v>
      </c>
      <c r="BJ20" s="117">
        <f t="shared" si="58"/>
        <v>-186.3220334472656</v>
      </c>
      <c r="BK20" s="117">
        <f t="shared" si="59"/>
        <v>-218.92838930053708</v>
      </c>
      <c r="BL20" s="117">
        <f t="shared" si="60"/>
        <v>-226.61585742813108</v>
      </c>
      <c r="BM20" s="117">
        <f t="shared" si="61"/>
        <v>-230.289257478054</v>
      </c>
      <c r="BN20" s="117">
        <f t="shared" si="62"/>
        <v>-228.30823691171349</v>
      </c>
      <c r="BO20" s="117">
        <f t="shared" si="63"/>
        <v>-218.58125063688837</v>
      </c>
      <c r="BP20" s="117">
        <f t="shared" si="64"/>
        <v>-229.08287941045319</v>
      </c>
      <c r="BQ20" s="117">
        <f t="shared" si="65"/>
        <v>-236.56602745401105</v>
      </c>
      <c r="BR20" s="117">
        <f t="shared" si="66"/>
        <v>-239.65261413086893</v>
      </c>
      <c r="BS20" s="117">
        <f t="shared" si="67"/>
        <v>-241.93404655384805</v>
      </c>
    </row>
    <row r="21" spans="3:71" outlineLevel="1">
      <c r="E21" s="18"/>
      <c r="F21" s="17"/>
      <c r="G21" s="15"/>
      <c r="H21" s="15"/>
      <c r="I21" s="15"/>
      <c r="J21" s="15"/>
      <c r="K21" s="16"/>
      <c r="L21" s="15"/>
      <c r="M21" s="14"/>
    </row>
    <row r="22" spans="3:71" outlineLevel="1">
      <c r="C22" s="21" t="s">
        <v>36</v>
      </c>
      <c r="D22" s="20"/>
      <c r="E22" s="18"/>
      <c r="F22" s="17"/>
      <c r="G22" s="15"/>
      <c r="H22" s="15"/>
      <c r="I22" s="15"/>
      <c r="J22" s="15"/>
      <c r="K22" s="16"/>
      <c r="L22" s="15"/>
      <c r="M22" s="14"/>
      <c r="O22" s="9"/>
      <c r="P22" s="19">
        <f>P10-P15</f>
        <v>541123.34</v>
      </c>
      <c r="Q22" s="19">
        <f>Q10-Q15</f>
        <v>832155.0396396874</v>
      </c>
      <c r="R22" s="19">
        <f>R10-R15</f>
        <v>1045303.8313204763</v>
      </c>
      <c r="S22" s="9"/>
      <c r="T22" s="9"/>
      <c r="U22" s="19">
        <f t="shared" ref="U22:AF22" si="68">U10-U15</f>
        <v>129970</v>
      </c>
      <c r="V22" s="19">
        <f t="shared" si="68"/>
        <v>131277.5</v>
      </c>
      <c r="W22" s="19">
        <f t="shared" si="68"/>
        <v>134215.5</v>
      </c>
      <c r="X22" s="19">
        <f t="shared" si="68"/>
        <v>145660.34</v>
      </c>
      <c r="Y22" s="19">
        <f t="shared" si="68"/>
        <v>168621.8</v>
      </c>
      <c r="Z22" s="19">
        <f t="shared" si="68"/>
        <v>203598.49</v>
      </c>
      <c r="AA22" s="19">
        <f t="shared" si="68"/>
        <v>226967.29</v>
      </c>
      <c r="AB22" s="19">
        <f t="shared" si="68"/>
        <v>232967.45963968753</v>
      </c>
      <c r="AC22" s="19">
        <f t="shared" si="68"/>
        <v>245352.88595783242</v>
      </c>
      <c r="AD22" s="19">
        <f t="shared" si="68"/>
        <v>255350.2726757818</v>
      </c>
      <c r="AE22" s="19">
        <f t="shared" si="68"/>
        <v>266594.07327706611</v>
      </c>
      <c r="AF22" s="19">
        <f t="shared" si="68"/>
        <v>278006.59940979606</v>
      </c>
      <c r="AH22" s="9"/>
      <c r="AI22" s="19">
        <f t="shared" ref="AI22:BD22" si="69">AI10-AI15</f>
        <v>36202.5</v>
      </c>
      <c r="AJ22" s="19">
        <f t="shared" si="69"/>
        <v>44857.5</v>
      </c>
      <c r="AK22" s="19">
        <f t="shared" si="69"/>
        <v>38012</v>
      </c>
      <c r="AL22" s="19">
        <f t="shared" si="69"/>
        <v>47100.5</v>
      </c>
      <c r="AM22" s="19">
        <f t="shared" si="69"/>
        <v>39913.5</v>
      </c>
      <c r="AN22" s="19">
        <f t="shared" si="69"/>
        <v>49455.5</v>
      </c>
      <c r="AO22" s="19">
        <f t="shared" si="69"/>
        <v>41908.5</v>
      </c>
      <c r="AP22" s="19">
        <f t="shared" si="69"/>
        <v>44005</v>
      </c>
      <c r="AQ22" s="19">
        <f t="shared" si="69"/>
        <v>44005.5</v>
      </c>
      <c r="AR22" s="19">
        <f t="shared" si="69"/>
        <v>46205</v>
      </c>
      <c r="AS22" s="19">
        <f t="shared" si="69"/>
        <v>46204.67</v>
      </c>
      <c r="AT22" s="19">
        <f t="shared" si="69"/>
        <v>48514.67</v>
      </c>
      <c r="AU22" s="19">
        <f t="shared" si="69"/>
        <v>50941</v>
      </c>
      <c r="AV22" s="19">
        <f t="shared" si="69"/>
        <v>53487.8</v>
      </c>
      <c r="AW22" s="19">
        <f t="shared" si="69"/>
        <v>56163</v>
      </c>
      <c r="AX22" s="19">
        <f t="shared" si="69"/>
        <v>58971</v>
      </c>
      <c r="AY22" s="19">
        <f t="shared" si="69"/>
        <v>61919</v>
      </c>
      <c r="AZ22" s="19">
        <f t="shared" si="69"/>
        <v>65014</v>
      </c>
      <c r="BA22" s="19">
        <f t="shared" si="69"/>
        <v>76665.490000000005</v>
      </c>
      <c r="BB22" s="19">
        <f t="shared" si="69"/>
        <v>72678.759999999995</v>
      </c>
      <c r="BC22" s="19">
        <f t="shared" si="69"/>
        <v>75262.700000000012</v>
      </c>
      <c r="BD22" s="19">
        <f t="shared" si="69"/>
        <v>79025.83</v>
      </c>
      <c r="BE22" s="19">
        <f t="shared" ref="BE22" si="70">BE10-BE15</f>
        <v>75349.011499999993</v>
      </c>
      <c r="BF22" s="19">
        <f t="shared" ref="BF22:BS22" si="71">BF10-BF15</f>
        <v>77699.263512499994</v>
      </c>
      <c r="BG22" s="19">
        <f t="shared" si="71"/>
        <v>79919.184627187511</v>
      </c>
      <c r="BH22" s="19">
        <f t="shared" si="71"/>
        <v>80488.581186945317</v>
      </c>
      <c r="BI22" s="19">
        <f t="shared" si="71"/>
        <v>81855.29989466074</v>
      </c>
      <c r="BJ22" s="19">
        <f t="shared" si="71"/>
        <v>83009.004876226376</v>
      </c>
      <c r="BK22" s="19">
        <f t="shared" si="71"/>
        <v>83706.060479565989</v>
      </c>
      <c r="BL22" s="19">
        <f t="shared" si="71"/>
        <v>85168.544050990036</v>
      </c>
      <c r="BM22" s="19">
        <f t="shared" si="71"/>
        <v>86475.668145225805</v>
      </c>
      <c r="BN22" s="19">
        <f t="shared" si="71"/>
        <v>87623.052760882507</v>
      </c>
      <c r="BO22" s="19">
        <f t="shared" si="71"/>
        <v>88871.585286321497</v>
      </c>
      <c r="BP22" s="19">
        <f t="shared" si="71"/>
        <v>90099.435229862109</v>
      </c>
      <c r="BQ22" s="19">
        <f t="shared" si="71"/>
        <v>91340.260541748401</v>
      </c>
      <c r="BR22" s="19">
        <f t="shared" si="71"/>
        <v>92676.245552630338</v>
      </c>
      <c r="BS22" s="19">
        <f t="shared" si="71"/>
        <v>93990.093315417354</v>
      </c>
    </row>
    <row r="23" spans="3:71" ht="14.45" customHeight="1" outlineLevel="2">
      <c r="C23" s="21"/>
      <c r="D23" s="26" t="s">
        <v>166</v>
      </c>
      <c r="E23" s="18"/>
      <c r="F23" s="17"/>
      <c r="G23" s="15"/>
      <c r="H23" s="15"/>
      <c r="I23" s="15"/>
      <c r="J23" s="15"/>
      <c r="K23" s="16"/>
      <c r="L23" s="15"/>
      <c r="M23" s="14"/>
      <c r="O23" s="9"/>
      <c r="P23" s="39">
        <f>IFERROR(P22/P10,0)</f>
        <v>0.91037666871356582</v>
      </c>
      <c r="Q23" s="39">
        <f>IFERROR(Q22/Q10,0)</f>
        <v>0.90776694974137606</v>
      </c>
      <c r="R23" s="39">
        <f>IFERROR(R22/R10,0)</f>
        <v>0.90830577924403288</v>
      </c>
      <c r="S23" s="39"/>
      <c r="T23" s="39"/>
      <c r="U23" s="39">
        <f t="shared" ref="U23:AF23" si="72">IFERROR(U22/U10,0)</f>
        <v>0.91958170600554712</v>
      </c>
      <c r="V23" s="39">
        <f t="shared" si="72"/>
        <v>0.91273317620229577</v>
      </c>
      <c r="W23" s="39">
        <f t="shared" si="72"/>
        <v>0.90508189977813891</v>
      </c>
      <c r="X23" s="39">
        <f t="shared" si="72"/>
        <v>0.90506552171940924</v>
      </c>
      <c r="Y23" s="39">
        <f t="shared" si="72"/>
        <v>0.90507388817244971</v>
      </c>
      <c r="Z23" s="39">
        <f t="shared" si="72"/>
        <v>0.90740690642501887</v>
      </c>
      <c r="AA23" s="39">
        <f t="shared" si="72"/>
        <v>0.90907142514117778</v>
      </c>
      <c r="AB23" s="39">
        <f t="shared" si="72"/>
        <v>0.90876881659987618</v>
      </c>
      <c r="AC23" s="39">
        <f t="shared" si="72"/>
        <v>0.90814655505943498</v>
      </c>
      <c r="AD23" s="39">
        <f t="shared" si="72"/>
        <v>0.90845299496178167</v>
      </c>
      <c r="AE23" s="39">
        <f t="shared" si="72"/>
        <v>0.90827156958697786</v>
      </c>
      <c r="AF23" s="39">
        <f t="shared" si="72"/>
        <v>0.90834393791254731</v>
      </c>
      <c r="AG23" s="41"/>
      <c r="AH23" s="40"/>
      <c r="AI23" s="39">
        <f t="shared" ref="AI23:BD23" si="73">IFERROR(AI22/AI10,0)</f>
        <v>0.90506249999999999</v>
      </c>
      <c r="AJ23" s="39">
        <f t="shared" si="73"/>
        <v>0.92572719862144393</v>
      </c>
      <c r="AK23" s="39">
        <f t="shared" si="73"/>
        <v>0.9050476190476191</v>
      </c>
      <c r="AL23" s="39">
        <f t="shared" si="73"/>
        <v>0.92572647136862585</v>
      </c>
      <c r="AM23" s="39">
        <f t="shared" si="73"/>
        <v>0.90506802721088431</v>
      </c>
      <c r="AN23" s="39">
        <f t="shared" si="73"/>
        <v>0.9257169062593591</v>
      </c>
      <c r="AO23" s="39">
        <f t="shared" si="73"/>
        <v>0.90505344995140913</v>
      </c>
      <c r="AP23" s="39">
        <f t="shared" si="73"/>
        <v>0.90508021390374327</v>
      </c>
      <c r="AQ23" s="39">
        <f t="shared" si="73"/>
        <v>0.90509049773755657</v>
      </c>
      <c r="AR23" s="39">
        <f t="shared" si="73"/>
        <v>0.90507531684002274</v>
      </c>
      <c r="AS23" s="39">
        <f t="shared" si="73"/>
        <v>0.90506885271591153</v>
      </c>
      <c r="AT23" s="39">
        <f t="shared" si="73"/>
        <v>0.90505689873890005</v>
      </c>
      <c r="AU23" s="39">
        <f t="shared" si="73"/>
        <v>0.9050707128135882</v>
      </c>
      <c r="AV23" s="39">
        <f t="shared" si="73"/>
        <v>0.90506617627400621</v>
      </c>
      <c r="AW23" s="39">
        <f t="shared" si="73"/>
        <v>0.90508114031553677</v>
      </c>
      <c r="AX23" s="39">
        <f t="shared" si="73"/>
        <v>0.90507397630302655</v>
      </c>
      <c r="AY23" s="39">
        <f t="shared" si="73"/>
        <v>0.90506329113924056</v>
      </c>
      <c r="AZ23" s="39">
        <f t="shared" si="73"/>
        <v>0.9050588857644013</v>
      </c>
      <c r="BA23" s="39">
        <f t="shared" si="73"/>
        <v>0.91131775360212786</v>
      </c>
      <c r="BB23" s="39">
        <f t="shared" si="73"/>
        <v>0.9176928595762025</v>
      </c>
      <c r="BC23" s="39">
        <f t="shared" si="73"/>
        <v>0.90506610798136022</v>
      </c>
      <c r="BD23" s="39">
        <f t="shared" si="73"/>
        <v>0.90506611809336734</v>
      </c>
      <c r="BE23" s="39">
        <f t="shared" ref="BE23" si="74">IFERROR(BE22/BE10,0)</f>
        <v>0.90828357592788878</v>
      </c>
      <c r="BF23" s="39">
        <f t="shared" ref="BF23:BS23" si="75">IFERROR(BF22/BF10,0)</f>
        <v>0.90873449377378901</v>
      </c>
      <c r="BG23" s="39">
        <f t="shared" si="75"/>
        <v>0.90926018946871057</v>
      </c>
      <c r="BH23" s="39">
        <f t="shared" si="75"/>
        <v>0.90891812181810183</v>
      </c>
      <c r="BI23" s="39">
        <f t="shared" si="75"/>
        <v>0.90756973173262934</v>
      </c>
      <c r="BJ23" s="39">
        <f t="shared" si="75"/>
        <v>0.9079682535115251</v>
      </c>
      <c r="BK23" s="39">
        <f t="shared" si="75"/>
        <v>0.90844952305562165</v>
      </c>
      <c r="BL23" s="39">
        <f t="shared" si="75"/>
        <v>0.90847522096242939</v>
      </c>
      <c r="BM23" s="39">
        <f t="shared" si="75"/>
        <v>0.90843446655418658</v>
      </c>
      <c r="BN23" s="39">
        <f t="shared" si="75"/>
        <v>0.90830280847021294</v>
      </c>
      <c r="BO23" s="39">
        <f t="shared" si="75"/>
        <v>0.9082053622430637</v>
      </c>
      <c r="BP23" s="39">
        <f t="shared" si="75"/>
        <v>0.90830650154195458</v>
      </c>
      <c r="BQ23" s="39">
        <f t="shared" si="75"/>
        <v>0.90836031907383796</v>
      </c>
      <c r="BR23" s="39">
        <f t="shared" si="75"/>
        <v>0.90834622094832174</v>
      </c>
      <c r="BS23" s="39">
        <f t="shared" si="75"/>
        <v>0.90832576811414334</v>
      </c>
    </row>
    <row r="24" spans="3:71" outlineLevel="1">
      <c r="C24" s="21"/>
      <c r="D24" s="26"/>
      <c r="E24" s="18"/>
      <c r="F24" s="17"/>
      <c r="G24" s="15"/>
      <c r="H24" s="15"/>
      <c r="I24" s="15"/>
      <c r="J24" s="15"/>
      <c r="K24" s="16"/>
      <c r="L24" s="15"/>
      <c r="M24" s="14"/>
      <c r="O24" s="9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5"/>
      <c r="AH24" s="9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</row>
    <row r="25" spans="3:71" outlineLevel="1">
      <c r="C25" s="21" t="s">
        <v>167</v>
      </c>
      <c r="D25" s="20"/>
      <c r="E25" s="18"/>
      <c r="F25" s="17"/>
      <c r="G25" s="15"/>
      <c r="H25" s="15"/>
      <c r="I25" s="15"/>
      <c r="J25" s="15"/>
      <c r="K25" s="16"/>
      <c r="L25" s="15"/>
      <c r="M25" s="14"/>
      <c r="O25" s="9"/>
      <c r="P25" s="19">
        <f>SUM(P26:P50)</f>
        <v>1836654.34</v>
      </c>
      <c r="Q25" s="19">
        <f>SUM(Q26:Q50)</f>
        <v>3135703.4810762503</v>
      </c>
      <c r="R25" s="19">
        <f>SUM(R26:R50)</f>
        <v>3938807.8375143362</v>
      </c>
      <c r="S25" s="9"/>
      <c r="T25" s="9"/>
      <c r="U25" s="19">
        <f t="shared" ref="U25:AF25" si="76">SUM(U26:U50)</f>
        <v>342976.5</v>
      </c>
      <c r="V25" s="19">
        <f t="shared" si="76"/>
        <v>419934.5</v>
      </c>
      <c r="W25" s="19">
        <f t="shared" si="76"/>
        <v>514914.5</v>
      </c>
      <c r="X25" s="19">
        <f t="shared" si="76"/>
        <v>558828.84000000008</v>
      </c>
      <c r="Y25" s="19">
        <f t="shared" si="76"/>
        <v>646917.29</v>
      </c>
      <c r="Z25" s="19">
        <f t="shared" si="76"/>
        <v>749887.28000000014</v>
      </c>
      <c r="AA25" s="19">
        <f t="shared" si="76"/>
        <v>866929.27999999991</v>
      </c>
      <c r="AB25" s="19">
        <f t="shared" si="76"/>
        <v>871969.63107625023</v>
      </c>
      <c r="AC25" s="19">
        <f t="shared" si="76"/>
        <v>926801.02330296114</v>
      </c>
      <c r="AD25" s="19">
        <f t="shared" si="76"/>
        <v>960656.72056848952</v>
      </c>
      <c r="AE25" s="19">
        <f t="shared" si="76"/>
        <v>1004462.7245072833</v>
      </c>
      <c r="AF25" s="19">
        <f t="shared" si="76"/>
        <v>1046887.369135603</v>
      </c>
      <c r="AH25" s="9"/>
      <c r="AI25" s="19">
        <f t="shared" ref="AI25:BD25" si="77">IF(AI$5&lt;=LatestMonthOfActuals,SUMIFS(AI26:AI50,$K26:$K50,"Account"),SUMIFS(AI26:AI50,$K26:$K50,"&lt;&gt;Sub-Account"))</f>
        <v>138892</v>
      </c>
      <c r="AJ25" s="19">
        <f t="shared" si="77"/>
        <v>96166.5</v>
      </c>
      <c r="AK25" s="19">
        <f t="shared" si="77"/>
        <v>145836</v>
      </c>
      <c r="AL25" s="19">
        <f t="shared" si="77"/>
        <v>100974</v>
      </c>
      <c r="AM25" s="19">
        <f t="shared" si="77"/>
        <v>153128</v>
      </c>
      <c r="AN25" s="19">
        <f t="shared" si="77"/>
        <v>106022</v>
      </c>
      <c r="AO25" s="19">
        <f t="shared" si="77"/>
        <v>160784.5</v>
      </c>
      <c r="AP25" s="19">
        <f t="shared" si="77"/>
        <v>168825</v>
      </c>
      <c r="AQ25" s="19">
        <f t="shared" si="77"/>
        <v>168824.5</v>
      </c>
      <c r="AR25" s="19">
        <f t="shared" si="77"/>
        <v>177265</v>
      </c>
      <c r="AS25" s="19">
        <f t="shared" si="77"/>
        <v>177265.67</v>
      </c>
      <c r="AT25" s="19">
        <f t="shared" si="77"/>
        <v>186128.67</v>
      </c>
      <c r="AU25" s="19">
        <f t="shared" si="77"/>
        <v>195434.5</v>
      </c>
      <c r="AV25" s="19">
        <f t="shared" si="77"/>
        <v>205207.28999999995</v>
      </c>
      <c r="AW25" s="19">
        <f t="shared" si="77"/>
        <v>215468</v>
      </c>
      <c r="AX25" s="19">
        <f t="shared" si="77"/>
        <v>226242</v>
      </c>
      <c r="AY25" s="19">
        <f t="shared" si="77"/>
        <v>237553</v>
      </c>
      <c r="AZ25" s="19">
        <f t="shared" si="77"/>
        <v>249432</v>
      </c>
      <c r="BA25" s="19">
        <f t="shared" si="77"/>
        <v>262902.28000000003</v>
      </c>
      <c r="BB25" s="19">
        <f t="shared" si="77"/>
        <v>274997.38999999996</v>
      </c>
      <c r="BC25" s="19">
        <f t="shared" si="77"/>
        <v>288747.27</v>
      </c>
      <c r="BD25" s="19">
        <f t="shared" si="77"/>
        <v>303184.62000000005</v>
      </c>
      <c r="BE25" s="19">
        <f t="shared" ref="BE25" si="78">IF(BE$5&lt;=LatestMonthOfActuals,SUMIFS(BE26:BE50,$K26:$K50,"Account"),SUMIFS(BE26:BE50,$K26:$K50,"&lt;&gt;Sub-Account"))</f>
        <v>282942.89799999999</v>
      </c>
      <c r="BF25" s="19">
        <f t="shared" ref="BF25:BS25" si="79">IF(BF$5&lt;=LatestMonthOfActuals,SUMIFS(BF26:BF50,$K26:$K50,"Account"),SUMIFS(BF26:BF50,$K26:$K50,"&lt;&gt;Sub-Account"))</f>
        <v>290886.13014999992</v>
      </c>
      <c r="BG25" s="19">
        <f t="shared" si="79"/>
        <v>298140.60292625002</v>
      </c>
      <c r="BH25" s="19">
        <f t="shared" si="79"/>
        <v>304307.3094383438</v>
      </c>
      <c r="BI25" s="19">
        <f t="shared" si="79"/>
        <v>309436.54534005391</v>
      </c>
      <c r="BJ25" s="19">
        <f t="shared" si="79"/>
        <v>313057.16852456337</v>
      </c>
      <c r="BK25" s="19">
        <f t="shared" si="79"/>
        <v>314784.86451636202</v>
      </c>
      <c r="BL25" s="19">
        <f t="shared" si="79"/>
        <v>320357.20865672524</v>
      </c>
      <c r="BM25" s="19">
        <f t="shared" si="79"/>
        <v>325514.64739540213</v>
      </c>
      <c r="BN25" s="19">
        <f t="shared" si="79"/>
        <v>330305.10517750389</v>
      </c>
      <c r="BO25" s="19">
        <f t="shared" si="79"/>
        <v>334854.71943185688</v>
      </c>
      <c r="BP25" s="19">
        <f t="shared" si="79"/>
        <v>339302.8998979223</v>
      </c>
      <c r="BQ25" s="19">
        <f t="shared" si="79"/>
        <v>343895.90288826026</v>
      </c>
      <c r="BR25" s="19">
        <f t="shared" si="79"/>
        <v>348990.33460334246</v>
      </c>
      <c r="BS25" s="19">
        <f t="shared" si="79"/>
        <v>354001.13164400047</v>
      </c>
    </row>
    <row r="26" spans="3:71" ht="6" customHeight="1" outlineLevel="2">
      <c r="C26" s="21"/>
      <c r="D26" s="26"/>
      <c r="E26" s="18"/>
      <c r="F26" s="17"/>
      <c r="G26" s="15"/>
      <c r="H26" s="15"/>
      <c r="I26" s="15"/>
      <c r="J26" s="15"/>
      <c r="K26" s="16"/>
      <c r="L26" s="15"/>
      <c r="M26" s="14"/>
      <c r="O26" s="9"/>
      <c r="P26" s="27"/>
      <c r="Q26" s="27"/>
      <c r="R26" s="27"/>
      <c r="S26" s="24"/>
      <c r="T26" s="24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5"/>
      <c r="AH26" s="9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</row>
    <row r="27" spans="3:71" outlineLevel="2">
      <c r="C27" s="21"/>
      <c r="D27" s="26" t="s">
        <v>168</v>
      </c>
      <c r="E27" s="18" t="s">
        <v>158</v>
      </c>
      <c r="F27" s="111">
        <v>0.05</v>
      </c>
      <c r="G27" s="15" t="str">
        <f>IFERROR(INDEX(PBC_ACCOUNT_LIST[Drivers Section],MATCH(Drivers!L27,PBC_ACCOUNT_LIST[Id],0)),"")</f>
        <v>Opex</v>
      </c>
      <c r="H27" s="15" t="str">
        <f>IFERROR(INDEX(PBC_ACCOUNT_LIST[Summary Grouping],MATCH(Drivers!L27,PBC_ACCOUNT_LIST[Id],0)),"")</f>
        <v>Marketing &amp; Advertising</v>
      </c>
      <c r="I27" s="15"/>
      <c r="J27" s="15">
        <f>IFERROR(INDEX(PBC_ACCOUNT_LIST[Cash Flow Section],MATCH(Drivers!L27,PBC_ACCOUNT_LIST[Id],0)),"")</f>
        <v>0</v>
      </c>
      <c r="K27" s="16" t="s">
        <v>159</v>
      </c>
      <c r="L27" s="15">
        <v>200</v>
      </c>
      <c r="M27" s="14"/>
      <c r="O27" s="9"/>
      <c r="P27" s="27">
        <f t="shared" ref="P27:R49" si="80">SUMIFS($AI27:$BS27,$AI$4:$BS$4,"&gt;="&amp;P$4,$AI$5:$BS$5,"&lt;="&amp;P$5)</f>
        <v>212414</v>
      </c>
      <c r="Q27" s="27">
        <f t="shared" si="80"/>
        <v>356884.76196953125</v>
      </c>
      <c r="R27" s="27">
        <f t="shared" si="80"/>
        <v>448296.77997107885</v>
      </c>
      <c r="S27" s="27"/>
      <c r="T27" s="27"/>
      <c r="U27" s="27">
        <f t="shared" ref="U27:AF36" si="81">SUMIFS($AI27:$BS27,$AI$4:$BS$4,"&gt;="&amp;U$4,$AI$5:$BS$5,"&lt;="&amp;U$5)</f>
        <v>41182</v>
      </c>
      <c r="V27" s="27">
        <f t="shared" si="81"/>
        <v>48962</v>
      </c>
      <c r="W27" s="27">
        <f t="shared" si="81"/>
        <v>58634</v>
      </c>
      <c r="X27" s="27">
        <f t="shared" si="81"/>
        <v>63636</v>
      </c>
      <c r="Y27" s="27">
        <f t="shared" si="81"/>
        <v>73666.37</v>
      </c>
      <c r="Z27" s="27">
        <f t="shared" si="81"/>
        <v>85277.35</v>
      </c>
      <c r="AA27" s="27">
        <f t="shared" si="81"/>
        <v>98719</v>
      </c>
      <c r="AB27" s="27">
        <f t="shared" si="81"/>
        <v>99222.041969531259</v>
      </c>
      <c r="AC27" s="27">
        <f t="shared" si="81"/>
        <v>105492.59316801005</v>
      </c>
      <c r="AD27" s="27">
        <f t="shared" si="81"/>
        <v>109332.04439034857</v>
      </c>
      <c r="AE27" s="27">
        <f t="shared" si="81"/>
        <v>114322.76717991522</v>
      </c>
      <c r="AF27" s="27">
        <f t="shared" si="81"/>
        <v>119149.37523280497</v>
      </c>
      <c r="AG27" s="112"/>
      <c r="AH27" s="113"/>
      <c r="AI27" s="27">
        <f>SUMIFS(PBC_PROFIT_AND_LOSS[AccountBalance], PBC_PROFIT_AND_LOSS[Id],$L27,PBC_PROFIT_AND_LOSS[Date],AI$5)</f>
        <v>15816</v>
      </c>
      <c r="AJ27" s="27">
        <f>SUMIFS(PBC_PROFIT_AND_LOSS[AccountBalance], PBC_PROFIT_AND_LOSS[Id],$L27,PBC_PROFIT_AND_LOSS[Date],AJ$5)</f>
        <v>11988</v>
      </c>
      <c r="AK27" s="27">
        <f>SUMIFS(PBC_PROFIT_AND_LOSS[AccountBalance], PBC_PROFIT_AND_LOSS[Id],$L27,PBC_PROFIT_AND_LOSS[Date],AK$5)</f>
        <v>16607</v>
      </c>
      <c r="AL27" s="27">
        <f>SUMIFS(PBC_PROFIT_AND_LOSS[AccountBalance], PBC_PROFIT_AND_LOSS[Id],$L27,PBC_PROFIT_AND_LOSS[Date],AL$5)</f>
        <v>12587</v>
      </c>
      <c r="AM27" s="27">
        <f>SUMIFS(PBC_PROFIT_AND_LOSS[AccountBalance], PBC_PROFIT_AND_LOSS[Id],$L27,PBC_PROFIT_AND_LOSS[Date],AM$5)</f>
        <v>17437</v>
      </c>
      <c r="AN27" s="27">
        <f>SUMIFS(PBC_PROFIT_AND_LOSS[AccountBalance], PBC_PROFIT_AND_LOSS[Id],$L27,PBC_PROFIT_AND_LOSS[Date],AN$5)</f>
        <v>13216</v>
      </c>
      <c r="AO27" s="27">
        <f>SUMIFS(PBC_PROFIT_AND_LOSS[AccountBalance], PBC_PROFIT_AND_LOSS[Id],$L27,PBC_PROFIT_AND_LOSS[Date],AO$5)</f>
        <v>18309</v>
      </c>
      <c r="AP27" s="27">
        <f>SUMIFS(PBC_PROFIT_AND_LOSS[AccountBalance], PBC_PROFIT_AND_LOSS[Id],$L27,PBC_PROFIT_AND_LOSS[Date],AP$5)</f>
        <v>19224</v>
      </c>
      <c r="AQ27" s="27">
        <f>SUMIFS(PBC_PROFIT_AND_LOSS[AccountBalance], PBC_PROFIT_AND_LOSS[Id],$L27,PBC_PROFIT_AND_LOSS[Date],AQ$5)</f>
        <v>19224</v>
      </c>
      <c r="AR27" s="27">
        <f>SUMIFS(PBC_PROFIT_AND_LOSS[AccountBalance], PBC_PROFIT_AND_LOSS[Id],$L27,PBC_PROFIT_AND_LOSS[Date],AR$5)</f>
        <v>20186</v>
      </c>
      <c r="AS27" s="27">
        <f>SUMIFS(PBC_PROFIT_AND_LOSS[AccountBalance], PBC_PROFIT_AND_LOSS[Id],$L27,PBC_PROFIT_AND_LOSS[Date],AS$5)</f>
        <v>20186</v>
      </c>
      <c r="AT27" s="27">
        <f>SUMIFS(PBC_PROFIT_AND_LOSS[AccountBalance], PBC_PROFIT_AND_LOSS[Id],$L27,PBC_PROFIT_AND_LOSS[Date],AT$5)</f>
        <v>21195</v>
      </c>
      <c r="AU27" s="27">
        <f>SUMIFS(PBC_PROFIT_AND_LOSS[AccountBalance], PBC_PROFIT_AND_LOSS[Id],$L27,PBC_PROFIT_AND_LOSS[Date],AU$5)</f>
        <v>22255</v>
      </c>
      <c r="AV27" s="27">
        <f>SUMIFS(PBC_PROFIT_AND_LOSS[AccountBalance], PBC_PROFIT_AND_LOSS[Id],$L27,PBC_PROFIT_AND_LOSS[Date],AV$5)</f>
        <v>23367.37</v>
      </c>
      <c r="AW27" s="27">
        <f>SUMIFS(PBC_PROFIT_AND_LOSS[AccountBalance], PBC_PROFIT_AND_LOSS[Id],$L27,PBC_PROFIT_AND_LOSS[Date],AW$5)</f>
        <v>24536</v>
      </c>
      <c r="AX27" s="27">
        <f>SUMIFS(PBC_PROFIT_AND_LOSS[AccountBalance], PBC_PROFIT_AND_LOSS[Id],$L27,PBC_PROFIT_AND_LOSS[Date],AX$5)</f>
        <v>25763</v>
      </c>
      <c r="AY27" s="27">
        <f>SUMIFS(PBC_PROFIT_AND_LOSS[AccountBalance], PBC_PROFIT_AND_LOSS[Id],$L27,PBC_PROFIT_AND_LOSS[Date],AY$5)</f>
        <v>27051</v>
      </c>
      <c r="AZ27" s="27">
        <f>SUMIFS(PBC_PROFIT_AND_LOSS[AccountBalance], PBC_PROFIT_AND_LOSS[Id],$L27,PBC_PROFIT_AND_LOSS[Date],AZ$5)</f>
        <v>28403</v>
      </c>
      <c r="BA27" s="27">
        <f>SUMIFS(PBC_PROFIT_AND_LOSS[AccountBalance], PBC_PROFIT_AND_LOSS[Id],$L27,PBC_PROFIT_AND_LOSS[Date],BA$5)</f>
        <v>29823.35</v>
      </c>
      <c r="BB27" s="27">
        <f>SUMIFS(PBC_PROFIT_AND_LOSS[AccountBalance], PBC_PROFIT_AND_LOSS[Id],$L27,PBC_PROFIT_AND_LOSS[Date],BB$5)</f>
        <v>31314.51</v>
      </c>
      <c r="BC27" s="27">
        <f>SUMIFS(PBC_PROFIT_AND_LOSS[AccountBalance], PBC_PROFIT_AND_LOSS[Id],$L27,PBC_PROFIT_AND_LOSS[Date],BC$5)</f>
        <v>32880.239999999998</v>
      </c>
      <c r="BD27" s="27">
        <f>SUMIFS(PBC_PROFIT_AND_LOSS[AccountBalance], PBC_PROFIT_AND_LOSS[Id],$L27,PBC_PROFIT_AND_LOSS[Date],BD$5)</f>
        <v>34524.25</v>
      </c>
      <c r="BE27" s="114">
        <f t="shared" ref="BE27:BE49" si="82">AVERAGE(AY27:BD27) * (1 + $F27)</f>
        <v>32199.361250000002</v>
      </c>
      <c r="BF27" s="114">
        <f>AVERAGE(AZ27:BE27) * (1 + $F27)</f>
        <v>33100.324468750005</v>
      </c>
      <c r="BG27" s="114">
        <f t="shared" ref="BG27:BS27" si="83">AVERAGE(BA27:BF27) * (1 + $F27)</f>
        <v>33922.356250781253</v>
      </c>
      <c r="BH27" s="114">
        <f t="shared" si="83"/>
        <v>34639.68234466797</v>
      </c>
      <c r="BI27" s="114">
        <f t="shared" si="83"/>
        <v>35221.587504984862</v>
      </c>
      <c r="BJ27" s="114">
        <f t="shared" si="83"/>
        <v>35631.323318357216</v>
      </c>
      <c r="BK27" s="114">
        <f t="shared" si="83"/>
        <v>35825.061149069734</v>
      </c>
      <c r="BL27" s="114">
        <f t="shared" si="83"/>
        <v>36459.558631406937</v>
      </c>
      <c r="BM27" s="114">
        <f t="shared" si="83"/>
        <v>37047.424609871894</v>
      </c>
      <c r="BN27" s="114">
        <f t="shared" si="83"/>
        <v>37594.311572712766</v>
      </c>
      <c r="BO27" s="114">
        <f t="shared" si="83"/>
        <v>38111.371687620602</v>
      </c>
      <c r="BP27" s="114">
        <f t="shared" si="83"/>
        <v>38617.083919581848</v>
      </c>
      <c r="BQ27" s="114">
        <f t="shared" si="83"/>
        <v>39139.592024796162</v>
      </c>
      <c r="BR27" s="114">
        <f t="shared" si="83"/>
        <v>39719.634928048283</v>
      </c>
      <c r="BS27" s="114">
        <f t="shared" si="83"/>
        <v>40290.148279960529</v>
      </c>
    </row>
    <row r="28" spans="3:71" outlineLevel="2">
      <c r="C28" s="21"/>
      <c r="D28" s="26" t="s">
        <v>169</v>
      </c>
      <c r="E28" s="18" t="s">
        <v>158</v>
      </c>
      <c r="F28" s="111">
        <v>0.05</v>
      </c>
      <c r="G28" s="15" t="str">
        <f>IFERROR(INDEX(PBC_ACCOUNT_LIST[Drivers Section],MATCH(Drivers!L28,PBC_ACCOUNT_LIST[Id],0)),"")</f>
        <v>Opex</v>
      </c>
      <c r="H28" s="15" t="str">
        <f>IFERROR(INDEX(PBC_ACCOUNT_LIST[Summary Grouping],MATCH(Drivers!L28,PBC_ACCOUNT_LIST[Id],0)),"")</f>
        <v>Office &amp; Other G&amp;A</v>
      </c>
      <c r="I28" s="15"/>
      <c r="J28" s="15">
        <f>IFERROR(INDEX(PBC_ACCOUNT_LIST[Cash Flow Section],MATCH(Drivers!L28,PBC_ACCOUNT_LIST[Id],0)),"")</f>
        <v>0</v>
      </c>
      <c r="K28" s="16" t="s">
        <v>159</v>
      </c>
      <c r="L28" s="15">
        <v>166</v>
      </c>
      <c r="M28" s="14"/>
      <c r="O28" s="9"/>
      <c r="P28" s="27">
        <f t="shared" si="80"/>
        <v>14737.66</v>
      </c>
      <c r="Q28" s="27">
        <f t="shared" si="80"/>
        <v>24565.472264375003</v>
      </c>
      <c r="R28" s="27">
        <f t="shared" si="80"/>
        <v>30854.729348508248</v>
      </c>
      <c r="S28" s="27"/>
      <c r="T28" s="27"/>
      <c r="U28" s="27">
        <f t="shared" si="81"/>
        <v>2912.5</v>
      </c>
      <c r="V28" s="27">
        <f t="shared" si="81"/>
        <v>3412.5</v>
      </c>
      <c r="W28" s="27">
        <f t="shared" si="81"/>
        <v>4034.5</v>
      </c>
      <c r="X28" s="27">
        <f t="shared" si="81"/>
        <v>4378.16</v>
      </c>
      <c r="Y28" s="27">
        <f t="shared" si="81"/>
        <v>5072.28</v>
      </c>
      <c r="Z28" s="27">
        <f t="shared" si="81"/>
        <v>5869.62</v>
      </c>
      <c r="AA28" s="27">
        <f t="shared" si="81"/>
        <v>6794.42</v>
      </c>
      <c r="AB28" s="27">
        <f t="shared" si="81"/>
        <v>6829.1522643750013</v>
      </c>
      <c r="AC28" s="27">
        <f t="shared" si="81"/>
        <v>7260.6861919407129</v>
      </c>
      <c r="AD28" s="27">
        <f t="shared" si="81"/>
        <v>7524.9542219665746</v>
      </c>
      <c r="AE28" s="27">
        <f t="shared" si="81"/>
        <v>7868.4448861741203</v>
      </c>
      <c r="AF28" s="27">
        <f t="shared" si="81"/>
        <v>8200.6440484268423</v>
      </c>
      <c r="AG28" s="112"/>
      <c r="AH28" s="113"/>
      <c r="AI28" s="27">
        <f>SUMIFS(PBC_PROFIT_AND_LOSS[AccountBalance], PBC_PROFIT_AND_LOSS[Id],$L28,PBC_PROFIT_AND_LOSS[Date],AI$5)</f>
        <v>1088.5</v>
      </c>
      <c r="AJ28" s="27">
        <f>SUMIFS(PBC_PROFIT_AND_LOSS[AccountBalance], PBC_PROFIT_AND_LOSS[Id],$L28,PBC_PROFIT_AND_LOSS[Date],AJ$5)</f>
        <v>863.5</v>
      </c>
      <c r="AK28" s="27">
        <f>SUMIFS(PBC_PROFIT_AND_LOSS[AccountBalance], PBC_PROFIT_AND_LOSS[Id],$L28,PBC_PROFIT_AND_LOSS[Date],AK$5)</f>
        <v>1143</v>
      </c>
      <c r="AL28" s="27">
        <f>SUMIFS(PBC_PROFIT_AND_LOSS[AccountBalance], PBC_PROFIT_AND_LOSS[Id],$L28,PBC_PROFIT_AND_LOSS[Date],AL$5)</f>
        <v>906</v>
      </c>
      <c r="AM28" s="27">
        <f>SUMIFS(PBC_PROFIT_AND_LOSS[AccountBalance], PBC_PROFIT_AND_LOSS[Id],$L28,PBC_PROFIT_AND_LOSS[Date],AM$5)</f>
        <v>1200</v>
      </c>
      <c r="AN28" s="27">
        <f>SUMIFS(PBC_PROFIT_AND_LOSS[AccountBalance], PBC_PROFIT_AND_LOSS[Id],$L28,PBC_PROFIT_AND_LOSS[Date],AN$5)</f>
        <v>952</v>
      </c>
      <c r="AO28" s="27">
        <f>SUMIFS(PBC_PROFIT_AND_LOSS[AccountBalance], PBC_PROFIT_AND_LOSS[Id],$L28,PBC_PROFIT_AND_LOSS[Date],AO$5)</f>
        <v>1260.5</v>
      </c>
      <c r="AP28" s="27">
        <f>SUMIFS(PBC_PROFIT_AND_LOSS[AccountBalance], PBC_PROFIT_AND_LOSS[Id],$L28,PBC_PROFIT_AND_LOSS[Date],AP$5)</f>
        <v>1323</v>
      </c>
      <c r="AQ28" s="27">
        <f>SUMIFS(PBC_PROFIT_AND_LOSS[AccountBalance], PBC_PROFIT_AND_LOSS[Id],$L28,PBC_PROFIT_AND_LOSS[Date],AQ$5)</f>
        <v>1322.5</v>
      </c>
      <c r="AR28" s="27">
        <f>SUMIFS(PBC_PROFIT_AND_LOSS[AccountBalance], PBC_PROFIT_AND_LOSS[Id],$L28,PBC_PROFIT_AND_LOSS[Date],AR$5)</f>
        <v>1389</v>
      </c>
      <c r="AS28" s="27">
        <f>SUMIFS(PBC_PROFIT_AND_LOSS[AccountBalance], PBC_PROFIT_AND_LOSS[Id],$L28,PBC_PROFIT_AND_LOSS[Date],AS$5)</f>
        <v>1389.33</v>
      </c>
      <c r="AT28" s="27">
        <f>SUMIFS(PBC_PROFIT_AND_LOSS[AccountBalance], PBC_PROFIT_AND_LOSS[Id],$L28,PBC_PROFIT_AND_LOSS[Date],AT$5)</f>
        <v>1459.33</v>
      </c>
      <c r="AU28" s="27">
        <f>SUMIFS(PBC_PROFIT_AND_LOSS[AccountBalance], PBC_PROFIT_AND_LOSS[Id],$L28,PBC_PROFIT_AND_LOSS[Date],AU$5)</f>
        <v>1529.5</v>
      </c>
      <c r="AV28" s="27">
        <f>SUMIFS(PBC_PROFIT_AND_LOSS[AccountBalance], PBC_PROFIT_AND_LOSS[Id],$L28,PBC_PROFIT_AND_LOSS[Date],AV$5)</f>
        <v>1608.28</v>
      </c>
      <c r="AW28" s="27">
        <f>SUMIFS(PBC_PROFIT_AND_LOSS[AccountBalance], PBC_PROFIT_AND_LOSS[Id],$L28,PBC_PROFIT_AND_LOSS[Date],AW$5)</f>
        <v>1691</v>
      </c>
      <c r="AX28" s="27">
        <f>SUMIFS(PBC_PROFIT_AND_LOSS[AccountBalance], PBC_PROFIT_AND_LOSS[Id],$L28,PBC_PROFIT_AND_LOSS[Date],AX$5)</f>
        <v>1773</v>
      </c>
      <c r="AY28" s="27">
        <f>SUMIFS(PBC_PROFIT_AND_LOSS[AccountBalance], PBC_PROFIT_AND_LOSS[Id],$L28,PBC_PROFIT_AND_LOSS[Date],AY$5)</f>
        <v>1862</v>
      </c>
      <c r="AZ28" s="27">
        <f>SUMIFS(PBC_PROFIT_AND_LOSS[AccountBalance], PBC_PROFIT_AND_LOSS[Id],$L28,PBC_PROFIT_AND_LOSS[Date],AZ$5)</f>
        <v>1955</v>
      </c>
      <c r="BA28" s="27">
        <f>SUMIFS(PBC_PROFIT_AND_LOSS[AccountBalance], PBC_PROFIT_AND_LOSS[Id],$L28,PBC_PROFIT_AND_LOSS[Date],BA$5)</f>
        <v>2052.62</v>
      </c>
      <c r="BB28" s="27">
        <f>SUMIFS(PBC_PROFIT_AND_LOSS[AccountBalance], PBC_PROFIT_AND_LOSS[Id],$L28,PBC_PROFIT_AND_LOSS[Date],BB$5)</f>
        <v>2155.25</v>
      </c>
      <c r="BC28" s="27">
        <f>SUMIFS(PBC_PROFIT_AND_LOSS[AccountBalance], PBC_PROFIT_AND_LOSS[Id],$L28,PBC_PROFIT_AND_LOSS[Date],BC$5)</f>
        <v>2263.0100000000002</v>
      </c>
      <c r="BD28" s="27">
        <f>SUMIFS(PBC_PROFIT_AND_LOSS[AccountBalance], PBC_PROFIT_AND_LOSS[Id],$L28,PBC_PROFIT_AND_LOSS[Date],BD$5)</f>
        <v>2376.16</v>
      </c>
      <c r="BE28" s="114">
        <f t="shared" si="82"/>
        <v>2216.2070000000003</v>
      </c>
      <c r="BF28" s="114">
        <f t="shared" ref="BF28:BF49" si="84">AVERAGE(AZ28:BE28) * (1 + $F28)</f>
        <v>2278.193225</v>
      </c>
      <c r="BG28" s="114">
        <f t="shared" ref="BG28:BG49" si="85">AVERAGE(BA28:BF28) * (1 + $F28)</f>
        <v>2334.7520393750005</v>
      </c>
      <c r="BH28" s="114">
        <f t="shared" ref="BH28:BH49" si="86">AVERAGE(BB28:BG28) * (1 + $F28)</f>
        <v>2384.1251462656251</v>
      </c>
      <c r="BI28" s="114">
        <f t="shared" ref="BI28:BI49" si="87">AVERAGE(BC28:BH28) * (1 + $F28)</f>
        <v>2424.1782968621096</v>
      </c>
      <c r="BJ28" s="114">
        <f t="shared" ref="BJ28:BJ49" si="88">AVERAGE(BD28:BI28) * (1 + $F28)</f>
        <v>2452.3827488129787</v>
      </c>
      <c r="BK28" s="114">
        <f t="shared" ref="BK28:BK49" si="89">AVERAGE(BE28:BJ28) * (1 + $F28)</f>
        <v>2465.72172985525</v>
      </c>
      <c r="BL28" s="114">
        <f t="shared" ref="BL28:BL49" si="90">AVERAGE(BF28:BK28) * (1 + $F28)</f>
        <v>2509.3868075799192</v>
      </c>
      <c r="BM28" s="114">
        <f t="shared" ref="BM28:BM49" si="91">AVERAGE(BG28:BL28) * (1 + $F28)</f>
        <v>2549.8456845314045</v>
      </c>
      <c r="BN28" s="114">
        <f t="shared" ref="BN28:BN49" si="92">AVERAGE(BH28:BM28) * (1 + $F28)</f>
        <v>2587.4870724337752</v>
      </c>
      <c r="BO28" s="114">
        <f t="shared" ref="BO28:BO49" si="93">AVERAGE(BI28:BN28) * (1 + $F28)</f>
        <v>2623.075409513202</v>
      </c>
      <c r="BP28" s="114">
        <f t="shared" ref="BP28:BP49" si="94">AVERAGE(BJ28:BO28) * (1 + $F28)</f>
        <v>2657.8824042271426</v>
      </c>
      <c r="BQ28" s="114">
        <f t="shared" ref="BQ28:BQ49" si="95">AVERAGE(BK28:BP28) * (1 + $F28)</f>
        <v>2693.8448439246213</v>
      </c>
      <c r="BR28" s="114">
        <f t="shared" ref="BR28:BR49" si="96">AVERAGE(BL28:BQ28) * (1 + $F28)</f>
        <v>2733.7663888867614</v>
      </c>
      <c r="BS28" s="114">
        <f t="shared" ref="BS28:BS49" si="97">AVERAGE(BM28:BR28) * (1 + $F28)</f>
        <v>2773.0328156154587</v>
      </c>
    </row>
    <row r="29" spans="3:71" outlineLevel="2">
      <c r="C29" s="21"/>
      <c r="D29" s="26" t="s">
        <v>170</v>
      </c>
      <c r="E29" s="18" t="s">
        <v>158</v>
      </c>
      <c r="F29" s="111">
        <v>0.05</v>
      </c>
      <c r="G29" s="15" t="str">
        <f>IFERROR(INDEX(PBC_ACCOUNT_LIST[Drivers Section],MATCH(Drivers!L29,PBC_ACCOUNT_LIST[Id],0)),"")</f>
        <v>Opex</v>
      </c>
      <c r="H29" s="15" t="str">
        <f>IFERROR(INDEX(PBC_ACCOUNT_LIST[Summary Grouping],MATCH(Drivers!L29,PBC_ACCOUNT_LIST[Id],0)),"")</f>
        <v>Marketing &amp; Advertising</v>
      </c>
      <c r="I29" s="15"/>
      <c r="J29" s="15">
        <f>IFERROR(INDEX(PBC_ACCOUNT_LIST[Cash Flow Section],MATCH(Drivers!L29,PBC_ACCOUNT_LIST[Id],0)),"")</f>
        <v>0</v>
      </c>
      <c r="K29" s="16" t="s">
        <v>159</v>
      </c>
      <c r="L29" s="15">
        <v>167</v>
      </c>
      <c r="M29" s="14"/>
      <c r="O29" s="9"/>
      <c r="P29" s="27">
        <f t="shared" si="80"/>
        <v>339253</v>
      </c>
      <c r="Q29" s="27">
        <f t="shared" si="80"/>
        <v>590267.45172015624</v>
      </c>
      <c r="R29" s="27">
        <f t="shared" si="80"/>
        <v>741460.23959272623</v>
      </c>
      <c r="S29" s="27"/>
      <c r="T29" s="27"/>
      <c r="U29" s="27">
        <f t="shared" si="81"/>
        <v>60265</v>
      </c>
      <c r="V29" s="27">
        <f t="shared" si="81"/>
        <v>76761</v>
      </c>
      <c r="W29" s="27">
        <f t="shared" si="81"/>
        <v>96978</v>
      </c>
      <c r="X29" s="27">
        <f t="shared" si="81"/>
        <v>105249</v>
      </c>
      <c r="Y29" s="27">
        <f t="shared" si="81"/>
        <v>121839.5</v>
      </c>
      <c r="Z29" s="27">
        <f t="shared" si="81"/>
        <v>141043.37</v>
      </c>
      <c r="AA29" s="27">
        <f t="shared" si="81"/>
        <v>163276.46000000002</v>
      </c>
      <c r="AB29" s="27">
        <f t="shared" si="81"/>
        <v>164108.12172015628</v>
      </c>
      <c r="AC29" s="27">
        <f t="shared" si="81"/>
        <v>174479.44021002785</v>
      </c>
      <c r="AD29" s="27">
        <f t="shared" si="81"/>
        <v>180829.6699213394</v>
      </c>
      <c r="AE29" s="27">
        <f t="shared" si="81"/>
        <v>189084.0812747952</v>
      </c>
      <c r="AF29" s="27">
        <f t="shared" si="81"/>
        <v>197067.04818656377</v>
      </c>
      <c r="AG29" s="112"/>
      <c r="AH29" s="113"/>
      <c r="AI29" s="27">
        <f>SUMIFS(PBC_PROFIT_AND_LOSS[AccountBalance], PBC_PROFIT_AND_LOSS[Id],$L29,PBC_PROFIT_AND_LOSS[Date],AI$5)</f>
        <v>26158.5</v>
      </c>
      <c r="AJ29" s="27">
        <f>SUMIFS(PBC_PROFIT_AND_LOSS[AccountBalance], PBC_PROFIT_AND_LOSS[Id],$L29,PBC_PROFIT_AND_LOSS[Date],AJ$5)</f>
        <v>15999</v>
      </c>
      <c r="AK29" s="27">
        <f>SUMIFS(PBC_PROFIT_AND_LOSS[AccountBalance], PBC_PROFIT_AND_LOSS[Id],$L29,PBC_PROFIT_AND_LOSS[Date],AK$5)</f>
        <v>27467</v>
      </c>
      <c r="AL29" s="27">
        <f>SUMIFS(PBC_PROFIT_AND_LOSS[AccountBalance], PBC_PROFIT_AND_LOSS[Id],$L29,PBC_PROFIT_AND_LOSS[Date],AL$5)</f>
        <v>16799</v>
      </c>
      <c r="AM29" s="27">
        <f>SUMIFS(PBC_PROFIT_AND_LOSS[AccountBalance], PBC_PROFIT_AND_LOSS[Id],$L29,PBC_PROFIT_AND_LOSS[Date],AM$5)</f>
        <v>28840</v>
      </c>
      <c r="AN29" s="27">
        <f>SUMIFS(PBC_PROFIT_AND_LOSS[AccountBalance], PBC_PROFIT_AND_LOSS[Id],$L29,PBC_PROFIT_AND_LOSS[Date],AN$5)</f>
        <v>17639</v>
      </c>
      <c r="AO29" s="27">
        <f>SUMIFS(PBC_PROFIT_AND_LOSS[AccountBalance], PBC_PROFIT_AND_LOSS[Id],$L29,PBC_PROFIT_AND_LOSS[Date],AO$5)</f>
        <v>30282</v>
      </c>
      <c r="AP29" s="27">
        <f>SUMIFS(PBC_PROFIT_AND_LOSS[AccountBalance], PBC_PROFIT_AND_LOSS[Id],$L29,PBC_PROFIT_AND_LOSS[Date],AP$5)</f>
        <v>31796</v>
      </c>
      <c r="AQ29" s="27">
        <f>SUMIFS(PBC_PROFIT_AND_LOSS[AccountBalance], PBC_PROFIT_AND_LOSS[Id],$L29,PBC_PROFIT_AND_LOSS[Date],AQ$5)</f>
        <v>31796</v>
      </c>
      <c r="AR29" s="27">
        <f>SUMIFS(PBC_PROFIT_AND_LOSS[AccountBalance], PBC_PROFIT_AND_LOSS[Id],$L29,PBC_PROFIT_AND_LOSS[Date],AR$5)</f>
        <v>33386</v>
      </c>
      <c r="AS29" s="27">
        <f>SUMIFS(PBC_PROFIT_AND_LOSS[AccountBalance], PBC_PROFIT_AND_LOSS[Id],$L29,PBC_PROFIT_AND_LOSS[Date],AS$5)</f>
        <v>33386</v>
      </c>
      <c r="AT29" s="27">
        <f>SUMIFS(PBC_PROFIT_AND_LOSS[AccountBalance], PBC_PROFIT_AND_LOSS[Id],$L29,PBC_PROFIT_AND_LOSS[Date],AT$5)</f>
        <v>35055</v>
      </c>
      <c r="AU29" s="27">
        <f>SUMIFS(PBC_PROFIT_AND_LOSS[AccountBalance], PBC_PROFIT_AND_LOSS[Id],$L29,PBC_PROFIT_AND_LOSS[Date],AU$5)</f>
        <v>36808</v>
      </c>
      <c r="AV29" s="27">
        <f>SUMIFS(PBC_PROFIT_AND_LOSS[AccountBalance], PBC_PROFIT_AND_LOSS[Id],$L29,PBC_PROFIT_AND_LOSS[Date],AV$5)</f>
        <v>38648.5</v>
      </c>
      <c r="AW29" s="27">
        <f>SUMIFS(PBC_PROFIT_AND_LOSS[AccountBalance], PBC_PROFIT_AND_LOSS[Id],$L29,PBC_PROFIT_AND_LOSS[Date],AW$5)</f>
        <v>40581</v>
      </c>
      <c r="AX29" s="27">
        <f>SUMIFS(PBC_PROFIT_AND_LOSS[AccountBalance], PBC_PROFIT_AND_LOSS[Id],$L29,PBC_PROFIT_AND_LOSS[Date],AX$5)</f>
        <v>42610</v>
      </c>
      <c r="AY29" s="27">
        <f>SUMIFS(PBC_PROFIT_AND_LOSS[AccountBalance], PBC_PROFIT_AND_LOSS[Id],$L29,PBC_PROFIT_AND_LOSS[Date],AY$5)</f>
        <v>44740</v>
      </c>
      <c r="AZ29" s="27">
        <f>SUMIFS(PBC_PROFIT_AND_LOSS[AccountBalance], PBC_PROFIT_AND_LOSS[Id],$L29,PBC_PROFIT_AND_LOSS[Date],AZ$5)</f>
        <v>46977</v>
      </c>
      <c r="BA29" s="27">
        <f>SUMIFS(PBC_PROFIT_AND_LOSS[AccountBalance], PBC_PROFIT_AND_LOSS[Id],$L29,PBC_PROFIT_AND_LOSS[Date],BA$5)</f>
        <v>49326.37</v>
      </c>
      <c r="BB29" s="27">
        <f>SUMIFS(PBC_PROFIT_AND_LOSS[AccountBalance], PBC_PROFIT_AND_LOSS[Id],$L29,PBC_PROFIT_AND_LOSS[Date],BB$5)</f>
        <v>51792.69</v>
      </c>
      <c r="BC29" s="27">
        <f>SUMIFS(PBC_PROFIT_AND_LOSS[AccountBalance], PBC_PROFIT_AND_LOSS[Id],$L29,PBC_PROFIT_AND_LOSS[Date],BC$5)</f>
        <v>54382.33</v>
      </c>
      <c r="BD29" s="27">
        <f>SUMIFS(PBC_PROFIT_AND_LOSS[AccountBalance], PBC_PROFIT_AND_LOSS[Id],$L29,PBC_PROFIT_AND_LOSS[Date],BD$5)</f>
        <v>57101.440000000002</v>
      </c>
      <c r="BE29" s="114">
        <f t="shared" si="82"/>
        <v>53255.970250000006</v>
      </c>
      <c r="BF29" s="114">
        <f t="shared" si="84"/>
        <v>54746.265043750005</v>
      </c>
      <c r="BG29" s="114">
        <f t="shared" si="85"/>
        <v>56105.886426406258</v>
      </c>
      <c r="BH29" s="114">
        <f t="shared" si="86"/>
        <v>57292.301801027352</v>
      </c>
      <c r="BI29" s="114">
        <f t="shared" si="87"/>
        <v>58254.733866207127</v>
      </c>
      <c r="BJ29" s="114">
        <f t="shared" si="88"/>
        <v>58932.404542793382</v>
      </c>
      <c r="BK29" s="114">
        <f t="shared" si="89"/>
        <v>59252.823337782225</v>
      </c>
      <c r="BL29" s="114">
        <f t="shared" si="90"/>
        <v>60302.272628144114</v>
      </c>
      <c r="BM29" s="114">
        <f t="shared" si="91"/>
        <v>61274.573955413078</v>
      </c>
      <c r="BN29" s="114">
        <f t="shared" si="92"/>
        <v>62179.094272989278</v>
      </c>
      <c r="BO29" s="114">
        <f t="shared" si="93"/>
        <v>63034.282955582603</v>
      </c>
      <c r="BP29" s="114">
        <f t="shared" si="94"/>
        <v>63870.704046223313</v>
      </c>
      <c r="BQ29" s="114">
        <f t="shared" si="95"/>
        <v>64734.906459323553</v>
      </c>
      <c r="BR29" s="114">
        <f t="shared" si="96"/>
        <v>65694.271005593298</v>
      </c>
      <c r="BS29" s="114">
        <f t="shared" si="97"/>
        <v>66637.870721646905</v>
      </c>
    </row>
    <row r="30" spans="3:71" outlineLevel="2">
      <c r="C30" s="21"/>
      <c r="D30" s="26" t="s">
        <v>171</v>
      </c>
      <c r="E30" s="18" t="s">
        <v>158</v>
      </c>
      <c r="F30" s="111">
        <v>0.05</v>
      </c>
      <c r="G30" s="15" t="str">
        <f>IFERROR(INDEX(PBC_ACCOUNT_LIST[Drivers Section],MATCH(Drivers!L30,PBC_ACCOUNT_LIST[Id],0)),"")</f>
        <v>Opex</v>
      </c>
      <c r="H30" s="15" t="str">
        <f>IFERROR(INDEX(PBC_ACCOUNT_LIST[Summary Grouping],MATCH(Drivers!L30,PBC_ACCOUNT_LIST[Id],0)),"")</f>
        <v>Office &amp; Other G&amp;A</v>
      </c>
      <c r="I30" s="15"/>
      <c r="J30" s="15">
        <f>IFERROR(INDEX(PBC_ACCOUNT_LIST[Cash Flow Section],MATCH(Drivers!L30,PBC_ACCOUNT_LIST[Id],0)),"")</f>
        <v>0</v>
      </c>
      <c r="K30" s="16" t="s">
        <v>159</v>
      </c>
      <c r="L30" s="15">
        <v>168</v>
      </c>
      <c r="M30" s="14"/>
      <c r="O30" s="9"/>
      <c r="P30" s="27">
        <f t="shared" si="80"/>
        <v>343319</v>
      </c>
      <c r="Q30" s="27">
        <f t="shared" si="80"/>
        <v>564775.50105953123</v>
      </c>
      <c r="R30" s="27">
        <f t="shared" si="80"/>
        <v>709437.90066832292</v>
      </c>
      <c r="S30" s="27"/>
      <c r="T30" s="27"/>
      <c r="U30" s="27">
        <f t="shared" si="81"/>
        <v>69834</v>
      </c>
      <c r="V30" s="27">
        <f t="shared" si="81"/>
        <v>79992</v>
      </c>
      <c r="W30" s="27">
        <f t="shared" si="81"/>
        <v>92790</v>
      </c>
      <c r="X30" s="27">
        <f t="shared" si="81"/>
        <v>100703</v>
      </c>
      <c r="Y30" s="27">
        <f t="shared" si="81"/>
        <v>116577.26999999999</v>
      </c>
      <c r="Z30" s="27">
        <f t="shared" si="81"/>
        <v>134952.95999999999</v>
      </c>
      <c r="AA30" s="27">
        <f t="shared" si="81"/>
        <v>156224.51</v>
      </c>
      <c r="AB30" s="27">
        <f t="shared" si="81"/>
        <v>157020.76105953124</v>
      </c>
      <c r="AC30" s="27">
        <f t="shared" si="81"/>
        <v>166943.94861568307</v>
      </c>
      <c r="AD30" s="27">
        <f t="shared" si="81"/>
        <v>173019.98508400092</v>
      </c>
      <c r="AE30" s="27">
        <f t="shared" si="81"/>
        <v>180917.88362415053</v>
      </c>
      <c r="AF30" s="27">
        <f t="shared" si="81"/>
        <v>188556.0833444884</v>
      </c>
      <c r="AG30" s="112"/>
      <c r="AH30" s="113"/>
      <c r="AI30" s="27">
        <f>SUMIFS(PBC_PROFIT_AND_LOSS[AccountBalance], PBC_PROFIT_AND_LOSS[Id],$L30,PBC_PROFIT_AND_LOSS[Date],AI$5)</f>
        <v>25029</v>
      </c>
      <c r="AJ30" s="27">
        <f>SUMIFS(PBC_PROFIT_AND_LOSS[AccountBalance], PBC_PROFIT_AND_LOSS[Id],$L30,PBC_PROFIT_AND_LOSS[Date],AJ$5)</f>
        <v>21246</v>
      </c>
      <c r="AK30" s="27">
        <f>SUMIFS(PBC_PROFIT_AND_LOSS[AccountBalance], PBC_PROFIT_AND_LOSS[Id],$L30,PBC_PROFIT_AND_LOSS[Date],AK$5)</f>
        <v>26280</v>
      </c>
      <c r="AL30" s="27">
        <f>SUMIFS(PBC_PROFIT_AND_LOSS[AccountBalance], PBC_PROFIT_AND_LOSS[Id],$L30,PBC_PROFIT_AND_LOSS[Date],AL$5)</f>
        <v>22308</v>
      </c>
      <c r="AM30" s="27">
        <f>SUMIFS(PBC_PROFIT_AND_LOSS[AccountBalance], PBC_PROFIT_AND_LOSS[Id],$L30,PBC_PROFIT_AND_LOSS[Date],AM$5)</f>
        <v>27594</v>
      </c>
      <c r="AN30" s="27">
        <f>SUMIFS(PBC_PROFIT_AND_LOSS[AccountBalance], PBC_PROFIT_AND_LOSS[Id],$L30,PBC_PROFIT_AND_LOSS[Date],AN$5)</f>
        <v>23424</v>
      </c>
      <c r="AO30" s="27">
        <f>SUMIFS(PBC_PROFIT_AND_LOSS[AccountBalance], PBC_PROFIT_AND_LOSS[Id],$L30,PBC_PROFIT_AND_LOSS[Date],AO$5)</f>
        <v>28974</v>
      </c>
      <c r="AP30" s="27">
        <f>SUMIFS(PBC_PROFIT_AND_LOSS[AccountBalance], PBC_PROFIT_AND_LOSS[Id],$L30,PBC_PROFIT_AND_LOSS[Date],AP$5)</f>
        <v>30423</v>
      </c>
      <c r="AQ30" s="27">
        <f>SUMIFS(PBC_PROFIT_AND_LOSS[AccountBalance], PBC_PROFIT_AND_LOSS[Id],$L30,PBC_PROFIT_AND_LOSS[Date],AQ$5)</f>
        <v>30423</v>
      </c>
      <c r="AR30" s="27">
        <f>SUMIFS(PBC_PROFIT_AND_LOSS[AccountBalance], PBC_PROFIT_AND_LOSS[Id],$L30,PBC_PROFIT_AND_LOSS[Date],AR$5)</f>
        <v>31944</v>
      </c>
      <c r="AS30" s="27">
        <f>SUMIFS(PBC_PROFIT_AND_LOSS[AccountBalance], PBC_PROFIT_AND_LOSS[Id],$L30,PBC_PROFIT_AND_LOSS[Date],AS$5)</f>
        <v>31944</v>
      </c>
      <c r="AT30" s="27">
        <f>SUMIFS(PBC_PROFIT_AND_LOSS[AccountBalance], PBC_PROFIT_AND_LOSS[Id],$L30,PBC_PROFIT_AND_LOSS[Date],AT$5)</f>
        <v>33541</v>
      </c>
      <c r="AU30" s="27">
        <f>SUMIFS(PBC_PROFIT_AND_LOSS[AccountBalance], PBC_PROFIT_AND_LOSS[Id],$L30,PBC_PROFIT_AND_LOSS[Date],AU$5)</f>
        <v>35218</v>
      </c>
      <c r="AV30" s="27">
        <f>SUMIFS(PBC_PROFIT_AND_LOSS[AccountBalance], PBC_PROFIT_AND_LOSS[Id],$L30,PBC_PROFIT_AND_LOSS[Date],AV$5)</f>
        <v>36979.269999999997</v>
      </c>
      <c r="AW30" s="27">
        <f>SUMIFS(PBC_PROFIT_AND_LOSS[AccountBalance], PBC_PROFIT_AND_LOSS[Id],$L30,PBC_PROFIT_AND_LOSS[Date],AW$5)</f>
        <v>38828</v>
      </c>
      <c r="AX30" s="27">
        <f>SUMIFS(PBC_PROFIT_AND_LOSS[AccountBalance], PBC_PROFIT_AND_LOSS[Id],$L30,PBC_PROFIT_AND_LOSS[Date],AX$5)</f>
        <v>40770</v>
      </c>
      <c r="AY30" s="27">
        <f>SUMIFS(PBC_PROFIT_AND_LOSS[AccountBalance], PBC_PROFIT_AND_LOSS[Id],$L30,PBC_PROFIT_AND_LOSS[Date],AY$5)</f>
        <v>42808</v>
      </c>
      <c r="AZ30" s="27">
        <f>SUMIFS(PBC_PROFIT_AND_LOSS[AccountBalance], PBC_PROFIT_AND_LOSS[Id],$L30,PBC_PROFIT_AND_LOSS[Date],AZ$5)</f>
        <v>44949</v>
      </c>
      <c r="BA30" s="27">
        <f>SUMIFS(PBC_PROFIT_AND_LOSS[AccountBalance], PBC_PROFIT_AND_LOSS[Id],$L30,PBC_PROFIT_AND_LOSS[Date],BA$5)</f>
        <v>47195.96</v>
      </c>
      <c r="BB30" s="27">
        <f>SUMIFS(PBC_PROFIT_AND_LOSS[AccountBalance], PBC_PROFIT_AND_LOSS[Id],$L30,PBC_PROFIT_AND_LOSS[Date],BB$5)</f>
        <v>49555.75</v>
      </c>
      <c r="BC30" s="27">
        <f>SUMIFS(PBC_PROFIT_AND_LOSS[AccountBalance], PBC_PROFIT_AND_LOSS[Id],$L30,PBC_PROFIT_AND_LOSS[Date],BC$5)</f>
        <v>52033.54</v>
      </c>
      <c r="BD30" s="27">
        <f>SUMIFS(PBC_PROFIT_AND_LOSS[AccountBalance], PBC_PROFIT_AND_LOSS[Id],$L30,PBC_PROFIT_AND_LOSS[Date],BD$5)</f>
        <v>54635.22</v>
      </c>
      <c r="BE30" s="114">
        <f t="shared" si="82"/>
        <v>50956.057249999998</v>
      </c>
      <c r="BF30" s="114">
        <f t="shared" si="84"/>
        <v>52381.967268749999</v>
      </c>
      <c r="BG30" s="114">
        <f t="shared" si="85"/>
        <v>53682.736540781254</v>
      </c>
      <c r="BH30" s="114">
        <f t="shared" si="86"/>
        <v>54817.922435417982</v>
      </c>
      <c r="BI30" s="114">
        <f t="shared" si="87"/>
        <v>55738.802611616127</v>
      </c>
      <c r="BJ30" s="114">
        <f t="shared" si="88"/>
        <v>56387.223568648944</v>
      </c>
      <c r="BK30" s="114">
        <f t="shared" si="89"/>
        <v>56693.824193162494</v>
      </c>
      <c r="BL30" s="114">
        <f t="shared" si="90"/>
        <v>57697.93340821594</v>
      </c>
      <c r="BM30" s="114">
        <f t="shared" si="91"/>
        <v>58628.227482622489</v>
      </c>
      <c r="BN30" s="114">
        <f t="shared" si="92"/>
        <v>59493.688397444705</v>
      </c>
      <c r="BO30" s="114">
        <f t="shared" si="93"/>
        <v>60311.947440799377</v>
      </c>
      <c r="BP30" s="114">
        <f t="shared" si="94"/>
        <v>61112.247785906438</v>
      </c>
      <c r="BQ30" s="114">
        <f t="shared" si="95"/>
        <v>61939.127023926492</v>
      </c>
      <c r="BR30" s="114">
        <f t="shared" si="96"/>
        <v>62857.055019310203</v>
      </c>
      <c r="BS30" s="114">
        <f t="shared" si="97"/>
        <v>63759.901301251695</v>
      </c>
    </row>
    <row r="31" spans="3:71" outlineLevel="2">
      <c r="C31" s="21"/>
      <c r="D31" s="26" t="s">
        <v>172</v>
      </c>
      <c r="E31" s="18" t="s">
        <v>158</v>
      </c>
      <c r="F31" s="111">
        <v>0.05</v>
      </c>
      <c r="G31" s="15" t="str">
        <f>IFERROR(INDEX(PBC_ACCOUNT_LIST[Drivers Section],MATCH(Drivers!L31,PBC_ACCOUNT_LIST[Id],0)),"")</f>
        <v>Opex</v>
      </c>
      <c r="H31" s="15" t="str">
        <f>IFERROR(INDEX(PBC_ACCOUNT_LIST[Summary Grouping],MATCH(Drivers!L31,PBC_ACCOUNT_LIST[Id],0)),"")</f>
        <v>Office &amp; Other G&amp;A</v>
      </c>
      <c r="I31" s="15"/>
      <c r="J31" s="15">
        <f>IFERROR(INDEX(PBC_ACCOUNT_LIST[Cash Flow Section],MATCH(Drivers!L31,PBC_ACCOUNT_LIST[Id],0)),"")</f>
        <v>0</v>
      </c>
      <c r="K31" s="16" t="s">
        <v>159</v>
      </c>
      <c r="L31" s="15">
        <v>201</v>
      </c>
      <c r="M31" s="14"/>
      <c r="O31" s="9"/>
      <c r="P31" s="27">
        <f t="shared" si="80"/>
        <v>12408</v>
      </c>
      <c r="Q31" s="27">
        <f t="shared" si="80"/>
        <v>21926.550522031248</v>
      </c>
      <c r="R31" s="27">
        <f t="shared" si="80"/>
        <v>27543.329583515089</v>
      </c>
      <c r="S31" s="27"/>
      <c r="T31" s="27"/>
      <c r="U31" s="27">
        <f t="shared" si="81"/>
        <v>2113</v>
      </c>
      <c r="V31" s="27">
        <f t="shared" si="81"/>
        <v>2784</v>
      </c>
      <c r="W31" s="27">
        <f t="shared" si="81"/>
        <v>3602</v>
      </c>
      <c r="X31" s="27">
        <f t="shared" si="81"/>
        <v>3909</v>
      </c>
      <c r="Y31" s="27">
        <f t="shared" si="81"/>
        <v>4525.7</v>
      </c>
      <c r="Z31" s="27">
        <f t="shared" si="81"/>
        <v>5239.3500000000004</v>
      </c>
      <c r="AA31" s="27">
        <f t="shared" si="81"/>
        <v>6065.32</v>
      </c>
      <c r="AB31" s="27">
        <f t="shared" si="81"/>
        <v>6096.1805220312508</v>
      </c>
      <c r="AC31" s="27">
        <f t="shared" si="81"/>
        <v>6481.4628451382905</v>
      </c>
      <c r="AD31" s="27">
        <f t="shared" si="81"/>
        <v>6717.3523217311349</v>
      </c>
      <c r="AE31" s="27">
        <f t="shared" si="81"/>
        <v>7023.984143165374</v>
      </c>
      <c r="AF31" s="27">
        <f t="shared" si="81"/>
        <v>7320.5302734802881</v>
      </c>
      <c r="AG31" s="112"/>
      <c r="AH31" s="113"/>
      <c r="AI31" s="27">
        <f>SUMIFS(PBC_PROFIT_AND_LOSS[AccountBalance], PBC_PROFIT_AND_LOSS[Id],$L31,PBC_PROFIT_AND_LOSS[Date],AI$5)</f>
        <v>972</v>
      </c>
      <c r="AJ31" s="27">
        <f>SUMIFS(PBC_PROFIT_AND_LOSS[AccountBalance], PBC_PROFIT_AND_LOSS[Id],$L31,PBC_PROFIT_AND_LOSS[Date],AJ$5)</f>
        <v>533</v>
      </c>
      <c r="AK31" s="27">
        <f>SUMIFS(PBC_PROFIT_AND_LOSS[AccountBalance], PBC_PROFIT_AND_LOSS[Id],$L31,PBC_PROFIT_AND_LOSS[Date],AK$5)</f>
        <v>1020</v>
      </c>
      <c r="AL31" s="27">
        <f>SUMIFS(PBC_PROFIT_AND_LOSS[AccountBalance], PBC_PROFIT_AND_LOSS[Id],$L31,PBC_PROFIT_AND_LOSS[Date],AL$5)</f>
        <v>560</v>
      </c>
      <c r="AM31" s="27">
        <f>SUMIFS(PBC_PROFIT_AND_LOSS[AccountBalance], PBC_PROFIT_AND_LOSS[Id],$L31,PBC_PROFIT_AND_LOSS[Date],AM$5)</f>
        <v>1071</v>
      </c>
      <c r="AN31" s="27">
        <f>SUMIFS(PBC_PROFIT_AND_LOSS[AccountBalance], PBC_PROFIT_AND_LOSS[Id],$L31,PBC_PROFIT_AND_LOSS[Date],AN$5)</f>
        <v>588</v>
      </c>
      <c r="AO31" s="27">
        <f>SUMIFS(PBC_PROFIT_AND_LOSS[AccountBalance], PBC_PROFIT_AND_LOSS[Id],$L31,PBC_PROFIT_AND_LOSS[Date],AO$5)</f>
        <v>1125</v>
      </c>
      <c r="AP31" s="27">
        <f>SUMIFS(PBC_PROFIT_AND_LOSS[AccountBalance], PBC_PROFIT_AND_LOSS[Id],$L31,PBC_PROFIT_AND_LOSS[Date],AP$5)</f>
        <v>1181</v>
      </c>
      <c r="AQ31" s="27">
        <f>SUMIFS(PBC_PROFIT_AND_LOSS[AccountBalance], PBC_PROFIT_AND_LOSS[Id],$L31,PBC_PROFIT_AND_LOSS[Date],AQ$5)</f>
        <v>1181</v>
      </c>
      <c r="AR31" s="27">
        <f>SUMIFS(PBC_PROFIT_AND_LOSS[AccountBalance], PBC_PROFIT_AND_LOSS[Id],$L31,PBC_PROFIT_AND_LOSS[Date],AR$5)</f>
        <v>1240</v>
      </c>
      <c r="AS31" s="27">
        <f>SUMIFS(PBC_PROFIT_AND_LOSS[AccountBalance], PBC_PROFIT_AND_LOSS[Id],$L31,PBC_PROFIT_AND_LOSS[Date],AS$5)</f>
        <v>1240</v>
      </c>
      <c r="AT31" s="27">
        <f>SUMIFS(PBC_PROFIT_AND_LOSS[AccountBalance], PBC_PROFIT_AND_LOSS[Id],$L31,PBC_PROFIT_AND_LOSS[Date],AT$5)</f>
        <v>1302</v>
      </c>
      <c r="AU31" s="27">
        <f>SUMIFS(PBC_PROFIT_AND_LOSS[AccountBalance], PBC_PROFIT_AND_LOSS[Id],$L31,PBC_PROFIT_AND_LOSS[Date],AU$5)</f>
        <v>1367</v>
      </c>
      <c r="AV31" s="27">
        <f>SUMIFS(PBC_PROFIT_AND_LOSS[AccountBalance], PBC_PROFIT_AND_LOSS[Id],$L31,PBC_PROFIT_AND_LOSS[Date],AV$5)</f>
        <v>1435.7</v>
      </c>
      <c r="AW31" s="27">
        <f>SUMIFS(PBC_PROFIT_AND_LOSS[AccountBalance], PBC_PROFIT_AND_LOSS[Id],$L31,PBC_PROFIT_AND_LOSS[Date],AW$5)</f>
        <v>1507</v>
      </c>
      <c r="AX31" s="27">
        <f>SUMIFS(PBC_PROFIT_AND_LOSS[AccountBalance], PBC_PROFIT_AND_LOSS[Id],$L31,PBC_PROFIT_AND_LOSS[Date],AX$5)</f>
        <v>1583</v>
      </c>
      <c r="AY31" s="27">
        <f>SUMIFS(PBC_PROFIT_AND_LOSS[AccountBalance], PBC_PROFIT_AND_LOSS[Id],$L31,PBC_PROFIT_AND_LOSS[Date],AY$5)</f>
        <v>1662</v>
      </c>
      <c r="AZ31" s="27">
        <f>SUMIFS(PBC_PROFIT_AND_LOSS[AccountBalance], PBC_PROFIT_AND_LOSS[Id],$L31,PBC_PROFIT_AND_LOSS[Date],AZ$5)</f>
        <v>1745</v>
      </c>
      <c r="BA31" s="27">
        <f>SUMIFS(PBC_PROFIT_AND_LOSS[AccountBalance], PBC_PROFIT_AND_LOSS[Id],$L31,PBC_PROFIT_AND_LOSS[Date],BA$5)</f>
        <v>1832.35</v>
      </c>
      <c r="BB31" s="27">
        <f>SUMIFS(PBC_PROFIT_AND_LOSS[AccountBalance], PBC_PROFIT_AND_LOSS[Id],$L31,PBC_PROFIT_AND_LOSS[Date],BB$5)</f>
        <v>1923.97</v>
      </c>
      <c r="BC31" s="27">
        <f>SUMIFS(PBC_PROFIT_AND_LOSS[AccountBalance], PBC_PROFIT_AND_LOSS[Id],$L31,PBC_PROFIT_AND_LOSS[Date],BC$5)</f>
        <v>2020.17</v>
      </c>
      <c r="BD31" s="27">
        <f>SUMIFS(PBC_PROFIT_AND_LOSS[AccountBalance], PBC_PROFIT_AND_LOSS[Id],$L31,PBC_PROFIT_AND_LOSS[Date],BD$5)</f>
        <v>2121.1799999999998</v>
      </c>
      <c r="BE31" s="114">
        <f t="shared" si="82"/>
        <v>1978.3172500000003</v>
      </c>
      <c r="BF31" s="114">
        <f t="shared" si="84"/>
        <v>2033.6727687499999</v>
      </c>
      <c r="BG31" s="114">
        <f t="shared" si="85"/>
        <v>2084.1905032812501</v>
      </c>
      <c r="BH31" s="114">
        <f t="shared" si="86"/>
        <v>2128.2625913554689</v>
      </c>
      <c r="BI31" s="114">
        <f t="shared" si="87"/>
        <v>2164.0137948426764</v>
      </c>
      <c r="BJ31" s="114">
        <f t="shared" si="88"/>
        <v>2189.1864589401443</v>
      </c>
      <c r="BK31" s="114">
        <f t="shared" si="89"/>
        <v>2201.0875892546696</v>
      </c>
      <c r="BL31" s="114">
        <f t="shared" si="90"/>
        <v>2240.0723986242369</v>
      </c>
      <c r="BM31" s="114">
        <f t="shared" si="91"/>
        <v>2276.1923338522283</v>
      </c>
      <c r="BN31" s="114">
        <f t="shared" si="92"/>
        <v>2309.7926542021496</v>
      </c>
      <c r="BO31" s="114">
        <f t="shared" si="93"/>
        <v>2341.5604152003184</v>
      </c>
      <c r="BP31" s="114">
        <f t="shared" si="94"/>
        <v>2372.6310737629055</v>
      </c>
      <c r="BQ31" s="114">
        <f t="shared" si="95"/>
        <v>2404.733881356889</v>
      </c>
      <c r="BR31" s="114">
        <f t="shared" si="96"/>
        <v>2440.3719824747777</v>
      </c>
      <c r="BS31" s="114">
        <f t="shared" si="97"/>
        <v>2475.4244096486223</v>
      </c>
    </row>
    <row r="32" spans="3:71" outlineLevel="2">
      <c r="C32" s="21"/>
      <c r="D32" s="26" t="s">
        <v>173</v>
      </c>
      <c r="E32" s="18" t="s">
        <v>158</v>
      </c>
      <c r="F32" s="111">
        <v>0.05</v>
      </c>
      <c r="G32" s="15" t="str">
        <f>IFERROR(INDEX(PBC_ACCOUNT_LIST[Drivers Section],MATCH(Drivers!L32,PBC_ACCOUNT_LIST[Id],0)),"")</f>
        <v>Opex</v>
      </c>
      <c r="H32" s="15" t="str">
        <f>IFERROR(INDEX(PBC_ACCOUNT_LIST[Summary Grouping],MATCH(Drivers!L32,PBC_ACCOUNT_LIST[Id],0)),"")</f>
        <v>Office &amp; Other G&amp;A</v>
      </c>
      <c r="I32" s="15"/>
      <c r="J32" s="15">
        <f>IFERROR(INDEX(PBC_ACCOUNT_LIST[Cash Flow Section],MATCH(Drivers!L32,PBC_ACCOUNT_LIST[Id],0)),"")</f>
        <v>0</v>
      </c>
      <c r="K32" s="16" t="s">
        <v>159</v>
      </c>
      <c r="L32" s="15">
        <v>170</v>
      </c>
      <c r="M32" s="14"/>
      <c r="O32" s="9"/>
      <c r="P32" s="27">
        <f t="shared" si="80"/>
        <v>29372</v>
      </c>
      <c r="Q32" s="27">
        <f t="shared" si="80"/>
        <v>47917.525787499995</v>
      </c>
      <c r="R32" s="27">
        <f t="shared" si="80"/>
        <v>60191.37124412955</v>
      </c>
      <c r="S32" s="27"/>
      <c r="T32" s="27"/>
      <c r="U32" s="27">
        <f t="shared" si="81"/>
        <v>6084</v>
      </c>
      <c r="V32" s="27">
        <f t="shared" si="81"/>
        <v>6872</v>
      </c>
      <c r="W32" s="27">
        <f t="shared" si="81"/>
        <v>7872</v>
      </c>
      <c r="X32" s="27">
        <f t="shared" si="81"/>
        <v>8544</v>
      </c>
      <c r="Y32" s="27">
        <f t="shared" si="81"/>
        <v>9890.43</v>
      </c>
      <c r="Z32" s="27">
        <f t="shared" si="81"/>
        <v>11450.25</v>
      </c>
      <c r="AA32" s="27">
        <f t="shared" si="81"/>
        <v>13254.55</v>
      </c>
      <c r="AB32" s="27">
        <f t="shared" si="81"/>
        <v>13322.295787499999</v>
      </c>
      <c r="AC32" s="27">
        <f t="shared" si="81"/>
        <v>14164.135440556445</v>
      </c>
      <c r="AD32" s="27">
        <f t="shared" si="81"/>
        <v>14679.674281170182</v>
      </c>
      <c r="AE32" s="27">
        <f t="shared" si="81"/>
        <v>15349.753229806163</v>
      </c>
      <c r="AF32" s="27">
        <f t="shared" si="81"/>
        <v>15997.808292596757</v>
      </c>
      <c r="AG32" s="112"/>
      <c r="AH32" s="113"/>
      <c r="AI32" s="27">
        <f>SUMIFS(PBC_PROFIT_AND_LOSS[AccountBalance], PBC_PROFIT_AND_LOSS[Id],$L32,PBC_PROFIT_AND_LOSS[Date],AI$5)</f>
        <v>2123.5</v>
      </c>
      <c r="AJ32" s="27">
        <f>SUMIFS(PBC_PROFIT_AND_LOSS[AccountBalance], PBC_PROFIT_AND_LOSS[Id],$L32,PBC_PROFIT_AND_LOSS[Date],AJ$5)</f>
        <v>1880</v>
      </c>
      <c r="AK32" s="27">
        <f>SUMIFS(PBC_PROFIT_AND_LOSS[AccountBalance], PBC_PROFIT_AND_LOSS[Id],$L32,PBC_PROFIT_AND_LOSS[Date],AK$5)</f>
        <v>2230</v>
      </c>
      <c r="AL32" s="27">
        <f>SUMIFS(PBC_PROFIT_AND_LOSS[AccountBalance], PBC_PROFIT_AND_LOSS[Id],$L32,PBC_PROFIT_AND_LOSS[Date],AL$5)</f>
        <v>1974</v>
      </c>
      <c r="AM32" s="27">
        <f>SUMIFS(PBC_PROFIT_AND_LOSS[AccountBalance], PBC_PROFIT_AND_LOSS[Id],$L32,PBC_PROFIT_AND_LOSS[Date],AM$5)</f>
        <v>2341</v>
      </c>
      <c r="AN32" s="27">
        <f>SUMIFS(PBC_PROFIT_AND_LOSS[AccountBalance], PBC_PROFIT_AND_LOSS[Id],$L32,PBC_PROFIT_AND_LOSS[Date],AN$5)</f>
        <v>2073</v>
      </c>
      <c r="AO32" s="27">
        <f>SUMIFS(PBC_PROFIT_AND_LOSS[AccountBalance], PBC_PROFIT_AND_LOSS[Id],$L32,PBC_PROFIT_AND_LOSS[Date],AO$5)</f>
        <v>2458</v>
      </c>
      <c r="AP32" s="27">
        <f>SUMIFS(PBC_PROFIT_AND_LOSS[AccountBalance], PBC_PROFIT_AND_LOSS[Id],$L32,PBC_PROFIT_AND_LOSS[Date],AP$5)</f>
        <v>2581</v>
      </c>
      <c r="AQ32" s="27">
        <f>SUMIFS(PBC_PROFIT_AND_LOSS[AccountBalance], PBC_PROFIT_AND_LOSS[Id],$L32,PBC_PROFIT_AND_LOSS[Date],AQ$5)</f>
        <v>2581</v>
      </c>
      <c r="AR32" s="27">
        <f>SUMIFS(PBC_PROFIT_AND_LOSS[AccountBalance], PBC_PROFIT_AND_LOSS[Id],$L32,PBC_PROFIT_AND_LOSS[Date],AR$5)</f>
        <v>2710</v>
      </c>
      <c r="AS32" s="27">
        <f>SUMIFS(PBC_PROFIT_AND_LOSS[AccountBalance], PBC_PROFIT_AND_LOSS[Id],$L32,PBC_PROFIT_AND_LOSS[Date],AS$5)</f>
        <v>2710</v>
      </c>
      <c r="AT32" s="27">
        <f>SUMIFS(PBC_PROFIT_AND_LOSS[AccountBalance], PBC_PROFIT_AND_LOSS[Id],$L32,PBC_PROFIT_AND_LOSS[Date],AT$5)</f>
        <v>2846</v>
      </c>
      <c r="AU32" s="27">
        <f>SUMIFS(PBC_PROFIT_AND_LOSS[AccountBalance], PBC_PROFIT_AND_LOSS[Id],$L32,PBC_PROFIT_AND_LOSS[Date],AU$5)</f>
        <v>2988</v>
      </c>
      <c r="AV32" s="27">
        <f>SUMIFS(PBC_PROFIT_AND_LOSS[AccountBalance], PBC_PROFIT_AND_LOSS[Id],$L32,PBC_PROFIT_AND_LOSS[Date],AV$5)</f>
        <v>3137.43</v>
      </c>
      <c r="AW32" s="27">
        <f>SUMIFS(PBC_PROFIT_AND_LOSS[AccountBalance], PBC_PROFIT_AND_LOSS[Id],$L32,PBC_PROFIT_AND_LOSS[Date],AW$5)</f>
        <v>3294</v>
      </c>
      <c r="AX32" s="27">
        <f>SUMIFS(PBC_PROFIT_AND_LOSS[AccountBalance], PBC_PROFIT_AND_LOSS[Id],$L32,PBC_PROFIT_AND_LOSS[Date],AX$5)</f>
        <v>3459</v>
      </c>
      <c r="AY32" s="27">
        <f>SUMIFS(PBC_PROFIT_AND_LOSS[AccountBalance], PBC_PROFIT_AND_LOSS[Id],$L32,PBC_PROFIT_AND_LOSS[Date],AY$5)</f>
        <v>3632</v>
      </c>
      <c r="AZ32" s="27">
        <f>SUMIFS(PBC_PROFIT_AND_LOSS[AccountBalance], PBC_PROFIT_AND_LOSS[Id],$L32,PBC_PROFIT_AND_LOSS[Date],AZ$5)</f>
        <v>3814</v>
      </c>
      <c r="BA32" s="27">
        <f>SUMIFS(PBC_PROFIT_AND_LOSS[AccountBalance], PBC_PROFIT_AND_LOSS[Id],$L32,PBC_PROFIT_AND_LOSS[Date],BA$5)</f>
        <v>4004.25</v>
      </c>
      <c r="BB32" s="27">
        <f>SUMIFS(PBC_PROFIT_AND_LOSS[AccountBalance], PBC_PROFIT_AND_LOSS[Id],$L32,PBC_PROFIT_AND_LOSS[Date],BB$5)</f>
        <v>4204.46</v>
      </c>
      <c r="BC32" s="27">
        <f>SUMIFS(PBC_PROFIT_AND_LOSS[AccountBalance], PBC_PROFIT_AND_LOSS[Id],$L32,PBC_PROFIT_AND_LOSS[Date],BC$5)</f>
        <v>4414.68</v>
      </c>
      <c r="BD32" s="27">
        <f>SUMIFS(PBC_PROFIT_AND_LOSS[AccountBalance], PBC_PROFIT_AND_LOSS[Id],$L32,PBC_PROFIT_AND_LOSS[Date],BD$5)</f>
        <v>4635.41</v>
      </c>
      <c r="BE32" s="114">
        <f t="shared" si="82"/>
        <v>4323.34</v>
      </c>
      <c r="BF32" s="114">
        <f t="shared" si="84"/>
        <v>4444.3244999999997</v>
      </c>
      <c r="BG32" s="114">
        <f t="shared" si="85"/>
        <v>4554.6312875000003</v>
      </c>
      <c r="BH32" s="114">
        <f t="shared" si="86"/>
        <v>4650.9480128125006</v>
      </c>
      <c r="BI32" s="114">
        <f t="shared" si="87"/>
        <v>4729.0834150546871</v>
      </c>
      <c r="BJ32" s="114">
        <f t="shared" si="88"/>
        <v>4784.1040126892576</v>
      </c>
      <c r="BK32" s="114">
        <f t="shared" si="89"/>
        <v>4810.1254649098773</v>
      </c>
      <c r="BL32" s="114">
        <f t="shared" si="90"/>
        <v>4895.3129212691065</v>
      </c>
      <c r="BM32" s="114">
        <f t="shared" si="91"/>
        <v>4974.2358949911995</v>
      </c>
      <c r="BN32" s="114">
        <f t="shared" si="92"/>
        <v>5047.6667013021597</v>
      </c>
      <c r="BO32" s="114">
        <f t="shared" si="93"/>
        <v>5117.0924717878506</v>
      </c>
      <c r="BP32" s="114">
        <f t="shared" si="94"/>
        <v>5184.994056716153</v>
      </c>
      <c r="BQ32" s="114">
        <f t="shared" si="95"/>
        <v>5255.1498144208608</v>
      </c>
      <c r="BR32" s="114">
        <f t="shared" si="96"/>
        <v>5333.029075585283</v>
      </c>
      <c r="BS32" s="114">
        <f t="shared" si="97"/>
        <v>5409.6294025906136</v>
      </c>
    </row>
    <row r="33" spans="3:71" outlineLevel="2">
      <c r="C33" s="21"/>
      <c r="D33" s="26" t="s">
        <v>174</v>
      </c>
      <c r="E33" s="18" t="s">
        <v>158</v>
      </c>
      <c r="F33" s="111">
        <v>0.05</v>
      </c>
      <c r="G33" s="15" t="str">
        <f>IFERROR(INDEX(PBC_ACCOUNT_LIST[Drivers Section],MATCH(Drivers!L33,PBC_ACCOUNT_LIST[Id],0)),"")</f>
        <v>Opex</v>
      </c>
      <c r="H33" s="15" t="str">
        <f>IFERROR(INDEX(PBC_ACCOUNT_LIST[Summary Grouping],MATCH(Drivers!L33,PBC_ACCOUNT_LIST[Id],0)),"")</f>
        <v>Office &amp; Other G&amp;A</v>
      </c>
      <c r="I33" s="15"/>
      <c r="J33" s="15">
        <f>IFERROR(INDEX(PBC_ACCOUNT_LIST[Cash Flow Section],MATCH(Drivers!L33,PBC_ACCOUNT_LIST[Id],0)),"")</f>
        <v>0</v>
      </c>
      <c r="K33" s="16" t="s">
        <v>159</v>
      </c>
      <c r="L33" s="15">
        <v>171</v>
      </c>
      <c r="M33" s="14"/>
      <c r="O33" s="9"/>
      <c r="P33" s="27">
        <f t="shared" si="80"/>
        <v>143016</v>
      </c>
      <c r="Q33" s="27">
        <f t="shared" si="80"/>
        <v>233941.20982140629</v>
      </c>
      <c r="R33" s="27">
        <f t="shared" si="80"/>
        <v>293862.99849481095</v>
      </c>
      <c r="S33" s="27"/>
      <c r="T33" s="27"/>
      <c r="U33" s="27">
        <f t="shared" si="81"/>
        <v>29451</v>
      </c>
      <c r="V33" s="27">
        <f t="shared" si="81"/>
        <v>33416</v>
      </c>
      <c r="W33" s="27">
        <f t="shared" si="81"/>
        <v>38436</v>
      </c>
      <c r="X33" s="27">
        <f t="shared" si="81"/>
        <v>41713</v>
      </c>
      <c r="Y33" s="27">
        <f t="shared" si="81"/>
        <v>48288.51</v>
      </c>
      <c r="Z33" s="27">
        <f t="shared" si="81"/>
        <v>55900.45</v>
      </c>
      <c r="AA33" s="27">
        <f t="shared" si="81"/>
        <v>64711.14</v>
      </c>
      <c r="AB33" s="27">
        <f t="shared" si="81"/>
        <v>65041.109821406259</v>
      </c>
      <c r="AC33" s="27">
        <f t="shared" si="81"/>
        <v>69151.425091216588</v>
      </c>
      <c r="AD33" s="27">
        <f t="shared" si="81"/>
        <v>71668.255279459059</v>
      </c>
      <c r="AE33" s="27">
        <f t="shared" si="81"/>
        <v>74939.713154282232</v>
      </c>
      <c r="AF33" s="27">
        <f t="shared" si="81"/>
        <v>78103.604969853084</v>
      </c>
      <c r="AG33" s="112"/>
      <c r="AH33" s="113"/>
      <c r="AI33" s="27">
        <f>SUMIFS(PBC_PROFIT_AND_LOSS[AccountBalance], PBC_PROFIT_AND_LOSS[Id],$L33,PBC_PROFIT_AND_LOSS[Date],AI$5)</f>
        <v>10367</v>
      </c>
      <c r="AJ33" s="27">
        <f>SUMIFS(PBC_PROFIT_AND_LOSS[AccountBalance], PBC_PROFIT_AND_LOSS[Id],$L33,PBC_PROFIT_AND_LOSS[Date],AJ$5)</f>
        <v>9056</v>
      </c>
      <c r="AK33" s="27">
        <f>SUMIFS(PBC_PROFIT_AND_LOSS[AccountBalance], PBC_PROFIT_AND_LOSS[Id],$L33,PBC_PROFIT_AND_LOSS[Date],AK$5)</f>
        <v>10886</v>
      </c>
      <c r="AL33" s="27">
        <f>SUMIFS(PBC_PROFIT_AND_LOSS[AccountBalance], PBC_PROFIT_AND_LOSS[Id],$L33,PBC_PROFIT_AND_LOSS[Date],AL$5)</f>
        <v>9509</v>
      </c>
      <c r="AM33" s="27">
        <f>SUMIFS(PBC_PROFIT_AND_LOSS[AccountBalance], PBC_PROFIT_AND_LOSS[Id],$L33,PBC_PROFIT_AND_LOSS[Date],AM$5)</f>
        <v>11430</v>
      </c>
      <c r="AN33" s="27">
        <f>SUMIFS(PBC_PROFIT_AND_LOSS[AccountBalance], PBC_PROFIT_AND_LOSS[Id],$L33,PBC_PROFIT_AND_LOSS[Date],AN$5)</f>
        <v>9984</v>
      </c>
      <c r="AO33" s="27">
        <f>SUMIFS(PBC_PROFIT_AND_LOSS[AccountBalance], PBC_PROFIT_AND_LOSS[Id],$L33,PBC_PROFIT_AND_LOSS[Date],AO$5)</f>
        <v>12002</v>
      </c>
      <c r="AP33" s="27">
        <f>SUMIFS(PBC_PROFIT_AND_LOSS[AccountBalance], PBC_PROFIT_AND_LOSS[Id],$L33,PBC_PROFIT_AND_LOSS[Date],AP$5)</f>
        <v>12602</v>
      </c>
      <c r="AQ33" s="27">
        <f>SUMIFS(PBC_PROFIT_AND_LOSS[AccountBalance], PBC_PROFIT_AND_LOSS[Id],$L33,PBC_PROFIT_AND_LOSS[Date],AQ$5)</f>
        <v>12602</v>
      </c>
      <c r="AR33" s="27">
        <f>SUMIFS(PBC_PROFIT_AND_LOSS[AccountBalance], PBC_PROFIT_AND_LOSS[Id],$L33,PBC_PROFIT_AND_LOSS[Date],AR$5)</f>
        <v>13232</v>
      </c>
      <c r="AS33" s="27">
        <f>SUMIFS(PBC_PROFIT_AND_LOSS[AccountBalance], PBC_PROFIT_AND_LOSS[Id],$L33,PBC_PROFIT_AND_LOSS[Date],AS$5)</f>
        <v>13232</v>
      </c>
      <c r="AT33" s="27">
        <f>SUMIFS(PBC_PROFIT_AND_LOSS[AccountBalance], PBC_PROFIT_AND_LOSS[Id],$L33,PBC_PROFIT_AND_LOSS[Date],AT$5)</f>
        <v>13893</v>
      </c>
      <c r="AU33" s="27">
        <f>SUMIFS(PBC_PROFIT_AND_LOSS[AccountBalance], PBC_PROFIT_AND_LOSS[Id],$L33,PBC_PROFIT_AND_LOSS[Date],AU$5)</f>
        <v>14588</v>
      </c>
      <c r="AV33" s="27">
        <f>SUMIFS(PBC_PROFIT_AND_LOSS[AccountBalance], PBC_PROFIT_AND_LOSS[Id],$L33,PBC_PROFIT_AND_LOSS[Date],AV$5)</f>
        <v>15317.51</v>
      </c>
      <c r="AW33" s="27">
        <f>SUMIFS(PBC_PROFIT_AND_LOSS[AccountBalance], PBC_PROFIT_AND_LOSS[Id],$L33,PBC_PROFIT_AND_LOSS[Date],AW$5)</f>
        <v>16083</v>
      </c>
      <c r="AX33" s="27">
        <f>SUMIFS(PBC_PROFIT_AND_LOSS[AccountBalance], PBC_PROFIT_AND_LOSS[Id],$L33,PBC_PROFIT_AND_LOSS[Date],AX$5)</f>
        <v>16888</v>
      </c>
      <c r="AY33" s="27">
        <f>SUMIFS(PBC_PROFIT_AND_LOSS[AccountBalance], PBC_PROFIT_AND_LOSS[Id],$L33,PBC_PROFIT_AND_LOSS[Date],AY$5)</f>
        <v>17732</v>
      </c>
      <c r="AZ33" s="27">
        <f>SUMIFS(PBC_PROFIT_AND_LOSS[AccountBalance], PBC_PROFIT_AND_LOSS[Id],$L33,PBC_PROFIT_AND_LOSS[Date],AZ$5)</f>
        <v>18619</v>
      </c>
      <c r="BA33" s="27">
        <f>SUMIFS(PBC_PROFIT_AND_LOSS[AccountBalance], PBC_PROFIT_AND_LOSS[Id],$L33,PBC_PROFIT_AND_LOSS[Date],BA$5)</f>
        <v>19549.45</v>
      </c>
      <c r="BB33" s="27">
        <f>SUMIFS(PBC_PROFIT_AND_LOSS[AccountBalance], PBC_PROFIT_AND_LOSS[Id],$L33,PBC_PROFIT_AND_LOSS[Date],BB$5)</f>
        <v>20526.93</v>
      </c>
      <c r="BC33" s="27">
        <f>SUMIFS(PBC_PROFIT_AND_LOSS[AccountBalance], PBC_PROFIT_AND_LOSS[Id],$L33,PBC_PROFIT_AND_LOSS[Date],BC$5)</f>
        <v>21553.27</v>
      </c>
      <c r="BD33" s="27">
        <f>SUMIFS(PBC_PROFIT_AND_LOSS[AccountBalance], PBC_PROFIT_AND_LOSS[Id],$L33,PBC_PROFIT_AND_LOSS[Date],BD$5)</f>
        <v>22630.94</v>
      </c>
      <c r="BE33" s="114">
        <f t="shared" si="82"/>
        <v>21107.028250000003</v>
      </c>
      <c r="BF33" s="114">
        <f t="shared" si="84"/>
        <v>21697.658193750001</v>
      </c>
      <c r="BG33" s="114">
        <f t="shared" si="85"/>
        <v>22236.423377656254</v>
      </c>
      <c r="BH33" s="114">
        <f t="shared" si="86"/>
        <v>22706.643718746098</v>
      </c>
      <c r="BI33" s="114">
        <f t="shared" si="87"/>
        <v>23088.093619526662</v>
      </c>
      <c r="BJ33" s="114">
        <f t="shared" si="88"/>
        <v>23356.687752943828</v>
      </c>
      <c r="BK33" s="114">
        <f t="shared" si="89"/>
        <v>23483.693609709</v>
      </c>
      <c r="BL33" s="114">
        <f t="shared" si="90"/>
        <v>23899.610047658076</v>
      </c>
      <c r="BM33" s="114">
        <f t="shared" si="91"/>
        <v>24284.951622091983</v>
      </c>
      <c r="BN33" s="114">
        <f t="shared" si="92"/>
        <v>24643.444064868236</v>
      </c>
      <c r="BO33" s="114">
        <f t="shared" si="93"/>
        <v>24982.384125439614</v>
      </c>
      <c r="BP33" s="114">
        <f t="shared" si="94"/>
        <v>25313.884963974382</v>
      </c>
      <c r="BQ33" s="114">
        <f t="shared" si="95"/>
        <v>25656.394475904723</v>
      </c>
      <c r="BR33" s="114">
        <f t="shared" si="96"/>
        <v>26036.617127488975</v>
      </c>
      <c r="BS33" s="114">
        <f t="shared" si="97"/>
        <v>26410.593366459387</v>
      </c>
    </row>
    <row r="34" spans="3:71" outlineLevel="2">
      <c r="C34" s="21"/>
      <c r="D34" s="26" t="s">
        <v>175</v>
      </c>
      <c r="E34" s="18" t="s">
        <v>158</v>
      </c>
      <c r="F34" s="111">
        <v>0.05</v>
      </c>
      <c r="G34" s="15" t="str">
        <f>IFERROR(INDEX(PBC_ACCOUNT_LIST[Drivers Section],MATCH(Drivers!L34,PBC_ACCOUNT_LIST[Id],0)),"")</f>
        <v>Opex</v>
      </c>
      <c r="H34" s="15" t="str">
        <f>IFERROR(INDEX(PBC_ACCOUNT_LIST[Summary Grouping],MATCH(Drivers!L34,PBC_ACCOUNT_LIST[Id],0)),"")</f>
        <v>Office &amp; Other G&amp;A</v>
      </c>
      <c r="I34" s="15"/>
      <c r="J34" s="15">
        <f>IFERROR(INDEX(PBC_ACCOUNT_LIST[Cash Flow Section],MATCH(Drivers!L34,PBC_ACCOUNT_LIST[Id],0)),"")</f>
        <v>0</v>
      </c>
      <c r="K34" s="16" t="s">
        <v>159</v>
      </c>
      <c r="L34" s="15">
        <v>203</v>
      </c>
      <c r="M34" s="14"/>
      <c r="O34" s="9"/>
      <c r="P34" s="27">
        <f t="shared" si="80"/>
        <v>17607</v>
      </c>
      <c r="Q34" s="27">
        <f t="shared" si="80"/>
        <v>30783.286306562499</v>
      </c>
      <c r="R34" s="27">
        <f t="shared" si="80"/>
        <v>38669.368506007107</v>
      </c>
      <c r="S34" s="27"/>
      <c r="T34" s="27"/>
      <c r="U34" s="27">
        <f t="shared" si="81"/>
        <v>3088</v>
      </c>
      <c r="V34" s="27">
        <f t="shared" si="81"/>
        <v>3973</v>
      </c>
      <c r="W34" s="27">
        <f t="shared" si="81"/>
        <v>5057</v>
      </c>
      <c r="X34" s="27">
        <f t="shared" si="81"/>
        <v>5489</v>
      </c>
      <c r="Y34" s="27">
        <f t="shared" si="81"/>
        <v>6353.65</v>
      </c>
      <c r="Z34" s="27">
        <f t="shared" si="81"/>
        <v>7355.5300000000007</v>
      </c>
      <c r="AA34" s="27">
        <f t="shared" si="81"/>
        <v>8515.41</v>
      </c>
      <c r="AB34" s="27">
        <f t="shared" si="81"/>
        <v>8558.6963065625005</v>
      </c>
      <c r="AC34" s="27">
        <f t="shared" si="81"/>
        <v>9099.6283413474775</v>
      </c>
      <c r="AD34" s="27">
        <f t="shared" si="81"/>
        <v>9430.8054752143598</v>
      </c>
      <c r="AE34" s="27">
        <f t="shared" si="81"/>
        <v>9861.2993354383234</v>
      </c>
      <c r="AF34" s="27">
        <f t="shared" si="81"/>
        <v>10277.635354006952</v>
      </c>
      <c r="AG34" s="112"/>
      <c r="AH34" s="113"/>
      <c r="AI34" s="27">
        <f>SUMIFS(PBC_PROFIT_AND_LOSS[AccountBalance], PBC_PROFIT_AND_LOSS[Id],$L34,PBC_PROFIT_AND_LOSS[Date],AI$5)</f>
        <v>1364</v>
      </c>
      <c r="AJ34" s="27">
        <f>SUMIFS(PBC_PROFIT_AND_LOSS[AccountBalance], PBC_PROFIT_AND_LOSS[Id],$L34,PBC_PROFIT_AND_LOSS[Date],AJ$5)</f>
        <v>808</v>
      </c>
      <c r="AK34" s="27">
        <f>SUMIFS(PBC_PROFIT_AND_LOSS[AccountBalance], PBC_PROFIT_AND_LOSS[Id],$L34,PBC_PROFIT_AND_LOSS[Date],AK$5)</f>
        <v>1432</v>
      </c>
      <c r="AL34" s="27">
        <f>SUMIFS(PBC_PROFIT_AND_LOSS[AccountBalance], PBC_PROFIT_AND_LOSS[Id],$L34,PBC_PROFIT_AND_LOSS[Date],AL$5)</f>
        <v>848</v>
      </c>
      <c r="AM34" s="27">
        <f>SUMIFS(PBC_PROFIT_AND_LOSS[AccountBalance], PBC_PROFIT_AND_LOSS[Id],$L34,PBC_PROFIT_AND_LOSS[Date],AM$5)</f>
        <v>1504</v>
      </c>
      <c r="AN34" s="27">
        <f>SUMIFS(PBC_PROFIT_AND_LOSS[AccountBalance], PBC_PROFIT_AND_LOSS[Id],$L34,PBC_PROFIT_AND_LOSS[Date],AN$5)</f>
        <v>890</v>
      </c>
      <c r="AO34" s="27">
        <f>SUMIFS(PBC_PROFIT_AND_LOSS[AccountBalance], PBC_PROFIT_AND_LOSS[Id],$L34,PBC_PROFIT_AND_LOSS[Date],AO$5)</f>
        <v>1579</v>
      </c>
      <c r="AP34" s="27">
        <f>SUMIFS(PBC_PROFIT_AND_LOSS[AccountBalance], PBC_PROFIT_AND_LOSS[Id],$L34,PBC_PROFIT_AND_LOSS[Date],AP$5)</f>
        <v>1658</v>
      </c>
      <c r="AQ34" s="27">
        <f>SUMIFS(PBC_PROFIT_AND_LOSS[AccountBalance], PBC_PROFIT_AND_LOSS[Id],$L34,PBC_PROFIT_AND_LOSS[Date],AQ$5)</f>
        <v>1658</v>
      </c>
      <c r="AR34" s="27">
        <f>SUMIFS(PBC_PROFIT_AND_LOSS[AccountBalance], PBC_PROFIT_AND_LOSS[Id],$L34,PBC_PROFIT_AND_LOSS[Date],AR$5)</f>
        <v>1741</v>
      </c>
      <c r="AS34" s="27">
        <f>SUMIFS(PBC_PROFIT_AND_LOSS[AccountBalance], PBC_PROFIT_AND_LOSS[Id],$L34,PBC_PROFIT_AND_LOSS[Date],AS$5)</f>
        <v>1741</v>
      </c>
      <c r="AT34" s="27">
        <f>SUMIFS(PBC_PROFIT_AND_LOSS[AccountBalance], PBC_PROFIT_AND_LOSS[Id],$L34,PBC_PROFIT_AND_LOSS[Date],AT$5)</f>
        <v>1828</v>
      </c>
      <c r="AU34" s="27">
        <f>SUMIFS(PBC_PROFIT_AND_LOSS[AccountBalance], PBC_PROFIT_AND_LOSS[Id],$L34,PBC_PROFIT_AND_LOSS[Date],AU$5)</f>
        <v>1920</v>
      </c>
      <c r="AV34" s="27">
        <f>SUMIFS(PBC_PROFIT_AND_LOSS[AccountBalance], PBC_PROFIT_AND_LOSS[Id],$L34,PBC_PROFIT_AND_LOSS[Date],AV$5)</f>
        <v>2015.65</v>
      </c>
      <c r="AW34" s="27">
        <f>SUMIFS(PBC_PROFIT_AND_LOSS[AccountBalance], PBC_PROFIT_AND_LOSS[Id],$L34,PBC_PROFIT_AND_LOSS[Date],AW$5)</f>
        <v>2116</v>
      </c>
      <c r="AX34" s="27">
        <f>SUMIFS(PBC_PROFIT_AND_LOSS[AccountBalance], PBC_PROFIT_AND_LOSS[Id],$L34,PBC_PROFIT_AND_LOSS[Date],AX$5)</f>
        <v>2222</v>
      </c>
      <c r="AY34" s="27">
        <f>SUMIFS(PBC_PROFIT_AND_LOSS[AccountBalance], PBC_PROFIT_AND_LOSS[Id],$L34,PBC_PROFIT_AND_LOSS[Date],AY$5)</f>
        <v>2333</v>
      </c>
      <c r="AZ34" s="27">
        <f>SUMIFS(PBC_PROFIT_AND_LOSS[AccountBalance], PBC_PROFIT_AND_LOSS[Id],$L34,PBC_PROFIT_AND_LOSS[Date],AZ$5)</f>
        <v>2450</v>
      </c>
      <c r="BA34" s="27">
        <f>SUMIFS(PBC_PROFIT_AND_LOSS[AccountBalance], PBC_PROFIT_AND_LOSS[Id],$L34,PBC_PROFIT_AND_LOSS[Date],BA$5)</f>
        <v>2572.5300000000002</v>
      </c>
      <c r="BB34" s="27">
        <f>SUMIFS(PBC_PROFIT_AND_LOSS[AccountBalance], PBC_PROFIT_AND_LOSS[Id],$L34,PBC_PROFIT_AND_LOSS[Date],BB$5)</f>
        <v>2701.16</v>
      </c>
      <c r="BC34" s="27">
        <f>SUMIFS(PBC_PROFIT_AND_LOSS[AccountBalance], PBC_PROFIT_AND_LOSS[Id],$L34,PBC_PROFIT_AND_LOSS[Date],BC$5)</f>
        <v>2836.22</v>
      </c>
      <c r="BD34" s="27">
        <f>SUMIFS(PBC_PROFIT_AND_LOSS[AccountBalance], PBC_PROFIT_AND_LOSS[Id],$L34,PBC_PROFIT_AND_LOSS[Date],BD$5)</f>
        <v>2978.03</v>
      </c>
      <c r="BE34" s="114">
        <f t="shared" si="82"/>
        <v>2777.4145000000003</v>
      </c>
      <c r="BF34" s="114">
        <f t="shared" si="84"/>
        <v>2855.1870375000003</v>
      </c>
      <c r="BG34" s="114">
        <f t="shared" si="85"/>
        <v>2926.0947690625003</v>
      </c>
      <c r="BH34" s="114">
        <f t="shared" si="86"/>
        <v>2987.9686036484381</v>
      </c>
      <c r="BI34" s="114">
        <f t="shared" si="87"/>
        <v>3038.1601092869141</v>
      </c>
      <c r="BJ34" s="114">
        <f t="shared" si="88"/>
        <v>3073.4996284121244</v>
      </c>
      <c r="BK34" s="114">
        <f t="shared" si="89"/>
        <v>3090.2068133842458</v>
      </c>
      <c r="BL34" s="114">
        <f t="shared" si="90"/>
        <v>3144.9454682264891</v>
      </c>
      <c r="BM34" s="114">
        <f t="shared" si="91"/>
        <v>3195.6531936036245</v>
      </c>
      <c r="BN34" s="114">
        <f t="shared" si="92"/>
        <v>3242.8259178983217</v>
      </c>
      <c r="BO34" s="114">
        <f t="shared" si="93"/>
        <v>3287.4259478920508</v>
      </c>
      <c r="BP34" s="114">
        <f t="shared" si="94"/>
        <v>3331.04746964795</v>
      </c>
      <c r="BQ34" s="114">
        <f t="shared" si="95"/>
        <v>3376.1183418642195</v>
      </c>
      <c r="BR34" s="114">
        <f t="shared" si="96"/>
        <v>3426.1528593482153</v>
      </c>
      <c r="BS34" s="114">
        <f t="shared" si="97"/>
        <v>3475.3641527945169</v>
      </c>
    </row>
    <row r="35" spans="3:71" outlineLevel="2">
      <c r="C35" s="21"/>
      <c r="D35" s="26" t="s">
        <v>176</v>
      </c>
      <c r="E35" s="18" t="s">
        <v>158</v>
      </c>
      <c r="F35" s="111">
        <v>0.05</v>
      </c>
      <c r="G35" s="15" t="str">
        <f>IFERROR(INDEX(PBC_ACCOUNT_LIST[Drivers Section],MATCH(Drivers!L35,PBC_ACCOUNT_LIST[Id],0)),"")</f>
        <v>Opex</v>
      </c>
      <c r="H35" s="15" t="str">
        <f>IFERROR(INDEX(PBC_ACCOUNT_LIST[Summary Grouping],MATCH(Drivers!L35,PBC_ACCOUNT_LIST[Id],0)),"")</f>
        <v>Professional Services</v>
      </c>
      <c r="I35" s="15"/>
      <c r="J35" s="15">
        <f>IFERROR(INDEX(PBC_ACCOUNT_LIST[Cash Flow Section],MATCH(Drivers!L35,PBC_ACCOUNT_LIST[Id],0)),"")</f>
        <v>0</v>
      </c>
      <c r="K35" s="16" t="s">
        <v>159</v>
      </c>
      <c r="L35" s="15">
        <v>172</v>
      </c>
      <c r="M35" s="14"/>
      <c r="O35" s="9"/>
      <c r="P35" s="27">
        <f t="shared" si="80"/>
        <v>0</v>
      </c>
      <c r="Q35" s="27">
        <f t="shared" si="80"/>
        <v>0</v>
      </c>
      <c r="R35" s="27">
        <f t="shared" si="80"/>
        <v>0</v>
      </c>
      <c r="S35" s="27"/>
      <c r="T35" s="27"/>
      <c r="U35" s="27">
        <f t="shared" si="81"/>
        <v>0</v>
      </c>
      <c r="V35" s="27">
        <f t="shared" si="81"/>
        <v>0</v>
      </c>
      <c r="W35" s="27">
        <f t="shared" si="81"/>
        <v>0</v>
      </c>
      <c r="X35" s="27">
        <f t="shared" si="81"/>
        <v>0</v>
      </c>
      <c r="Y35" s="27">
        <f t="shared" si="81"/>
        <v>0</v>
      </c>
      <c r="Z35" s="27">
        <f t="shared" si="81"/>
        <v>0</v>
      </c>
      <c r="AA35" s="27">
        <f t="shared" si="81"/>
        <v>0</v>
      </c>
      <c r="AB35" s="27">
        <f t="shared" si="81"/>
        <v>0</v>
      </c>
      <c r="AC35" s="27">
        <f t="shared" si="81"/>
        <v>0</v>
      </c>
      <c r="AD35" s="27">
        <f t="shared" si="81"/>
        <v>0</v>
      </c>
      <c r="AE35" s="27">
        <f t="shared" si="81"/>
        <v>0</v>
      </c>
      <c r="AF35" s="27">
        <f t="shared" si="81"/>
        <v>0</v>
      </c>
      <c r="AG35" s="112"/>
      <c r="AH35" s="113"/>
      <c r="AI35" s="27">
        <f>SUMIFS(PBC_PROFIT_AND_LOSS[AccountBalance], PBC_PROFIT_AND_LOSS[Id],$L35,PBC_PROFIT_AND_LOSS[Date],AI$5)</f>
        <v>0</v>
      </c>
      <c r="AJ35" s="27">
        <f>SUMIFS(PBC_PROFIT_AND_LOSS[AccountBalance], PBC_PROFIT_AND_LOSS[Id],$L35,PBC_PROFIT_AND_LOSS[Date],AJ$5)</f>
        <v>0</v>
      </c>
      <c r="AK35" s="27">
        <f>SUMIFS(PBC_PROFIT_AND_LOSS[AccountBalance], PBC_PROFIT_AND_LOSS[Id],$L35,PBC_PROFIT_AND_LOSS[Date],AK$5)</f>
        <v>0</v>
      </c>
      <c r="AL35" s="27">
        <f>SUMIFS(PBC_PROFIT_AND_LOSS[AccountBalance], PBC_PROFIT_AND_LOSS[Id],$L35,PBC_PROFIT_AND_LOSS[Date],AL$5)</f>
        <v>0</v>
      </c>
      <c r="AM35" s="27">
        <f>SUMIFS(PBC_PROFIT_AND_LOSS[AccountBalance], PBC_PROFIT_AND_LOSS[Id],$L35,PBC_PROFIT_AND_LOSS[Date],AM$5)</f>
        <v>0</v>
      </c>
      <c r="AN35" s="27">
        <f>SUMIFS(PBC_PROFIT_AND_LOSS[AccountBalance], PBC_PROFIT_AND_LOSS[Id],$L35,PBC_PROFIT_AND_LOSS[Date],AN$5)</f>
        <v>0</v>
      </c>
      <c r="AO35" s="27">
        <f>SUMIFS(PBC_PROFIT_AND_LOSS[AccountBalance], PBC_PROFIT_AND_LOSS[Id],$L35,PBC_PROFIT_AND_LOSS[Date],AO$5)</f>
        <v>0</v>
      </c>
      <c r="AP35" s="27">
        <f>SUMIFS(PBC_PROFIT_AND_LOSS[AccountBalance], PBC_PROFIT_AND_LOSS[Id],$L35,PBC_PROFIT_AND_LOSS[Date],AP$5)</f>
        <v>0</v>
      </c>
      <c r="AQ35" s="27">
        <f>SUMIFS(PBC_PROFIT_AND_LOSS[AccountBalance], PBC_PROFIT_AND_LOSS[Id],$L35,PBC_PROFIT_AND_LOSS[Date],AQ$5)</f>
        <v>0</v>
      </c>
      <c r="AR35" s="27">
        <f>SUMIFS(PBC_PROFIT_AND_LOSS[AccountBalance], PBC_PROFIT_AND_LOSS[Id],$L35,PBC_PROFIT_AND_LOSS[Date],AR$5)</f>
        <v>0</v>
      </c>
      <c r="AS35" s="27">
        <f>SUMIFS(PBC_PROFIT_AND_LOSS[AccountBalance], PBC_PROFIT_AND_LOSS[Id],$L35,PBC_PROFIT_AND_LOSS[Date],AS$5)</f>
        <v>0</v>
      </c>
      <c r="AT35" s="27">
        <f>SUMIFS(PBC_PROFIT_AND_LOSS[AccountBalance], PBC_PROFIT_AND_LOSS[Id],$L35,PBC_PROFIT_AND_LOSS[Date],AT$5)</f>
        <v>0</v>
      </c>
      <c r="AU35" s="27">
        <f>SUMIFS(PBC_PROFIT_AND_LOSS[AccountBalance], PBC_PROFIT_AND_LOSS[Id],$L35,PBC_PROFIT_AND_LOSS[Date],AU$5)</f>
        <v>0</v>
      </c>
      <c r="AV35" s="27">
        <f>SUMIFS(PBC_PROFIT_AND_LOSS[AccountBalance], PBC_PROFIT_AND_LOSS[Id],$L35,PBC_PROFIT_AND_LOSS[Date],AV$5)</f>
        <v>0</v>
      </c>
      <c r="AW35" s="27">
        <f>SUMIFS(PBC_PROFIT_AND_LOSS[AccountBalance], PBC_PROFIT_AND_LOSS[Id],$L35,PBC_PROFIT_AND_LOSS[Date],AW$5)</f>
        <v>0</v>
      </c>
      <c r="AX35" s="27">
        <f>SUMIFS(PBC_PROFIT_AND_LOSS[AccountBalance], PBC_PROFIT_AND_LOSS[Id],$L35,PBC_PROFIT_AND_LOSS[Date],AX$5)</f>
        <v>0</v>
      </c>
      <c r="AY35" s="27">
        <f>SUMIFS(PBC_PROFIT_AND_LOSS[AccountBalance], PBC_PROFIT_AND_LOSS[Id],$L35,PBC_PROFIT_AND_LOSS[Date],AY$5)</f>
        <v>0</v>
      </c>
      <c r="AZ35" s="27">
        <f>SUMIFS(PBC_PROFIT_AND_LOSS[AccountBalance], PBC_PROFIT_AND_LOSS[Id],$L35,PBC_PROFIT_AND_LOSS[Date],AZ$5)</f>
        <v>0</v>
      </c>
      <c r="BA35" s="27">
        <f>SUMIFS(PBC_PROFIT_AND_LOSS[AccountBalance], PBC_PROFIT_AND_LOSS[Id],$L35,PBC_PROFIT_AND_LOSS[Date],BA$5)</f>
        <v>0</v>
      </c>
      <c r="BB35" s="27">
        <f>SUMIFS(PBC_PROFIT_AND_LOSS[AccountBalance], PBC_PROFIT_AND_LOSS[Id],$L35,PBC_PROFIT_AND_LOSS[Date],BB$5)</f>
        <v>0</v>
      </c>
      <c r="BC35" s="27">
        <f>SUMIFS(PBC_PROFIT_AND_LOSS[AccountBalance], PBC_PROFIT_AND_LOSS[Id],$L35,PBC_PROFIT_AND_LOSS[Date],BC$5)</f>
        <v>0</v>
      </c>
      <c r="BD35" s="27">
        <f>SUMIFS(PBC_PROFIT_AND_LOSS[AccountBalance], PBC_PROFIT_AND_LOSS[Id],$L35,PBC_PROFIT_AND_LOSS[Date],BD$5)</f>
        <v>0</v>
      </c>
      <c r="BE35" s="114">
        <f t="shared" si="82"/>
        <v>0</v>
      </c>
      <c r="BF35" s="114">
        <f t="shared" si="84"/>
        <v>0</v>
      </c>
      <c r="BG35" s="114">
        <f t="shared" si="85"/>
        <v>0</v>
      </c>
      <c r="BH35" s="114">
        <f t="shared" si="86"/>
        <v>0</v>
      </c>
      <c r="BI35" s="114">
        <f t="shared" si="87"/>
        <v>0</v>
      </c>
      <c r="BJ35" s="114">
        <f t="shared" si="88"/>
        <v>0</v>
      </c>
      <c r="BK35" s="114">
        <f t="shared" si="89"/>
        <v>0</v>
      </c>
      <c r="BL35" s="114">
        <f t="shared" si="90"/>
        <v>0</v>
      </c>
      <c r="BM35" s="114">
        <f t="shared" si="91"/>
        <v>0</v>
      </c>
      <c r="BN35" s="114">
        <f t="shared" si="92"/>
        <v>0</v>
      </c>
      <c r="BO35" s="114">
        <f t="shared" si="93"/>
        <v>0</v>
      </c>
      <c r="BP35" s="114">
        <f t="shared" si="94"/>
        <v>0</v>
      </c>
      <c r="BQ35" s="114">
        <f t="shared" si="95"/>
        <v>0</v>
      </c>
      <c r="BR35" s="114">
        <f t="shared" si="96"/>
        <v>0</v>
      </c>
      <c r="BS35" s="114">
        <f t="shared" si="97"/>
        <v>0</v>
      </c>
    </row>
    <row r="36" spans="3:71" outlineLevel="2">
      <c r="C36" s="21"/>
      <c r="D36" s="26" t="s">
        <v>177</v>
      </c>
      <c r="E36" s="18" t="s">
        <v>158</v>
      </c>
      <c r="F36" s="111">
        <v>0.05</v>
      </c>
      <c r="G36" s="15" t="str">
        <f>IFERROR(INDEX(PBC_ACCOUNT_LIST[Drivers Section],MATCH(Drivers!L36,PBC_ACCOUNT_LIST[Id],0)),"")</f>
        <v>Opex</v>
      </c>
      <c r="H36" s="15" t="str">
        <f>IFERROR(INDEX(PBC_ACCOUNT_LIST[Summary Grouping],MATCH(Drivers!L36,PBC_ACCOUNT_LIST[Id],0)),"")</f>
        <v>Professional Services</v>
      </c>
      <c r="I36" s="15"/>
      <c r="J36" s="15">
        <f>IFERROR(INDEX(PBC_ACCOUNT_LIST[Cash Flow Section],MATCH(Drivers!L36,PBC_ACCOUNT_LIST[Id],0)),"")</f>
        <v>0</v>
      </c>
      <c r="K36" s="16" t="s">
        <v>159</v>
      </c>
      <c r="L36" s="15">
        <v>173</v>
      </c>
      <c r="M36" s="14"/>
      <c r="O36" s="9"/>
      <c r="P36" s="27">
        <f t="shared" si="80"/>
        <v>38365</v>
      </c>
      <c r="Q36" s="27">
        <f t="shared" si="80"/>
        <v>63405.6961878125</v>
      </c>
      <c r="R36" s="27">
        <f t="shared" si="80"/>
        <v>79647.139647345524</v>
      </c>
      <c r="S36" s="27"/>
      <c r="T36" s="27"/>
      <c r="U36" s="27">
        <f t="shared" si="81"/>
        <v>7723</v>
      </c>
      <c r="V36" s="27">
        <f t="shared" si="81"/>
        <v>8918</v>
      </c>
      <c r="W36" s="27">
        <f t="shared" si="81"/>
        <v>10418</v>
      </c>
      <c r="X36" s="27">
        <f t="shared" si="81"/>
        <v>11306</v>
      </c>
      <c r="Y36" s="27">
        <f t="shared" si="81"/>
        <v>13087.61</v>
      </c>
      <c r="Z36" s="27">
        <f t="shared" si="81"/>
        <v>15150.630000000001</v>
      </c>
      <c r="AA36" s="27">
        <f t="shared" si="81"/>
        <v>17539.11</v>
      </c>
      <c r="AB36" s="27">
        <f t="shared" si="81"/>
        <v>17628.346187812498</v>
      </c>
      <c r="AC36" s="27">
        <f t="shared" si="81"/>
        <v>18742.467346363395</v>
      </c>
      <c r="AD36" s="27">
        <f t="shared" si="81"/>
        <v>19424.591164554477</v>
      </c>
      <c r="AE36" s="27">
        <f t="shared" si="81"/>
        <v>20311.278614861025</v>
      </c>
      <c r="AF36" s="27">
        <f t="shared" si="81"/>
        <v>21168.802521566635</v>
      </c>
      <c r="AG36" s="112"/>
      <c r="AH36" s="113"/>
      <c r="AI36" s="27">
        <f>SUMIFS(PBC_PROFIT_AND_LOSS[AccountBalance], PBC_PROFIT_AND_LOSS[Id],$L36,PBC_PROFIT_AND_LOSS[Date],AI$5)</f>
        <v>2810</v>
      </c>
      <c r="AJ36" s="27">
        <f>SUMIFS(PBC_PROFIT_AND_LOSS[AccountBalance], PBC_PROFIT_AND_LOSS[Id],$L36,PBC_PROFIT_AND_LOSS[Date],AJ$5)</f>
        <v>2328</v>
      </c>
      <c r="AK36" s="27">
        <f>SUMIFS(PBC_PROFIT_AND_LOSS[AccountBalance], PBC_PROFIT_AND_LOSS[Id],$L36,PBC_PROFIT_AND_LOSS[Date],AK$5)</f>
        <v>2950</v>
      </c>
      <c r="AL36" s="27">
        <f>SUMIFS(PBC_PROFIT_AND_LOSS[AccountBalance], PBC_PROFIT_AND_LOSS[Id],$L36,PBC_PROFIT_AND_LOSS[Date],AL$5)</f>
        <v>2445</v>
      </c>
      <c r="AM36" s="27">
        <f>SUMIFS(PBC_PROFIT_AND_LOSS[AccountBalance], PBC_PROFIT_AND_LOSS[Id],$L36,PBC_PROFIT_AND_LOSS[Date],AM$5)</f>
        <v>3098</v>
      </c>
      <c r="AN36" s="27">
        <f>SUMIFS(PBC_PROFIT_AND_LOSS[AccountBalance], PBC_PROFIT_AND_LOSS[Id],$L36,PBC_PROFIT_AND_LOSS[Date],AN$5)</f>
        <v>2567</v>
      </c>
      <c r="AO36" s="27">
        <f>SUMIFS(PBC_PROFIT_AND_LOSS[AccountBalance], PBC_PROFIT_AND_LOSS[Id],$L36,PBC_PROFIT_AND_LOSS[Date],AO$5)</f>
        <v>3253</v>
      </c>
      <c r="AP36" s="27">
        <f>SUMIFS(PBC_PROFIT_AND_LOSS[AccountBalance], PBC_PROFIT_AND_LOSS[Id],$L36,PBC_PROFIT_AND_LOSS[Date],AP$5)</f>
        <v>3416</v>
      </c>
      <c r="AQ36" s="27">
        <f>SUMIFS(PBC_PROFIT_AND_LOSS[AccountBalance], PBC_PROFIT_AND_LOSS[Id],$L36,PBC_PROFIT_AND_LOSS[Date],AQ$5)</f>
        <v>3416</v>
      </c>
      <c r="AR36" s="27">
        <f>SUMIFS(PBC_PROFIT_AND_LOSS[AccountBalance], PBC_PROFIT_AND_LOSS[Id],$L36,PBC_PROFIT_AND_LOSS[Date],AR$5)</f>
        <v>3586</v>
      </c>
      <c r="AS36" s="27">
        <f>SUMIFS(PBC_PROFIT_AND_LOSS[AccountBalance], PBC_PROFIT_AND_LOSS[Id],$L36,PBC_PROFIT_AND_LOSS[Date],AS$5)</f>
        <v>3586</v>
      </c>
      <c r="AT36" s="27">
        <f>SUMIFS(PBC_PROFIT_AND_LOSS[AccountBalance], PBC_PROFIT_AND_LOSS[Id],$L36,PBC_PROFIT_AND_LOSS[Date],AT$5)</f>
        <v>3766</v>
      </c>
      <c r="AU36" s="27">
        <f>SUMIFS(PBC_PROFIT_AND_LOSS[AccountBalance], PBC_PROFIT_AND_LOSS[Id],$L36,PBC_PROFIT_AND_LOSS[Date],AU$5)</f>
        <v>3954</v>
      </c>
      <c r="AV36" s="27">
        <f>SUMIFS(PBC_PROFIT_AND_LOSS[AccountBalance], PBC_PROFIT_AND_LOSS[Id],$L36,PBC_PROFIT_AND_LOSS[Date],AV$5)</f>
        <v>4151.6099999999997</v>
      </c>
      <c r="AW36" s="27">
        <f>SUMIFS(PBC_PROFIT_AND_LOSS[AccountBalance], PBC_PROFIT_AND_LOSS[Id],$L36,PBC_PROFIT_AND_LOSS[Date],AW$5)</f>
        <v>4359</v>
      </c>
      <c r="AX36" s="27">
        <f>SUMIFS(PBC_PROFIT_AND_LOSS[AccountBalance], PBC_PROFIT_AND_LOSS[Id],$L36,PBC_PROFIT_AND_LOSS[Date],AX$5)</f>
        <v>4577</v>
      </c>
      <c r="AY36" s="27">
        <f>SUMIFS(PBC_PROFIT_AND_LOSS[AccountBalance], PBC_PROFIT_AND_LOSS[Id],$L36,PBC_PROFIT_AND_LOSS[Date],AY$5)</f>
        <v>4806</v>
      </c>
      <c r="AZ36" s="27">
        <f>SUMIFS(PBC_PROFIT_AND_LOSS[AccountBalance], PBC_PROFIT_AND_LOSS[Id],$L36,PBC_PROFIT_AND_LOSS[Date],AZ$5)</f>
        <v>5046</v>
      </c>
      <c r="BA36" s="27">
        <f>SUMIFS(PBC_PROFIT_AND_LOSS[AccountBalance], PBC_PROFIT_AND_LOSS[Id],$L36,PBC_PROFIT_AND_LOSS[Date],BA$5)</f>
        <v>5298.63</v>
      </c>
      <c r="BB36" s="27">
        <f>SUMIFS(PBC_PROFIT_AND_LOSS[AccountBalance], PBC_PROFIT_AND_LOSS[Id],$L36,PBC_PROFIT_AND_LOSS[Date],BB$5)</f>
        <v>5563.56</v>
      </c>
      <c r="BC36" s="27">
        <f>SUMIFS(PBC_PROFIT_AND_LOSS[AccountBalance], PBC_PROFIT_AND_LOSS[Id],$L36,PBC_PROFIT_AND_LOSS[Date],BC$5)</f>
        <v>5841.73</v>
      </c>
      <c r="BD36" s="27">
        <f>SUMIFS(PBC_PROFIT_AND_LOSS[AccountBalance], PBC_PROFIT_AND_LOSS[Id],$L36,PBC_PROFIT_AND_LOSS[Date],BD$5)</f>
        <v>6133.82</v>
      </c>
      <c r="BE36" s="114">
        <f t="shared" si="82"/>
        <v>5720.7044999999998</v>
      </c>
      <c r="BF36" s="114">
        <f t="shared" si="84"/>
        <v>5880.7777875000002</v>
      </c>
      <c r="BG36" s="114">
        <f t="shared" si="85"/>
        <v>6026.8639003124999</v>
      </c>
      <c r="BH36" s="114">
        <f t="shared" si="86"/>
        <v>6154.3048328671885</v>
      </c>
      <c r="BI36" s="114">
        <f t="shared" si="87"/>
        <v>6257.6851786189445</v>
      </c>
      <c r="BJ36" s="114">
        <f t="shared" si="88"/>
        <v>6330.4773348772615</v>
      </c>
      <c r="BK36" s="114">
        <f t="shared" si="89"/>
        <v>6364.8923684807805</v>
      </c>
      <c r="BL36" s="114">
        <f t="shared" si="90"/>
        <v>6477.6252454649175</v>
      </c>
      <c r="BM36" s="114">
        <f t="shared" si="91"/>
        <v>6582.0735506087785</v>
      </c>
      <c r="BN36" s="114">
        <f t="shared" si="92"/>
        <v>6679.2352394106283</v>
      </c>
      <c r="BO36" s="114">
        <f t="shared" si="93"/>
        <v>6771.0980605557306</v>
      </c>
      <c r="BP36" s="114">
        <f t="shared" si="94"/>
        <v>6860.9453148946668</v>
      </c>
      <c r="BQ36" s="114">
        <f t="shared" si="95"/>
        <v>6953.7772113977135</v>
      </c>
      <c r="BR36" s="114">
        <f t="shared" si="96"/>
        <v>7056.8320589081759</v>
      </c>
      <c r="BS36" s="114">
        <f t="shared" si="97"/>
        <v>7158.1932512607464</v>
      </c>
    </row>
    <row r="37" spans="3:71" outlineLevel="2">
      <c r="C37" s="21"/>
      <c r="D37" s="26" t="s">
        <v>178</v>
      </c>
      <c r="E37" s="18" t="s">
        <v>158</v>
      </c>
      <c r="F37" s="111">
        <v>0.05</v>
      </c>
      <c r="G37" s="15" t="str">
        <f>IFERROR(INDEX(PBC_ACCOUNT_LIST[Drivers Section],MATCH(Drivers!L37,PBC_ACCOUNT_LIST[Id],0)),"")</f>
        <v>Opex</v>
      </c>
      <c r="H37" s="15" t="str">
        <f>IFERROR(INDEX(PBC_ACCOUNT_LIST[Summary Grouping],MATCH(Drivers!L37,PBC_ACCOUNT_LIST[Id],0)),"")</f>
        <v>Professional Services</v>
      </c>
      <c r="I37" s="15"/>
      <c r="J37" s="15">
        <f>IFERROR(INDEX(PBC_ACCOUNT_LIST[Cash Flow Section],MATCH(Drivers!L37,PBC_ACCOUNT_LIST[Id],0)),"")</f>
        <v>0</v>
      </c>
      <c r="K37" s="16" t="s">
        <v>159</v>
      </c>
      <c r="L37" s="15">
        <v>175</v>
      </c>
      <c r="M37" s="14"/>
      <c r="O37" s="9"/>
      <c r="P37" s="27">
        <f t="shared" si="80"/>
        <v>60342</v>
      </c>
      <c r="Q37" s="27">
        <f t="shared" si="80"/>
        <v>107235.67533640625</v>
      </c>
      <c r="R37" s="27">
        <f t="shared" si="80"/>
        <v>134703.75014288601</v>
      </c>
      <c r="S37" s="27"/>
      <c r="T37" s="27"/>
      <c r="U37" s="27">
        <f t="shared" ref="U37:AF49" si="98">SUMIFS($AI37:$BS37,$AI$4:$BS$4,"&gt;="&amp;U$4,$AI$5:$BS$5,"&lt;="&amp;U$5)</f>
        <v>10109</v>
      </c>
      <c r="V37" s="27">
        <f t="shared" si="98"/>
        <v>13493</v>
      </c>
      <c r="W37" s="27">
        <f t="shared" si="98"/>
        <v>17619</v>
      </c>
      <c r="X37" s="27">
        <f t="shared" si="98"/>
        <v>19121</v>
      </c>
      <c r="Y37" s="27">
        <f t="shared" si="98"/>
        <v>22134.37</v>
      </c>
      <c r="Z37" s="27">
        <f t="shared" si="98"/>
        <v>25624.25</v>
      </c>
      <c r="AA37" s="27">
        <f t="shared" si="98"/>
        <v>29662.86</v>
      </c>
      <c r="AB37" s="27">
        <f t="shared" si="98"/>
        <v>29814.19533640625</v>
      </c>
      <c r="AC37" s="27">
        <f t="shared" si="98"/>
        <v>31698.288235339161</v>
      </c>
      <c r="AD37" s="27">
        <f t="shared" si="98"/>
        <v>32851.98982840027</v>
      </c>
      <c r="AE37" s="27">
        <f t="shared" si="98"/>
        <v>34351.587899897691</v>
      </c>
      <c r="AF37" s="27">
        <f t="shared" si="98"/>
        <v>35801.884179248904</v>
      </c>
      <c r="AG37" s="112"/>
      <c r="AH37" s="113"/>
      <c r="AI37" s="27">
        <f>SUMIFS(PBC_PROFIT_AND_LOSS[AccountBalance], PBC_PROFIT_AND_LOSS[Id],$L37,PBC_PROFIT_AND_LOSS[Date],AI$5)</f>
        <v>4752</v>
      </c>
      <c r="AJ37" s="27">
        <f>SUMIFS(PBC_PROFIT_AND_LOSS[AccountBalance], PBC_PROFIT_AND_LOSS[Id],$L37,PBC_PROFIT_AND_LOSS[Date],AJ$5)</f>
        <v>2497</v>
      </c>
      <c r="AK37" s="27">
        <f>SUMIFS(PBC_PROFIT_AND_LOSS[AccountBalance], PBC_PROFIT_AND_LOSS[Id],$L37,PBC_PROFIT_AND_LOSS[Date],AK$5)</f>
        <v>4990</v>
      </c>
      <c r="AL37" s="27">
        <f>SUMIFS(PBC_PROFIT_AND_LOSS[AccountBalance], PBC_PROFIT_AND_LOSS[Id],$L37,PBC_PROFIT_AND_LOSS[Date],AL$5)</f>
        <v>2622</v>
      </c>
      <c r="AM37" s="27">
        <f>SUMIFS(PBC_PROFIT_AND_LOSS[AccountBalance], PBC_PROFIT_AND_LOSS[Id],$L37,PBC_PROFIT_AND_LOSS[Date],AM$5)</f>
        <v>5239</v>
      </c>
      <c r="AN37" s="27">
        <f>SUMIFS(PBC_PROFIT_AND_LOSS[AccountBalance], PBC_PROFIT_AND_LOSS[Id],$L37,PBC_PROFIT_AND_LOSS[Date],AN$5)</f>
        <v>2753</v>
      </c>
      <c r="AO37" s="27">
        <f>SUMIFS(PBC_PROFIT_AND_LOSS[AccountBalance], PBC_PROFIT_AND_LOSS[Id],$L37,PBC_PROFIT_AND_LOSS[Date],AO$5)</f>
        <v>5501</v>
      </c>
      <c r="AP37" s="27">
        <f>SUMIFS(PBC_PROFIT_AND_LOSS[AccountBalance], PBC_PROFIT_AND_LOSS[Id],$L37,PBC_PROFIT_AND_LOSS[Date],AP$5)</f>
        <v>5777</v>
      </c>
      <c r="AQ37" s="27">
        <f>SUMIFS(PBC_PROFIT_AND_LOSS[AccountBalance], PBC_PROFIT_AND_LOSS[Id],$L37,PBC_PROFIT_AND_LOSS[Date],AQ$5)</f>
        <v>5777</v>
      </c>
      <c r="AR37" s="27">
        <f>SUMIFS(PBC_PROFIT_AND_LOSS[AccountBalance], PBC_PROFIT_AND_LOSS[Id],$L37,PBC_PROFIT_AND_LOSS[Date],AR$5)</f>
        <v>6065</v>
      </c>
      <c r="AS37" s="27">
        <f>SUMIFS(PBC_PROFIT_AND_LOSS[AccountBalance], PBC_PROFIT_AND_LOSS[Id],$L37,PBC_PROFIT_AND_LOSS[Date],AS$5)</f>
        <v>6065</v>
      </c>
      <c r="AT37" s="27">
        <f>SUMIFS(PBC_PROFIT_AND_LOSS[AccountBalance], PBC_PROFIT_AND_LOSS[Id],$L37,PBC_PROFIT_AND_LOSS[Date],AT$5)</f>
        <v>6369</v>
      </c>
      <c r="AU37" s="27">
        <f>SUMIFS(PBC_PROFIT_AND_LOSS[AccountBalance], PBC_PROFIT_AND_LOSS[Id],$L37,PBC_PROFIT_AND_LOSS[Date],AU$5)</f>
        <v>6687</v>
      </c>
      <c r="AV37" s="27">
        <f>SUMIFS(PBC_PROFIT_AND_LOSS[AccountBalance], PBC_PROFIT_AND_LOSS[Id],$L37,PBC_PROFIT_AND_LOSS[Date],AV$5)</f>
        <v>7021.37</v>
      </c>
      <c r="AW37" s="27">
        <f>SUMIFS(PBC_PROFIT_AND_LOSS[AccountBalance], PBC_PROFIT_AND_LOSS[Id],$L37,PBC_PROFIT_AND_LOSS[Date],AW$5)</f>
        <v>7372</v>
      </c>
      <c r="AX37" s="27">
        <f>SUMIFS(PBC_PROFIT_AND_LOSS[AccountBalance], PBC_PROFIT_AND_LOSS[Id],$L37,PBC_PROFIT_AND_LOSS[Date],AX$5)</f>
        <v>7741</v>
      </c>
      <c r="AY37" s="27">
        <f>SUMIFS(PBC_PROFIT_AND_LOSS[AccountBalance], PBC_PROFIT_AND_LOSS[Id],$L37,PBC_PROFIT_AND_LOSS[Date],AY$5)</f>
        <v>8128</v>
      </c>
      <c r="AZ37" s="27">
        <f>SUMIFS(PBC_PROFIT_AND_LOSS[AccountBalance], PBC_PROFIT_AND_LOSS[Id],$L37,PBC_PROFIT_AND_LOSS[Date],AZ$5)</f>
        <v>8535</v>
      </c>
      <c r="BA37" s="27">
        <f>SUMIFS(PBC_PROFIT_AND_LOSS[AccountBalance], PBC_PROFIT_AND_LOSS[Id],$L37,PBC_PROFIT_AND_LOSS[Date],BA$5)</f>
        <v>8961.25</v>
      </c>
      <c r="BB37" s="27">
        <f>SUMIFS(PBC_PROFIT_AND_LOSS[AccountBalance], PBC_PROFIT_AND_LOSS[Id],$L37,PBC_PROFIT_AND_LOSS[Date],BB$5)</f>
        <v>9409.31</v>
      </c>
      <c r="BC37" s="27">
        <f>SUMIFS(PBC_PROFIT_AND_LOSS[AccountBalance], PBC_PROFIT_AND_LOSS[Id],$L37,PBC_PROFIT_AND_LOSS[Date],BC$5)</f>
        <v>9879.7800000000007</v>
      </c>
      <c r="BD37" s="27">
        <f>SUMIFS(PBC_PROFIT_AND_LOSS[AccountBalance], PBC_PROFIT_AND_LOSS[Id],$L37,PBC_PROFIT_AND_LOSS[Date],BD$5)</f>
        <v>10373.77</v>
      </c>
      <c r="BE37" s="114">
        <f t="shared" si="82"/>
        <v>9675.2442499999997</v>
      </c>
      <c r="BF37" s="114">
        <f t="shared" si="84"/>
        <v>9946.0119937500021</v>
      </c>
      <c r="BG37" s="114">
        <f t="shared" si="85"/>
        <v>10192.93909265625</v>
      </c>
      <c r="BH37" s="114">
        <f t="shared" si="86"/>
        <v>10408.484683871093</v>
      </c>
      <c r="BI37" s="114">
        <f t="shared" si="87"/>
        <v>10583.340253548537</v>
      </c>
      <c r="BJ37" s="114">
        <f t="shared" si="88"/>
        <v>10706.46329791953</v>
      </c>
      <c r="BK37" s="114">
        <f t="shared" si="89"/>
        <v>10764.684625055446</v>
      </c>
      <c r="BL37" s="114">
        <f t="shared" si="90"/>
        <v>10955.33669069015</v>
      </c>
      <c r="BM37" s="114">
        <f t="shared" si="91"/>
        <v>11131.968512654676</v>
      </c>
      <c r="BN37" s="114">
        <f t="shared" si="92"/>
        <v>11296.298661154402</v>
      </c>
      <c r="BO37" s="114">
        <f t="shared" si="93"/>
        <v>11451.66610717898</v>
      </c>
      <c r="BP37" s="114">
        <f t="shared" si="94"/>
        <v>11603.623131564309</v>
      </c>
      <c r="BQ37" s="114">
        <f t="shared" si="95"/>
        <v>11760.626102452145</v>
      </c>
      <c r="BR37" s="114">
        <f t="shared" si="96"/>
        <v>11934.915860996569</v>
      </c>
      <c r="BS37" s="114">
        <f t="shared" si="97"/>
        <v>12106.34221580019</v>
      </c>
    </row>
    <row r="38" spans="3:71" outlineLevel="2">
      <c r="C38" s="21"/>
      <c r="D38" s="26" t="s">
        <v>179</v>
      </c>
      <c r="E38" s="18" t="s">
        <v>158</v>
      </c>
      <c r="F38" s="111">
        <v>0.05</v>
      </c>
      <c r="G38" s="15" t="str">
        <f>IFERROR(INDEX(PBC_ACCOUNT_LIST[Drivers Section],MATCH(Drivers!L38,PBC_ACCOUNT_LIST[Id],0)),"")</f>
        <v>Opex</v>
      </c>
      <c r="H38" s="15" t="str">
        <f>IFERROR(INDEX(PBC_ACCOUNT_LIST[Summary Grouping],MATCH(Drivers!L38,PBC_ACCOUNT_LIST[Id],0)),"")</f>
        <v>Professional Services</v>
      </c>
      <c r="I38" s="15"/>
      <c r="J38" s="15">
        <f>IFERROR(INDEX(PBC_ACCOUNT_LIST[Cash Flow Section],MATCH(Drivers!L38,PBC_ACCOUNT_LIST[Id],0)),"")</f>
        <v>0</v>
      </c>
      <c r="K38" s="16" t="s">
        <v>159</v>
      </c>
      <c r="L38" s="15">
        <v>176</v>
      </c>
      <c r="M38" s="14"/>
      <c r="O38" s="9"/>
      <c r="P38" s="27">
        <f t="shared" si="80"/>
        <v>75708</v>
      </c>
      <c r="Q38" s="27">
        <f t="shared" si="80"/>
        <v>133189.60667765624</v>
      </c>
      <c r="R38" s="27">
        <f t="shared" si="80"/>
        <v>167304.6248522485</v>
      </c>
      <c r="S38" s="27"/>
      <c r="T38" s="27"/>
      <c r="U38" s="27">
        <f t="shared" si="98"/>
        <v>13051</v>
      </c>
      <c r="V38" s="27">
        <f t="shared" si="98"/>
        <v>17026</v>
      </c>
      <c r="W38" s="27">
        <f t="shared" si="98"/>
        <v>21883</v>
      </c>
      <c r="X38" s="27">
        <f t="shared" si="98"/>
        <v>23748</v>
      </c>
      <c r="Y38" s="27">
        <f t="shared" si="98"/>
        <v>27492.739999999998</v>
      </c>
      <c r="Z38" s="27">
        <f t="shared" si="98"/>
        <v>31825.120000000003</v>
      </c>
      <c r="AA38" s="27">
        <f t="shared" si="98"/>
        <v>36842.07</v>
      </c>
      <c r="AB38" s="27">
        <f t="shared" si="98"/>
        <v>37029.676677656251</v>
      </c>
      <c r="AC38" s="27">
        <f t="shared" si="98"/>
        <v>39369.904136629768</v>
      </c>
      <c r="AD38" s="27">
        <f t="shared" si="98"/>
        <v>40802.780269176757</v>
      </c>
      <c r="AE38" s="27">
        <f t="shared" si="98"/>
        <v>42665.323400108471</v>
      </c>
      <c r="AF38" s="27">
        <f t="shared" si="98"/>
        <v>44466.6170463335</v>
      </c>
      <c r="AG38" s="112"/>
      <c r="AH38" s="113"/>
      <c r="AI38" s="27">
        <f>SUMIFS(PBC_PROFIT_AND_LOSS[AccountBalance], PBC_PROFIT_AND_LOSS[Id],$L38,PBC_PROFIT_AND_LOSS[Date],AI$5)</f>
        <v>5903</v>
      </c>
      <c r="AJ38" s="27">
        <f>SUMIFS(PBC_PROFIT_AND_LOSS[AccountBalance], PBC_PROFIT_AND_LOSS[Id],$L38,PBC_PROFIT_AND_LOSS[Date],AJ$5)</f>
        <v>3343</v>
      </c>
      <c r="AK38" s="27">
        <f>SUMIFS(PBC_PROFIT_AND_LOSS[AccountBalance], PBC_PROFIT_AND_LOSS[Id],$L38,PBC_PROFIT_AND_LOSS[Date],AK$5)</f>
        <v>6198</v>
      </c>
      <c r="AL38" s="27">
        <f>SUMIFS(PBC_PROFIT_AND_LOSS[AccountBalance], PBC_PROFIT_AND_LOSS[Id],$L38,PBC_PROFIT_AND_LOSS[Date],AL$5)</f>
        <v>3510</v>
      </c>
      <c r="AM38" s="27">
        <f>SUMIFS(PBC_PROFIT_AND_LOSS[AccountBalance], PBC_PROFIT_AND_LOSS[Id],$L38,PBC_PROFIT_AND_LOSS[Date],AM$5)</f>
        <v>6508</v>
      </c>
      <c r="AN38" s="27">
        <f>SUMIFS(PBC_PROFIT_AND_LOSS[AccountBalance], PBC_PROFIT_AND_LOSS[Id],$L38,PBC_PROFIT_AND_LOSS[Date],AN$5)</f>
        <v>3685</v>
      </c>
      <c r="AO38" s="27">
        <f>SUMIFS(PBC_PROFIT_AND_LOSS[AccountBalance], PBC_PROFIT_AND_LOSS[Id],$L38,PBC_PROFIT_AND_LOSS[Date],AO$5)</f>
        <v>6833</v>
      </c>
      <c r="AP38" s="27">
        <f>SUMIFS(PBC_PROFIT_AND_LOSS[AccountBalance], PBC_PROFIT_AND_LOSS[Id],$L38,PBC_PROFIT_AND_LOSS[Date],AP$5)</f>
        <v>7175</v>
      </c>
      <c r="AQ38" s="27">
        <f>SUMIFS(PBC_PROFIT_AND_LOSS[AccountBalance], PBC_PROFIT_AND_LOSS[Id],$L38,PBC_PROFIT_AND_LOSS[Date],AQ$5)</f>
        <v>7175</v>
      </c>
      <c r="AR38" s="27">
        <f>SUMIFS(PBC_PROFIT_AND_LOSS[AccountBalance], PBC_PROFIT_AND_LOSS[Id],$L38,PBC_PROFIT_AND_LOSS[Date],AR$5)</f>
        <v>7533</v>
      </c>
      <c r="AS38" s="27">
        <f>SUMIFS(PBC_PROFIT_AND_LOSS[AccountBalance], PBC_PROFIT_AND_LOSS[Id],$L38,PBC_PROFIT_AND_LOSS[Date],AS$5)</f>
        <v>7533</v>
      </c>
      <c r="AT38" s="27">
        <f>SUMIFS(PBC_PROFIT_AND_LOSS[AccountBalance], PBC_PROFIT_AND_LOSS[Id],$L38,PBC_PROFIT_AND_LOSS[Date],AT$5)</f>
        <v>7910</v>
      </c>
      <c r="AU38" s="27">
        <f>SUMIFS(PBC_PROFIT_AND_LOSS[AccountBalance], PBC_PROFIT_AND_LOSS[Id],$L38,PBC_PROFIT_AND_LOSS[Date],AU$5)</f>
        <v>8305</v>
      </c>
      <c r="AV38" s="27">
        <f>SUMIFS(PBC_PROFIT_AND_LOSS[AccountBalance], PBC_PROFIT_AND_LOSS[Id],$L38,PBC_PROFIT_AND_LOSS[Date],AV$5)</f>
        <v>8720.74</v>
      </c>
      <c r="AW38" s="27">
        <f>SUMIFS(PBC_PROFIT_AND_LOSS[AccountBalance], PBC_PROFIT_AND_LOSS[Id],$L38,PBC_PROFIT_AND_LOSS[Date],AW$5)</f>
        <v>9157</v>
      </c>
      <c r="AX38" s="27">
        <f>SUMIFS(PBC_PROFIT_AND_LOSS[AccountBalance], PBC_PROFIT_AND_LOSS[Id],$L38,PBC_PROFIT_AND_LOSS[Date],AX$5)</f>
        <v>9615</v>
      </c>
      <c r="AY38" s="27">
        <f>SUMIFS(PBC_PROFIT_AND_LOSS[AccountBalance], PBC_PROFIT_AND_LOSS[Id],$L38,PBC_PROFIT_AND_LOSS[Date],AY$5)</f>
        <v>10095</v>
      </c>
      <c r="AZ38" s="27">
        <f>SUMIFS(PBC_PROFIT_AND_LOSS[AccountBalance], PBC_PROFIT_AND_LOSS[Id],$L38,PBC_PROFIT_AND_LOSS[Date],AZ$5)</f>
        <v>10600</v>
      </c>
      <c r="BA38" s="27">
        <f>SUMIFS(PBC_PROFIT_AND_LOSS[AccountBalance], PBC_PROFIT_AND_LOSS[Id],$L38,PBC_PROFIT_AND_LOSS[Date],BA$5)</f>
        <v>11130.12</v>
      </c>
      <c r="BB38" s="27">
        <f>SUMIFS(PBC_PROFIT_AND_LOSS[AccountBalance], PBC_PROFIT_AND_LOSS[Id],$L38,PBC_PROFIT_AND_LOSS[Date],BB$5)</f>
        <v>11686.62</v>
      </c>
      <c r="BC38" s="27">
        <f>SUMIFS(PBC_PROFIT_AND_LOSS[AccountBalance], PBC_PROFIT_AND_LOSS[Id],$L38,PBC_PROFIT_AND_LOSS[Date],BC$5)</f>
        <v>12270.95</v>
      </c>
      <c r="BD38" s="27">
        <f>SUMIFS(PBC_PROFIT_AND_LOSS[AccountBalance], PBC_PROFIT_AND_LOSS[Id],$L38,PBC_PROFIT_AND_LOSS[Date],BD$5)</f>
        <v>12884.5</v>
      </c>
      <c r="BE38" s="114">
        <f t="shared" si="82"/>
        <v>12016.758250000001</v>
      </c>
      <c r="BF38" s="114">
        <f t="shared" si="84"/>
        <v>12353.06594375</v>
      </c>
      <c r="BG38" s="114">
        <f t="shared" si="85"/>
        <v>12659.85248390625</v>
      </c>
      <c r="BH38" s="114">
        <f t="shared" si="86"/>
        <v>12927.555668589845</v>
      </c>
      <c r="BI38" s="114">
        <f t="shared" si="87"/>
        <v>13144.719410593068</v>
      </c>
      <c r="BJ38" s="114">
        <f t="shared" si="88"/>
        <v>13297.629057446855</v>
      </c>
      <c r="BK38" s="114">
        <f t="shared" si="89"/>
        <v>13369.926642500053</v>
      </c>
      <c r="BL38" s="114">
        <f t="shared" si="90"/>
        <v>13606.731111187564</v>
      </c>
      <c r="BM38" s="114">
        <f t="shared" si="91"/>
        <v>13826.122515489136</v>
      </c>
      <c r="BN38" s="114">
        <f t="shared" si="92"/>
        <v>14030.219771016144</v>
      </c>
      <c r="BO38" s="114">
        <f t="shared" si="93"/>
        <v>14223.185988940742</v>
      </c>
      <c r="BP38" s="114">
        <f t="shared" si="94"/>
        <v>14411.917640151587</v>
      </c>
      <c r="BQ38" s="114">
        <f t="shared" si="95"/>
        <v>14606.918142124918</v>
      </c>
      <c r="BR38" s="114">
        <f t="shared" si="96"/>
        <v>14823.391654559269</v>
      </c>
      <c r="BS38" s="114">
        <f t="shared" si="97"/>
        <v>15036.307249649315</v>
      </c>
    </row>
    <row r="39" spans="3:71" outlineLevel="2">
      <c r="C39" s="21"/>
      <c r="D39" s="26" t="s">
        <v>180</v>
      </c>
      <c r="E39" s="18" t="s">
        <v>158</v>
      </c>
      <c r="F39" s="111">
        <v>0.05</v>
      </c>
      <c r="G39" s="15" t="str">
        <f>IFERROR(INDEX(PBC_ACCOUNT_LIST[Drivers Section],MATCH(Drivers!L39,PBC_ACCOUNT_LIST[Id],0)),"")</f>
        <v>Opex</v>
      </c>
      <c r="H39" s="15" t="str">
        <f>IFERROR(INDEX(PBC_ACCOUNT_LIST[Summary Grouping],MATCH(Drivers!L39,PBC_ACCOUNT_LIST[Id],0)),"")</f>
        <v>Payroll</v>
      </c>
      <c r="I39" s="15"/>
      <c r="J39" s="15">
        <f>IFERROR(INDEX(PBC_ACCOUNT_LIST[Cash Flow Section],MATCH(Drivers!L39,PBC_ACCOUNT_LIST[Id],0)),"")</f>
        <v>0</v>
      </c>
      <c r="K39" s="16" t="s">
        <v>159</v>
      </c>
      <c r="L39" s="15">
        <v>178</v>
      </c>
      <c r="M39" s="14"/>
      <c r="O39" s="9"/>
      <c r="P39" s="27">
        <f t="shared" si="80"/>
        <v>420319</v>
      </c>
      <c r="Q39" s="27">
        <f t="shared" si="80"/>
        <v>736127.1688329688</v>
      </c>
      <c r="R39" s="27">
        <f t="shared" si="80"/>
        <v>924679.86724838777</v>
      </c>
      <c r="S39" s="27"/>
      <c r="T39" s="27"/>
      <c r="U39" s="27">
        <f t="shared" si="98"/>
        <v>73357</v>
      </c>
      <c r="V39" s="27">
        <f t="shared" si="98"/>
        <v>94762</v>
      </c>
      <c r="W39" s="27">
        <f t="shared" si="98"/>
        <v>120942</v>
      </c>
      <c r="X39" s="27">
        <f t="shared" si="98"/>
        <v>131258</v>
      </c>
      <c r="Y39" s="27">
        <f t="shared" si="98"/>
        <v>151946.73000000001</v>
      </c>
      <c r="Z39" s="27">
        <f t="shared" si="98"/>
        <v>175897.15</v>
      </c>
      <c r="AA39" s="27">
        <f t="shared" si="98"/>
        <v>203622.82</v>
      </c>
      <c r="AB39" s="27">
        <f t="shared" si="98"/>
        <v>204660.46883296876</v>
      </c>
      <c r="AC39" s="27">
        <f t="shared" si="98"/>
        <v>217594.4069874268</v>
      </c>
      <c r="AD39" s="27">
        <f t="shared" si="98"/>
        <v>225513.87432461896</v>
      </c>
      <c r="AE39" s="27">
        <f t="shared" si="98"/>
        <v>235807.98712831759</v>
      </c>
      <c r="AF39" s="27">
        <f t="shared" si="98"/>
        <v>245763.5988080246</v>
      </c>
      <c r="AG39" s="112"/>
      <c r="AH39" s="113"/>
      <c r="AI39" s="27">
        <f>SUMIFS(PBC_PROFIT_AND_LOSS[AccountBalance], PBC_PROFIT_AND_LOSS[Id],$L39,PBC_PROFIT_AND_LOSS[Date],AI$5)</f>
        <v>32623</v>
      </c>
      <c r="AJ39" s="27">
        <f>SUMIFS(PBC_PROFIT_AND_LOSS[AccountBalance], PBC_PROFIT_AND_LOSS[Id],$L39,PBC_PROFIT_AND_LOSS[Date],AJ$5)</f>
        <v>19075</v>
      </c>
      <c r="AK39" s="27">
        <f>SUMIFS(PBC_PROFIT_AND_LOSS[AccountBalance], PBC_PROFIT_AND_LOSS[Id],$L39,PBC_PROFIT_AND_LOSS[Date],AK$5)</f>
        <v>34254</v>
      </c>
      <c r="AL39" s="27">
        <f>SUMIFS(PBC_PROFIT_AND_LOSS[AccountBalance], PBC_PROFIT_AND_LOSS[Id],$L39,PBC_PROFIT_AND_LOSS[Date],AL$5)</f>
        <v>20028</v>
      </c>
      <c r="AM39" s="27">
        <f>SUMIFS(PBC_PROFIT_AND_LOSS[AccountBalance], PBC_PROFIT_AND_LOSS[Id],$L39,PBC_PROFIT_AND_LOSS[Date],AM$5)</f>
        <v>35967</v>
      </c>
      <c r="AN39" s="27">
        <f>SUMIFS(PBC_PROFIT_AND_LOSS[AccountBalance], PBC_PROFIT_AND_LOSS[Id],$L39,PBC_PROFIT_AND_LOSS[Date],AN$5)</f>
        <v>21030</v>
      </c>
      <c r="AO39" s="27">
        <f>SUMIFS(PBC_PROFIT_AND_LOSS[AccountBalance], PBC_PROFIT_AND_LOSS[Id],$L39,PBC_PROFIT_AND_LOSS[Date],AO$5)</f>
        <v>37765</v>
      </c>
      <c r="AP39" s="27">
        <f>SUMIFS(PBC_PROFIT_AND_LOSS[AccountBalance], PBC_PROFIT_AND_LOSS[Id],$L39,PBC_PROFIT_AND_LOSS[Date],AP$5)</f>
        <v>39653</v>
      </c>
      <c r="AQ39" s="27">
        <f>SUMIFS(PBC_PROFIT_AND_LOSS[AccountBalance], PBC_PROFIT_AND_LOSS[Id],$L39,PBC_PROFIT_AND_LOSS[Date],AQ$5)</f>
        <v>39653</v>
      </c>
      <c r="AR39" s="27">
        <f>SUMIFS(PBC_PROFIT_AND_LOSS[AccountBalance], PBC_PROFIT_AND_LOSS[Id],$L39,PBC_PROFIT_AND_LOSS[Date],AR$5)</f>
        <v>41636</v>
      </c>
      <c r="AS39" s="27">
        <f>SUMIFS(PBC_PROFIT_AND_LOSS[AccountBalance], PBC_PROFIT_AND_LOSS[Id],$L39,PBC_PROFIT_AND_LOSS[Date],AS$5)</f>
        <v>41636</v>
      </c>
      <c r="AT39" s="27">
        <f>SUMIFS(PBC_PROFIT_AND_LOSS[AccountBalance], PBC_PROFIT_AND_LOSS[Id],$L39,PBC_PROFIT_AND_LOSS[Date],AT$5)</f>
        <v>43718</v>
      </c>
      <c r="AU39" s="27">
        <f>SUMIFS(PBC_PROFIT_AND_LOSS[AccountBalance], PBC_PROFIT_AND_LOSS[Id],$L39,PBC_PROFIT_AND_LOSS[Date],AU$5)</f>
        <v>45904</v>
      </c>
      <c r="AV39" s="27">
        <f>SUMIFS(PBC_PROFIT_AND_LOSS[AccountBalance], PBC_PROFIT_AND_LOSS[Id],$L39,PBC_PROFIT_AND_LOSS[Date],AV$5)</f>
        <v>48198.73</v>
      </c>
      <c r="AW39" s="27">
        <f>SUMIFS(PBC_PROFIT_AND_LOSS[AccountBalance], PBC_PROFIT_AND_LOSS[Id],$L39,PBC_PROFIT_AND_LOSS[Date],AW$5)</f>
        <v>50609</v>
      </c>
      <c r="AX39" s="27">
        <f>SUMIFS(PBC_PROFIT_AND_LOSS[AccountBalance], PBC_PROFIT_AND_LOSS[Id],$L39,PBC_PROFIT_AND_LOSS[Date],AX$5)</f>
        <v>53139</v>
      </c>
      <c r="AY39" s="27">
        <f>SUMIFS(PBC_PROFIT_AND_LOSS[AccountBalance], PBC_PROFIT_AND_LOSS[Id],$L39,PBC_PROFIT_AND_LOSS[Date],AY$5)</f>
        <v>55796</v>
      </c>
      <c r="AZ39" s="27">
        <f>SUMIFS(PBC_PROFIT_AND_LOSS[AccountBalance], PBC_PROFIT_AND_LOSS[Id],$L39,PBC_PROFIT_AND_LOSS[Date],AZ$5)</f>
        <v>58586</v>
      </c>
      <c r="BA39" s="27">
        <f>SUMIFS(PBC_PROFIT_AND_LOSS[AccountBalance], PBC_PROFIT_AND_LOSS[Id],$L39,PBC_PROFIT_AND_LOSS[Date],BA$5)</f>
        <v>61515.15</v>
      </c>
      <c r="BB39" s="27">
        <f>SUMIFS(PBC_PROFIT_AND_LOSS[AccountBalance], PBC_PROFIT_AND_LOSS[Id],$L39,PBC_PROFIT_AND_LOSS[Date],BB$5)</f>
        <v>64590.9</v>
      </c>
      <c r="BC39" s="27">
        <f>SUMIFS(PBC_PROFIT_AND_LOSS[AccountBalance], PBC_PROFIT_AND_LOSS[Id],$L39,PBC_PROFIT_AND_LOSS[Date],BC$5)</f>
        <v>67820.45</v>
      </c>
      <c r="BD39" s="27">
        <f>SUMIFS(PBC_PROFIT_AND_LOSS[AccountBalance], PBC_PROFIT_AND_LOSS[Id],$L39,PBC_PROFIT_AND_LOSS[Date],BD$5)</f>
        <v>71211.47</v>
      </c>
      <c r="BE39" s="114">
        <f t="shared" si="82"/>
        <v>66415.994749999998</v>
      </c>
      <c r="BF39" s="114">
        <f t="shared" si="84"/>
        <v>68274.493831250002</v>
      </c>
      <c r="BG39" s="114">
        <f t="shared" si="85"/>
        <v>69969.980251718749</v>
      </c>
      <c r="BH39" s="114">
        <f t="shared" si="86"/>
        <v>71449.575545769549</v>
      </c>
      <c r="BI39" s="114">
        <f t="shared" si="87"/>
        <v>72649.843766279213</v>
      </c>
      <c r="BJ39" s="114">
        <f t="shared" si="88"/>
        <v>73494.987675378055</v>
      </c>
      <c r="BK39" s="114">
        <f t="shared" si="89"/>
        <v>73894.603268569233</v>
      </c>
      <c r="BL39" s="114">
        <f t="shared" si="90"/>
        <v>75203.359759318831</v>
      </c>
      <c r="BM39" s="114">
        <f t="shared" si="91"/>
        <v>76415.91129673089</v>
      </c>
      <c r="BN39" s="114">
        <f t="shared" si="92"/>
        <v>77543.949229608013</v>
      </c>
      <c r="BO39" s="114">
        <f t="shared" si="93"/>
        <v>78610.464624279732</v>
      </c>
      <c r="BP39" s="114">
        <f t="shared" si="94"/>
        <v>79653.573274429829</v>
      </c>
      <c r="BQ39" s="114">
        <f t="shared" si="95"/>
        <v>80731.325754263889</v>
      </c>
      <c r="BR39" s="114">
        <f t="shared" si="96"/>
        <v>81927.752189260456</v>
      </c>
      <c r="BS39" s="114">
        <f t="shared" si="97"/>
        <v>83104.520864500242</v>
      </c>
    </row>
    <row r="40" spans="3:71" outlineLevel="2">
      <c r="C40" s="21"/>
      <c r="D40" s="26" t="s">
        <v>181</v>
      </c>
      <c r="E40" s="18" t="s">
        <v>158</v>
      </c>
      <c r="F40" s="111">
        <v>0.05</v>
      </c>
      <c r="G40" s="15" t="str">
        <f>IFERROR(INDEX(PBC_ACCOUNT_LIST[Drivers Section],MATCH(Drivers!L40,PBC_ACCOUNT_LIST[Id],0)),"")</f>
        <v>Opex</v>
      </c>
      <c r="H40" s="15" t="str">
        <f>IFERROR(INDEX(PBC_ACCOUNT_LIST[Summary Grouping],MATCH(Drivers!L40,PBC_ACCOUNT_LIST[Id],0)),"")</f>
        <v>Payroll</v>
      </c>
      <c r="I40" s="15"/>
      <c r="J40" s="15">
        <f>IFERROR(INDEX(PBC_ACCOUNT_LIST[Cash Flow Section],MATCH(Drivers!L40,PBC_ACCOUNT_LIST[Id],0)),"")</f>
        <v>0</v>
      </c>
      <c r="K40" s="16" t="s">
        <v>159</v>
      </c>
      <c r="L40" s="15">
        <v>179</v>
      </c>
      <c r="M40" s="14"/>
      <c r="O40" s="9"/>
      <c r="P40" s="27">
        <f t="shared" si="80"/>
        <v>41226</v>
      </c>
      <c r="Q40" s="27">
        <f t="shared" si="80"/>
        <v>72862.420314531235</v>
      </c>
      <c r="R40" s="27">
        <f t="shared" si="80"/>
        <v>91525.062946909879</v>
      </c>
      <c r="S40" s="27"/>
      <c r="T40" s="27"/>
      <c r="U40" s="27">
        <f t="shared" si="98"/>
        <v>7015</v>
      </c>
      <c r="V40" s="27">
        <f t="shared" si="98"/>
        <v>9248</v>
      </c>
      <c r="W40" s="27">
        <f t="shared" si="98"/>
        <v>11971</v>
      </c>
      <c r="X40" s="27">
        <f t="shared" si="98"/>
        <v>12992</v>
      </c>
      <c r="Y40" s="27">
        <f t="shared" si="98"/>
        <v>15039.7</v>
      </c>
      <c r="Z40" s="27">
        <f t="shared" si="98"/>
        <v>17410.78</v>
      </c>
      <c r="AA40" s="27">
        <f t="shared" si="98"/>
        <v>20154.53</v>
      </c>
      <c r="AB40" s="27">
        <f t="shared" si="98"/>
        <v>20257.410314531247</v>
      </c>
      <c r="AC40" s="27">
        <f t="shared" si="98"/>
        <v>21537.541730399658</v>
      </c>
      <c r="AD40" s="27">
        <f t="shared" si="98"/>
        <v>22321.431716020059</v>
      </c>
      <c r="AE40" s="27">
        <f t="shared" si="98"/>
        <v>23340.339872680626</v>
      </c>
      <c r="AF40" s="27">
        <f t="shared" si="98"/>
        <v>24325.749627809546</v>
      </c>
      <c r="AG40" s="112"/>
      <c r="AH40" s="113"/>
      <c r="AI40" s="27">
        <f>SUMIFS(PBC_PROFIT_AND_LOSS[AccountBalance], PBC_PROFIT_AND_LOSS[Id],$L40,PBC_PROFIT_AND_LOSS[Date],AI$5)</f>
        <v>3229</v>
      </c>
      <c r="AJ40" s="27">
        <f>SUMIFS(PBC_PROFIT_AND_LOSS[AccountBalance], PBC_PROFIT_AND_LOSS[Id],$L40,PBC_PROFIT_AND_LOSS[Date],AJ$5)</f>
        <v>1768</v>
      </c>
      <c r="AK40" s="27">
        <f>SUMIFS(PBC_PROFIT_AND_LOSS[AccountBalance], PBC_PROFIT_AND_LOSS[Id],$L40,PBC_PROFIT_AND_LOSS[Date],AK$5)</f>
        <v>3390</v>
      </c>
      <c r="AL40" s="27">
        <f>SUMIFS(PBC_PROFIT_AND_LOSS[AccountBalance], PBC_PROFIT_AND_LOSS[Id],$L40,PBC_PROFIT_AND_LOSS[Date],AL$5)</f>
        <v>1857</v>
      </c>
      <c r="AM40" s="27">
        <f>SUMIFS(PBC_PROFIT_AND_LOSS[AccountBalance], PBC_PROFIT_AND_LOSS[Id],$L40,PBC_PROFIT_AND_LOSS[Date],AM$5)</f>
        <v>3560</v>
      </c>
      <c r="AN40" s="27">
        <f>SUMIFS(PBC_PROFIT_AND_LOSS[AccountBalance], PBC_PROFIT_AND_LOSS[Id],$L40,PBC_PROFIT_AND_LOSS[Date],AN$5)</f>
        <v>1950</v>
      </c>
      <c r="AO40" s="27">
        <f>SUMIFS(PBC_PROFIT_AND_LOSS[AccountBalance], PBC_PROFIT_AND_LOSS[Id],$L40,PBC_PROFIT_AND_LOSS[Date],AO$5)</f>
        <v>3738</v>
      </c>
      <c r="AP40" s="27">
        <f>SUMIFS(PBC_PROFIT_AND_LOSS[AccountBalance], PBC_PROFIT_AND_LOSS[Id],$L40,PBC_PROFIT_AND_LOSS[Date],AP$5)</f>
        <v>3925</v>
      </c>
      <c r="AQ40" s="27">
        <f>SUMIFS(PBC_PROFIT_AND_LOSS[AccountBalance], PBC_PROFIT_AND_LOSS[Id],$L40,PBC_PROFIT_AND_LOSS[Date],AQ$5)</f>
        <v>3925</v>
      </c>
      <c r="AR40" s="27">
        <f>SUMIFS(PBC_PROFIT_AND_LOSS[AccountBalance], PBC_PROFIT_AND_LOSS[Id],$L40,PBC_PROFIT_AND_LOSS[Date],AR$5)</f>
        <v>4121</v>
      </c>
      <c r="AS40" s="27">
        <f>SUMIFS(PBC_PROFIT_AND_LOSS[AccountBalance], PBC_PROFIT_AND_LOSS[Id],$L40,PBC_PROFIT_AND_LOSS[Date],AS$5)</f>
        <v>4121</v>
      </c>
      <c r="AT40" s="27">
        <f>SUMIFS(PBC_PROFIT_AND_LOSS[AccountBalance], PBC_PROFIT_AND_LOSS[Id],$L40,PBC_PROFIT_AND_LOSS[Date],AT$5)</f>
        <v>4327</v>
      </c>
      <c r="AU40" s="27">
        <f>SUMIFS(PBC_PROFIT_AND_LOSS[AccountBalance], PBC_PROFIT_AND_LOSS[Id],$L40,PBC_PROFIT_AND_LOSS[Date],AU$5)</f>
        <v>4544</v>
      </c>
      <c r="AV40" s="27">
        <f>SUMIFS(PBC_PROFIT_AND_LOSS[AccountBalance], PBC_PROFIT_AND_LOSS[Id],$L40,PBC_PROFIT_AND_LOSS[Date],AV$5)</f>
        <v>4770.7</v>
      </c>
      <c r="AW40" s="27">
        <f>SUMIFS(PBC_PROFIT_AND_LOSS[AccountBalance], PBC_PROFIT_AND_LOSS[Id],$L40,PBC_PROFIT_AND_LOSS[Date],AW$5)</f>
        <v>5009</v>
      </c>
      <c r="AX40" s="27">
        <f>SUMIFS(PBC_PROFIT_AND_LOSS[AccountBalance], PBC_PROFIT_AND_LOSS[Id],$L40,PBC_PROFIT_AND_LOSS[Date],AX$5)</f>
        <v>5260</v>
      </c>
      <c r="AY40" s="27">
        <f>SUMIFS(PBC_PROFIT_AND_LOSS[AccountBalance], PBC_PROFIT_AND_LOSS[Id],$L40,PBC_PROFIT_AND_LOSS[Date],AY$5)</f>
        <v>5523</v>
      </c>
      <c r="AZ40" s="27">
        <f>SUMIFS(PBC_PROFIT_AND_LOSS[AccountBalance], PBC_PROFIT_AND_LOSS[Id],$L40,PBC_PROFIT_AND_LOSS[Date],AZ$5)</f>
        <v>5799</v>
      </c>
      <c r="BA40" s="27">
        <f>SUMIFS(PBC_PROFIT_AND_LOSS[AccountBalance], PBC_PROFIT_AND_LOSS[Id],$L40,PBC_PROFIT_AND_LOSS[Date],BA$5)</f>
        <v>6088.78</v>
      </c>
      <c r="BB40" s="27">
        <f>SUMIFS(PBC_PROFIT_AND_LOSS[AccountBalance], PBC_PROFIT_AND_LOSS[Id],$L40,PBC_PROFIT_AND_LOSS[Date],BB$5)</f>
        <v>6393.19</v>
      </c>
      <c r="BC40" s="27">
        <f>SUMIFS(PBC_PROFIT_AND_LOSS[AccountBalance], PBC_PROFIT_AND_LOSS[Id],$L40,PBC_PROFIT_AND_LOSS[Date],BC$5)</f>
        <v>6712.85</v>
      </c>
      <c r="BD40" s="27">
        <f>SUMIFS(PBC_PROFIT_AND_LOSS[AccountBalance], PBC_PROFIT_AND_LOSS[Id],$L40,PBC_PROFIT_AND_LOSS[Date],BD$5)</f>
        <v>7048.49</v>
      </c>
      <c r="BE40" s="114">
        <f t="shared" si="82"/>
        <v>6573.9292499999992</v>
      </c>
      <c r="BF40" s="114">
        <f t="shared" si="84"/>
        <v>6757.8418687499998</v>
      </c>
      <c r="BG40" s="114">
        <f t="shared" si="85"/>
        <v>6925.6391957812502</v>
      </c>
      <c r="BH40" s="114">
        <f t="shared" si="86"/>
        <v>7072.0895550429696</v>
      </c>
      <c r="BI40" s="114">
        <f t="shared" si="87"/>
        <v>7190.8969771754892</v>
      </c>
      <c r="BJ40" s="114">
        <f t="shared" si="88"/>
        <v>7274.5551981811996</v>
      </c>
      <c r="BK40" s="114">
        <f t="shared" si="89"/>
        <v>7314.1166078629094</v>
      </c>
      <c r="BL40" s="114">
        <f t="shared" si="90"/>
        <v>7443.6493954889193</v>
      </c>
      <c r="BM40" s="114">
        <f t="shared" si="91"/>
        <v>7563.6657126682276</v>
      </c>
      <c r="BN40" s="114">
        <f t="shared" si="92"/>
        <v>7675.3203531234494</v>
      </c>
      <c r="BO40" s="114">
        <f t="shared" si="93"/>
        <v>7780.8857427875346</v>
      </c>
      <c r="BP40" s="114">
        <f t="shared" si="94"/>
        <v>7884.1337767696414</v>
      </c>
      <c r="BQ40" s="114">
        <f t="shared" si="95"/>
        <v>7990.8100280226199</v>
      </c>
      <c r="BR40" s="114">
        <f t="shared" si="96"/>
        <v>8109.2313765505687</v>
      </c>
      <c r="BS40" s="114">
        <f t="shared" si="97"/>
        <v>8225.7082232363573</v>
      </c>
    </row>
    <row r="41" spans="3:71" outlineLevel="2">
      <c r="C41" s="21"/>
      <c r="D41" s="26" t="s">
        <v>182</v>
      </c>
      <c r="E41" s="18" t="s">
        <v>158</v>
      </c>
      <c r="F41" s="111">
        <v>0.05</v>
      </c>
      <c r="G41" s="15" t="str">
        <f>IFERROR(INDEX(PBC_ACCOUNT_LIST[Drivers Section],MATCH(Drivers!L41,PBC_ACCOUNT_LIST[Id],0)),"")</f>
        <v>Opex</v>
      </c>
      <c r="H41" s="15" t="str">
        <f>IFERROR(INDEX(PBC_ACCOUNT_LIST[Summary Grouping],MATCH(Drivers!L41,PBC_ACCOUNT_LIST[Id],0)),"")</f>
        <v>Payroll</v>
      </c>
      <c r="I41" s="15"/>
      <c r="J41" s="15">
        <f>IFERROR(INDEX(PBC_ACCOUNT_LIST[Cash Flow Section],MATCH(Drivers!L41,PBC_ACCOUNT_LIST[Id],0)),"")</f>
        <v>0</v>
      </c>
      <c r="K41" s="16" t="s">
        <v>159</v>
      </c>
      <c r="L41" s="15">
        <v>180</v>
      </c>
      <c r="M41" s="14"/>
      <c r="O41" s="9"/>
      <c r="P41" s="27">
        <f t="shared" si="80"/>
        <v>19904</v>
      </c>
      <c r="Q41" s="27">
        <f t="shared" si="80"/>
        <v>32403.241688906252</v>
      </c>
      <c r="R41" s="27">
        <f t="shared" si="80"/>
        <v>40702.698820253063</v>
      </c>
      <c r="S41" s="27"/>
      <c r="T41" s="27"/>
      <c r="U41" s="27">
        <f t="shared" si="98"/>
        <v>4142</v>
      </c>
      <c r="V41" s="27">
        <f t="shared" si="98"/>
        <v>4661</v>
      </c>
      <c r="W41" s="27">
        <f t="shared" si="98"/>
        <v>5323</v>
      </c>
      <c r="X41" s="27">
        <f t="shared" si="98"/>
        <v>5778</v>
      </c>
      <c r="Y41" s="27">
        <f t="shared" si="98"/>
        <v>6688.6100000000006</v>
      </c>
      <c r="Z41" s="27">
        <f t="shared" si="98"/>
        <v>7742.7800000000007</v>
      </c>
      <c r="AA41" s="27">
        <f t="shared" si="98"/>
        <v>8963.0499999999993</v>
      </c>
      <c r="AB41" s="27">
        <f t="shared" si="98"/>
        <v>9008.8016889062492</v>
      </c>
      <c r="AC41" s="27">
        <f t="shared" si="98"/>
        <v>9578.0968782392774</v>
      </c>
      <c r="AD41" s="27">
        <f t="shared" si="98"/>
        <v>9926.7084665536931</v>
      </c>
      <c r="AE41" s="27">
        <f t="shared" si="98"/>
        <v>10379.832479005187</v>
      </c>
      <c r="AF41" s="27">
        <f t="shared" si="98"/>
        <v>10818.060996454904</v>
      </c>
      <c r="AG41" s="112"/>
      <c r="AH41" s="113"/>
      <c r="AI41" s="27">
        <f>SUMIFS(PBC_PROFIT_AND_LOSS[AccountBalance], PBC_PROFIT_AND_LOSS[Id],$L41,PBC_PROFIT_AND_LOSS[Date],AI$5)</f>
        <v>1436</v>
      </c>
      <c r="AJ41" s="27">
        <f>SUMIFS(PBC_PROFIT_AND_LOSS[AccountBalance], PBC_PROFIT_AND_LOSS[Id],$L41,PBC_PROFIT_AND_LOSS[Date],AJ$5)</f>
        <v>1285</v>
      </c>
      <c r="AK41" s="27">
        <f>SUMIFS(PBC_PROFIT_AND_LOSS[AccountBalance], PBC_PROFIT_AND_LOSS[Id],$L41,PBC_PROFIT_AND_LOSS[Date],AK$5)</f>
        <v>1508</v>
      </c>
      <c r="AL41" s="27">
        <f>SUMIFS(PBC_PROFIT_AND_LOSS[AccountBalance], PBC_PROFIT_AND_LOSS[Id],$L41,PBC_PROFIT_AND_LOSS[Date],AL$5)</f>
        <v>1349</v>
      </c>
      <c r="AM41" s="27">
        <f>SUMIFS(PBC_PROFIT_AND_LOSS[AccountBalance], PBC_PROFIT_AND_LOSS[Id],$L41,PBC_PROFIT_AND_LOSS[Date],AM$5)</f>
        <v>1583</v>
      </c>
      <c r="AN41" s="27">
        <f>SUMIFS(PBC_PROFIT_AND_LOSS[AccountBalance], PBC_PROFIT_AND_LOSS[Id],$L41,PBC_PROFIT_AND_LOSS[Date],AN$5)</f>
        <v>1416</v>
      </c>
      <c r="AO41" s="27">
        <f>SUMIFS(PBC_PROFIT_AND_LOSS[AccountBalance], PBC_PROFIT_AND_LOSS[Id],$L41,PBC_PROFIT_AND_LOSS[Date],AO$5)</f>
        <v>1662</v>
      </c>
      <c r="AP41" s="27">
        <f>SUMIFS(PBC_PROFIT_AND_LOSS[AccountBalance], PBC_PROFIT_AND_LOSS[Id],$L41,PBC_PROFIT_AND_LOSS[Date],AP$5)</f>
        <v>1745</v>
      </c>
      <c r="AQ41" s="27">
        <f>SUMIFS(PBC_PROFIT_AND_LOSS[AccountBalance], PBC_PROFIT_AND_LOSS[Id],$L41,PBC_PROFIT_AND_LOSS[Date],AQ$5)</f>
        <v>1745</v>
      </c>
      <c r="AR41" s="27">
        <f>SUMIFS(PBC_PROFIT_AND_LOSS[AccountBalance], PBC_PROFIT_AND_LOSS[Id],$L41,PBC_PROFIT_AND_LOSS[Date],AR$5)</f>
        <v>1833</v>
      </c>
      <c r="AS41" s="27">
        <f>SUMIFS(PBC_PROFIT_AND_LOSS[AccountBalance], PBC_PROFIT_AND_LOSS[Id],$L41,PBC_PROFIT_AND_LOSS[Date],AS$5)</f>
        <v>1833</v>
      </c>
      <c r="AT41" s="27">
        <f>SUMIFS(PBC_PROFIT_AND_LOSS[AccountBalance], PBC_PROFIT_AND_LOSS[Id],$L41,PBC_PROFIT_AND_LOSS[Date],AT$5)</f>
        <v>1924</v>
      </c>
      <c r="AU41" s="27">
        <f>SUMIFS(PBC_PROFIT_AND_LOSS[AccountBalance], PBC_PROFIT_AND_LOSS[Id],$L41,PBC_PROFIT_AND_LOSS[Date],AU$5)</f>
        <v>2021</v>
      </c>
      <c r="AV41" s="27">
        <f>SUMIFS(PBC_PROFIT_AND_LOSS[AccountBalance], PBC_PROFIT_AND_LOSS[Id],$L41,PBC_PROFIT_AND_LOSS[Date],AV$5)</f>
        <v>2121.61</v>
      </c>
      <c r="AW41" s="27">
        <f>SUMIFS(PBC_PROFIT_AND_LOSS[AccountBalance], PBC_PROFIT_AND_LOSS[Id],$L41,PBC_PROFIT_AND_LOSS[Date],AW$5)</f>
        <v>2228</v>
      </c>
      <c r="AX41" s="27">
        <f>SUMIFS(PBC_PROFIT_AND_LOSS[AccountBalance], PBC_PROFIT_AND_LOSS[Id],$L41,PBC_PROFIT_AND_LOSS[Date],AX$5)</f>
        <v>2339</v>
      </c>
      <c r="AY41" s="27">
        <f>SUMIFS(PBC_PROFIT_AND_LOSS[AccountBalance], PBC_PROFIT_AND_LOSS[Id],$L41,PBC_PROFIT_AND_LOSS[Date],AY$5)</f>
        <v>2456</v>
      </c>
      <c r="AZ41" s="27">
        <f>SUMIFS(PBC_PROFIT_AND_LOSS[AccountBalance], PBC_PROFIT_AND_LOSS[Id],$L41,PBC_PROFIT_AND_LOSS[Date],AZ$5)</f>
        <v>2579</v>
      </c>
      <c r="BA41" s="27">
        <f>SUMIFS(PBC_PROFIT_AND_LOSS[AccountBalance], PBC_PROFIT_AND_LOSS[Id],$L41,PBC_PROFIT_AND_LOSS[Date],BA$5)</f>
        <v>2707.78</v>
      </c>
      <c r="BB41" s="27">
        <f>SUMIFS(PBC_PROFIT_AND_LOSS[AccountBalance], PBC_PROFIT_AND_LOSS[Id],$L41,PBC_PROFIT_AND_LOSS[Date],BB$5)</f>
        <v>2843.16</v>
      </c>
      <c r="BC41" s="27">
        <f>SUMIFS(PBC_PROFIT_AND_LOSS[AccountBalance], PBC_PROFIT_AND_LOSS[Id],$L41,PBC_PROFIT_AND_LOSS[Date],BC$5)</f>
        <v>2985.31</v>
      </c>
      <c r="BD41" s="27">
        <f>SUMIFS(PBC_PROFIT_AND_LOSS[AccountBalance], PBC_PROFIT_AND_LOSS[Id],$L41,PBC_PROFIT_AND_LOSS[Date],BD$5)</f>
        <v>3134.58</v>
      </c>
      <c r="BE41" s="114">
        <f t="shared" si="82"/>
        <v>2923.5202500000005</v>
      </c>
      <c r="BF41" s="114">
        <f t="shared" si="84"/>
        <v>3005.3362937500001</v>
      </c>
      <c r="BG41" s="114">
        <f t="shared" si="85"/>
        <v>3079.94514515625</v>
      </c>
      <c r="BH41" s="114">
        <f t="shared" si="86"/>
        <v>3145.0740455585942</v>
      </c>
      <c r="BI41" s="114">
        <f t="shared" si="87"/>
        <v>3197.9090035313484</v>
      </c>
      <c r="BJ41" s="114">
        <f t="shared" si="88"/>
        <v>3235.1138291493344</v>
      </c>
      <c r="BK41" s="114">
        <f t="shared" si="89"/>
        <v>3252.7072492504672</v>
      </c>
      <c r="BL41" s="114">
        <f t="shared" si="90"/>
        <v>3310.3149741192988</v>
      </c>
      <c r="BM41" s="114">
        <f t="shared" si="91"/>
        <v>3363.6862431839263</v>
      </c>
      <c r="BN41" s="114">
        <f t="shared" si="92"/>
        <v>3413.3409353387697</v>
      </c>
      <c r="BO41" s="114">
        <f t="shared" si="93"/>
        <v>3460.2876410503004</v>
      </c>
      <c r="BP41" s="114">
        <f t="shared" si="94"/>
        <v>3506.2039026161169</v>
      </c>
      <c r="BQ41" s="114">
        <f t="shared" si="95"/>
        <v>3553.6446654728043</v>
      </c>
      <c r="BR41" s="114">
        <f t="shared" si="96"/>
        <v>3606.3087133117137</v>
      </c>
      <c r="BS41" s="114">
        <f t="shared" si="97"/>
        <v>3658.1076176703859</v>
      </c>
    </row>
    <row r="42" spans="3:71" outlineLevel="2">
      <c r="C42" s="21"/>
      <c r="D42" s="26" t="s">
        <v>183</v>
      </c>
      <c r="E42" s="18" t="s">
        <v>158</v>
      </c>
      <c r="F42" s="111">
        <v>0.05</v>
      </c>
      <c r="G42" s="15" t="str">
        <f>IFERROR(INDEX(PBC_ACCOUNT_LIST[Drivers Section],MATCH(Drivers!L42,PBC_ACCOUNT_LIST[Id],0)),"")</f>
        <v>Opex</v>
      </c>
      <c r="H42" s="15" t="str">
        <f>IFERROR(INDEX(PBC_ACCOUNT_LIST[Summary Grouping],MATCH(Drivers!L42,PBC_ACCOUNT_LIST[Id],0)),"")</f>
        <v>Payroll</v>
      </c>
      <c r="I42" s="15"/>
      <c r="J42" s="15">
        <f>IFERROR(INDEX(PBC_ACCOUNT_LIST[Cash Flow Section],MATCH(Drivers!L42,PBC_ACCOUNT_LIST[Id],0)),"")</f>
        <v>0</v>
      </c>
      <c r="K42" s="16" t="s">
        <v>159</v>
      </c>
      <c r="L42" s="15">
        <v>181</v>
      </c>
      <c r="M42" s="14"/>
      <c r="O42" s="9"/>
      <c r="P42" s="27">
        <f t="shared" si="80"/>
        <v>1280.68</v>
      </c>
      <c r="Q42" s="27">
        <f t="shared" si="80"/>
        <v>2227.2113290625002</v>
      </c>
      <c r="R42" s="27">
        <f t="shared" si="80"/>
        <v>2797.5402029035317</v>
      </c>
      <c r="S42" s="27"/>
      <c r="T42" s="27"/>
      <c r="U42" s="27">
        <f t="shared" si="98"/>
        <v>227</v>
      </c>
      <c r="V42" s="27">
        <f t="shared" si="98"/>
        <v>290</v>
      </c>
      <c r="W42" s="27">
        <f t="shared" si="98"/>
        <v>366</v>
      </c>
      <c r="X42" s="27">
        <f t="shared" si="98"/>
        <v>397.68</v>
      </c>
      <c r="Y42" s="27">
        <f t="shared" si="98"/>
        <v>459.83000000000004</v>
      </c>
      <c r="Z42" s="27">
        <f t="shared" si="98"/>
        <v>532.13</v>
      </c>
      <c r="AA42" s="27">
        <f t="shared" si="98"/>
        <v>616.09</v>
      </c>
      <c r="AB42" s="27">
        <f t="shared" si="98"/>
        <v>619.16132906250004</v>
      </c>
      <c r="AC42" s="27">
        <f t="shared" si="98"/>
        <v>658.32029495712402</v>
      </c>
      <c r="AD42" s="27">
        <f t="shared" si="98"/>
        <v>682.26840927083595</v>
      </c>
      <c r="AE42" s="27">
        <f t="shared" si="98"/>
        <v>713.41635221633862</v>
      </c>
      <c r="AF42" s="27">
        <f t="shared" si="98"/>
        <v>743.53514645923281</v>
      </c>
      <c r="AG42" s="112"/>
      <c r="AH42" s="113"/>
      <c r="AI42" s="27">
        <f>SUMIFS(PBC_PROFIT_AND_LOSS[AccountBalance], PBC_PROFIT_AND_LOSS[Id],$L42,PBC_PROFIT_AND_LOSS[Date],AI$5)</f>
        <v>99</v>
      </c>
      <c r="AJ42" s="27">
        <f>SUMIFS(PBC_PROFIT_AND_LOSS[AccountBalance], PBC_PROFIT_AND_LOSS[Id],$L42,PBC_PROFIT_AND_LOSS[Date],AJ$5)</f>
        <v>60</v>
      </c>
      <c r="AK42" s="27">
        <f>SUMIFS(PBC_PROFIT_AND_LOSS[AccountBalance], PBC_PROFIT_AND_LOSS[Id],$L42,PBC_PROFIT_AND_LOSS[Date],AK$5)</f>
        <v>104</v>
      </c>
      <c r="AL42" s="27">
        <f>SUMIFS(PBC_PROFIT_AND_LOSS[AccountBalance], PBC_PROFIT_AND_LOSS[Id],$L42,PBC_PROFIT_AND_LOSS[Date],AL$5)</f>
        <v>63</v>
      </c>
      <c r="AM42" s="27">
        <f>SUMIFS(PBC_PROFIT_AND_LOSS[AccountBalance], PBC_PROFIT_AND_LOSS[Id],$L42,PBC_PROFIT_AND_LOSS[Date],AM$5)</f>
        <v>109</v>
      </c>
      <c r="AN42" s="27">
        <f>SUMIFS(PBC_PROFIT_AND_LOSS[AccountBalance], PBC_PROFIT_AND_LOSS[Id],$L42,PBC_PROFIT_AND_LOSS[Date],AN$5)</f>
        <v>67</v>
      </c>
      <c r="AO42" s="27">
        <f>SUMIFS(PBC_PROFIT_AND_LOSS[AccountBalance], PBC_PROFIT_AND_LOSS[Id],$L42,PBC_PROFIT_AND_LOSS[Date],AO$5)</f>
        <v>114</v>
      </c>
      <c r="AP42" s="27">
        <f>SUMIFS(PBC_PROFIT_AND_LOSS[AccountBalance], PBC_PROFIT_AND_LOSS[Id],$L42,PBC_PROFIT_AND_LOSS[Date],AP$5)</f>
        <v>120</v>
      </c>
      <c r="AQ42" s="27">
        <f>SUMIFS(PBC_PROFIT_AND_LOSS[AccountBalance], PBC_PROFIT_AND_LOSS[Id],$L42,PBC_PROFIT_AND_LOSS[Date],AQ$5)</f>
        <v>120</v>
      </c>
      <c r="AR42" s="27">
        <f>SUMIFS(PBC_PROFIT_AND_LOSS[AccountBalance], PBC_PROFIT_AND_LOSS[Id],$L42,PBC_PROFIT_AND_LOSS[Date],AR$5)</f>
        <v>126</v>
      </c>
      <c r="AS42" s="27">
        <f>SUMIFS(PBC_PROFIT_AND_LOSS[AccountBalance], PBC_PROFIT_AND_LOSS[Id],$L42,PBC_PROFIT_AND_LOSS[Date],AS$5)</f>
        <v>126.34</v>
      </c>
      <c r="AT42" s="27">
        <f>SUMIFS(PBC_PROFIT_AND_LOSS[AccountBalance], PBC_PROFIT_AND_LOSS[Id],$L42,PBC_PROFIT_AND_LOSS[Date],AT$5)</f>
        <v>132.34</v>
      </c>
      <c r="AU42" s="27">
        <f>SUMIFS(PBC_PROFIT_AND_LOSS[AccountBalance], PBC_PROFIT_AND_LOSS[Id],$L42,PBC_PROFIT_AND_LOSS[Date],AU$5)</f>
        <v>139</v>
      </c>
      <c r="AV42" s="27">
        <f>SUMIFS(PBC_PROFIT_AND_LOSS[AccountBalance], PBC_PROFIT_AND_LOSS[Id],$L42,PBC_PROFIT_AND_LOSS[Date],AV$5)</f>
        <v>145.83000000000001</v>
      </c>
      <c r="AW42" s="27">
        <f>SUMIFS(PBC_PROFIT_AND_LOSS[AccountBalance], PBC_PROFIT_AND_LOSS[Id],$L42,PBC_PROFIT_AND_LOSS[Date],AW$5)</f>
        <v>153</v>
      </c>
      <c r="AX42" s="27">
        <f>SUMIFS(PBC_PROFIT_AND_LOSS[AccountBalance], PBC_PROFIT_AND_LOSS[Id],$L42,PBC_PROFIT_AND_LOSS[Date],AX$5)</f>
        <v>161</v>
      </c>
      <c r="AY42" s="27">
        <f>SUMIFS(PBC_PROFIT_AND_LOSS[AccountBalance], PBC_PROFIT_AND_LOSS[Id],$L42,PBC_PROFIT_AND_LOSS[Date],AY$5)</f>
        <v>169</v>
      </c>
      <c r="AZ42" s="27">
        <f>SUMIFS(PBC_PROFIT_AND_LOSS[AccountBalance], PBC_PROFIT_AND_LOSS[Id],$L42,PBC_PROFIT_AND_LOSS[Date],AZ$5)</f>
        <v>177</v>
      </c>
      <c r="BA42" s="27">
        <f>SUMIFS(PBC_PROFIT_AND_LOSS[AccountBalance], PBC_PROFIT_AND_LOSS[Id],$L42,PBC_PROFIT_AND_LOSS[Date],BA$5)</f>
        <v>186.13</v>
      </c>
      <c r="BB42" s="27">
        <f>SUMIFS(PBC_PROFIT_AND_LOSS[AccountBalance], PBC_PROFIT_AND_LOSS[Id],$L42,PBC_PROFIT_AND_LOSS[Date],BB$5)</f>
        <v>195.43</v>
      </c>
      <c r="BC42" s="27">
        <f>SUMIFS(PBC_PROFIT_AND_LOSS[AccountBalance], PBC_PROFIT_AND_LOSS[Id],$L42,PBC_PROFIT_AND_LOSS[Date],BC$5)</f>
        <v>205.2</v>
      </c>
      <c r="BD42" s="27">
        <f>SUMIFS(PBC_PROFIT_AND_LOSS[AccountBalance], PBC_PROFIT_AND_LOSS[Id],$L42,PBC_PROFIT_AND_LOSS[Date],BD$5)</f>
        <v>215.46</v>
      </c>
      <c r="BE42" s="114">
        <f t="shared" si="82"/>
        <v>200.9385</v>
      </c>
      <c r="BF42" s="114">
        <f t="shared" si="84"/>
        <v>206.5277375</v>
      </c>
      <c r="BG42" s="114">
        <f t="shared" si="85"/>
        <v>211.69509156250001</v>
      </c>
      <c r="BH42" s="114">
        <f t="shared" si="86"/>
        <v>216.1689825859375</v>
      </c>
      <c r="BI42" s="114">
        <f t="shared" si="87"/>
        <v>219.79830453847657</v>
      </c>
      <c r="BJ42" s="114">
        <f t="shared" si="88"/>
        <v>222.35300783270998</v>
      </c>
      <c r="BK42" s="114">
        <f t="shared" si="89"/>
        <v>223.55928420343426</v>
      </c>
      <c r="BL42" s="114">
        <f t="shared" si="90"/>
        <v>227.51792143903521</v>
      </c>
      <c r="BM42" s="114">
        <f t="shared" si="91"/>
        <v>231.1912036283664</v>
      </c>
      <c r="BN42" s="114">
        <f t="shared" si="92"/>
        <v>234.60302323989296</v>
      </c>
      <c r="BO42" s="114">
        <f t="shared" si="93"/>
        <v>237.82898035433519</v>
      </c>
      <c r="BP42" s="114">
        <f t="shared" si="94"/>
        <v>240.98434862211047</v>
      </c>
      <c r="BQ42" s="114">
        <f t="shared" si="95"/>
        <v>244.2448332602556</v>
      </c>
      <c r="BR42" s="114">
        <f t="shared" si="96"/>
        <v>247.86480434519925</v>
      </c>
      <c r="BS42" s="114">
        <f t="shared" si="97"/>
        <v>251.42550885377798</v>
      </c>
    </row>
    <row r="43" spans="3:71" outlineLevel="2">
      <c r="C43" s="21"/>
      <c r="D43" s="26" t="s">
        <v>184</v>
      </c>
      <c r="E43" s="18" t="s">
        <v>158</v>
      </c>
      <c r="F43" s="111">
        <v>0.05</v>
      </c>
      <c r="G43" s="15" t="str">
        <f>IFERROR(INDEX(PBC_ACCOUNT_LIST[Drivers Section],MATCH(Drivers!L43,PBC_ACCOUNT_LIST[Id],0)),"")</f>
        <v>Opex</v>
      </c>
      <c r="H43" s="15" t="str">
        <f>IFERROR(INDEX(PBC_ACCOUNT_LIST[Summary Grouping],MATCH(Drivers!L43,PBC_ACCOUNT_LIST[Id],0)),"")</f>
        <v>Payroll</v>
      </c>
      <c r="I43" s="15"/>
      <c r="J43" s="15">
        <f>IFERROR(INDEX(PBC_ACCOUNT_LIST[Cash Flow Section],MATCH(Drivers!L43,PBC_ACCOUNT_LIST[Id],0)),"")</f>
        <v>0</v>
      </c>
      <c r="K43" s="16" t="s">
        <v>159</v>
      </c>
      <c r="L43" s="15">
        <v>182</v>
      </c>
      <c r="M43" s="14"/>
      <c r="O43" s="9"/>
      <c r="P43" s="27">
        <f t="shared" si="80"/>
        <v>0</v>
      </c>
      <c r="Q43" s="27">
        <f t="shared" si="80"/>
        <v>0</v>
      </c>
      <c r="R43" s="27">
        <f t="shared" si="80"/>
        <v>0</v>
      </c>
      <c r="S43" s="27"/>
      <c r="T43" s="27"/>
      <c r="U43" s="27">
        <f t="shared" si="98"/>
        <v>0</v>
      </c>
      <c r="V43" s="27">
        <f t="shared" si="98"/>
        <v>0</v>
      </c>
      <c r="W43" s="27">
        <f t="shared" si="98"/>
        <v>0</v>
      </c>
      <c r="X43" s="27">
        <f t="shared" si="98"/>
        <v>0</v>
      </c>
      <c r="Y43" s="27">
        <f t="shared" si="98"/>
        <v>0</v>
      </c>
      <c r="Z43" s="27">
        <f t="shared" si="98"/>
        <v>0</v>
      </c>
      <c r="AA43" s="27">
        <f t="shared" si="98"/>
        <v>0</v>
      </c>
      <c r="AB43" s="27">
        <f t="shared" si="98"/>
        <v>0</v>
      </c>
      <c r="AC43" s="27">
        <f t="shared" si="98"/>
        <v>0</v>
      </c>
      <c r="AD43" s="27">
        <f t="shared" si="98"/>
        <v>0</v>
      </c>
      <c r="AE43" s="27">
        <f t="shared" si="98"/>
        <v>0</v>
      </c>
      <c r="AF43" s="27">
        <f t="shared" si="98"/>
        <v>0</v>
      </c>
      <c r="AG43" s="112"/>
      <c r="AH43" s="113"/>
      <c r="AI43" s="27">
        <f>SUMIFS(PBC_PROFIT_AND_LOSS[AccountBalance], PBC_PROFIT_AND_LOSS[Id],$L43,PBC_PROFIT_AND_LOSS[Date],AI$5)</f>
        <v>0</v>
      </c>
      <c r="AJ43" s="27">
        <f>SUMIFS(PBC_PROFIT_AND_LOSS[AccountBalance], PBC_PROFIT_AND_LOSS[Id],$L43,PBC_PROFIT_AND_LOSS[Date],AJ$5)</f>
        <v>0</v>
      </c>
      <c r="AK43" s="27">
        <f>SUMIFS(PBC_PROFIT_AND_LOSS[AccountBalance], PBC_PROFIT_AND_LOSS[Id],$L43,PBC_PROFIT_AND_LOSS[Date],AK$5)</f>
        <v>0</v>
      </c>
      <c r="AL43" s="27">
        <f>SUMIFS(PBC_PROFIT_AND_LOSS[AccountBalance], PBC_PROFIT_AND_LOSS[Id],$L43,PBC_PROFIT_AND_LOSS[Date],AL$5)</f>
        <v>0</v>
      </c>
      <c r="AM43" s="27">
        <f>SUMIFS(PBC_PROFIT_AND_LOSS[AccountBalance], PBC_PROFIT_AND_LOSS[Id],$L43,PBC_PROFIT_AND_LOSS[Date],AM$5)</f>
        <v>0</v>
      </c>
      <c r="AN43" s="27">
        <f>SUMIFS(PBC_PROFIT_AND_LOSS[AccountBalance], PBC_PROFIT_AND_LOSS[Id],$L43,PBC_PROFIT_AND_LOSS[Date],AN$5)</f>
        <v>0</v>
      </c>
      <c r="AO43" s="27">
        <f>SUMIFS(PBC_PROFIT_AND_LOSS[AccountBalance], PBC_PROFIT_AND_LOSS[Id],$L43,PBC_PROFIT_AND_LOSS[Date],AO$5)</f>
        <v>0</v>
      </c>
      <c r="AP43" s="27">
        <f>SUMIFS(PBC_PROFIT_AND_LOSS[AccountBalance], PBC_PROFIT_AND_LOSS[Id],$L43,PBC_PROFIT_AND_LOSS[Date],AP$5)</f>
        <v>0</v>
      </c>
      <c r="AQ43" s="27">
        <f>SUMIFS(PBC_PROFIT_AND_LOSS[AccountBalance], PBC_PROFIT_AND_LOSS[Id],$L43,PBC_PROFIT_AND_LOSS[Date],AQ$5)</f>
        <v>0</v>
      </c>
      <c r="AR43" s="27">
        <f>SUMIFS(PBC_PROFIT_AND_LOSS[AccountBalance], PBC_PROFIT_AND_LOSS[Id],$L43,PBC_PROFIT_AND_LOSS[Date],AR$5)</f>
        <v>0</v>
      </c>
      <c r="AS43" s="27">
        <f>SUMIFS(PBC_PROFIT_AND_LOSS[AccountBalance], PBC_PROFIT_AND_LOSS[Id],$L43,PBC_PROFIT_AND_LOSS[Date],AS$5)</f>
        <v>0</v>
      </c>
      <c r="AT43" s="27">
        <f>SUMIFS(PBC_PROFIT_AND_LOSS[AccountBalance], PBC_PROFIT_AND_LOSS[Id],$L43,PBC_PROFIT_AND_LOSS[Date],AT$5)</f>
        <v>0</v>
      </c>
      <c r="AU43" s="27">
        <f>SUMIFS(PBC_PROFIT_AND_LOSS[AccountBalance], PBC_PROFIT_AND_LOSS[Id],$L43,PBC_PROFIT_AND_LOSS[Date],AU$5)</f>
        <v>0</v>
      </c>
      <c r="AV43" s="27">
        <f>SUMIFS(PBC_PROFIT_AND_LOSS[AccountBalance], PBC_PROFIT_AND_LOSS[Id],$L43,PBC_PROFIT_AND_LOSS[Date],AV$5)</f>
        <v>0</v>
      </c>
      <c r="AW43" s="27">
        <f>SUMIFS(PBC_PROFIT_AND_LOSS[AccountBalance], PBC_PROFIT_AND_LOSS[Id],$L43,PBC_PROFIT_AND_LOSS[Date],AW$5)</f>
        <v>0</v>
      </c>
      <c r="AX43" s="27">
        <f>SUMIFS(PBC_PROFIT_AND_LOSS[AccountBalance], PBC_PROFIT_AND_LOSS[Id],$L43,PBC_PROFIT_AND_LOSS[Date],AX$5)</f>
        <v>0</v>
      </c>
      <c r="AY43" s="27">
        <f>SUMIFS(PBC_PROFIT_AND_LOSS[AccountBalance], PBC_PROFIT_AND_LOSS[Id],$L43,PBC_PROFIT_AND_LOSS[Date],AY$5)</f>
        <v>0</v>
      </c>
      <c r="AZ43" s="27">
        <f>SUMIFS(PBC_PROFIT_AND_LOSS[AccountBalance], PBC_PROFIT_AND_LOSS[Id],$L43,PBC_PROFIT_AND_LOSS[Date],AZ$5)</f>
        <v>0</v>
      </c>
      <c r="BA43" s="27">
        <f>SUMIFS(PBC_PROFIT_AND_LOSS[AccountBalance], PBC_PROFIT_AND_LOSS[Id],$L43,PBC_PROFIT_AND_LOSS[Date],BA$5)</f>
        <v>0</v>
      </c>
      <c r="BB43" s="27">
        <f>SUMIFS(PBC_PROFIT_AND_LOSS[AccountBalance], PBC_PROFIT_AND_LOSS[Id],$L43,PBC_PROFIT_AND_LOSS[Date],BB$5)</f>
        <v>0</v>
      </c>
      <c r="BC43" s="27">
        <f>SUMIFS(PBC_PROFIT_AND_LOSS[AccountBalance], PBC_PROFIT_AND_LOSS[Id],$L43,PBC_PROFIT_AND_LOSS[Date],BC$5)</f>
        <v>0</v>
      </c>
      <c r="BD43" s="27">
        <f>SUMIFS(PBC_PROFIT_AND_LOSS[AccountBalance], PBC_PROFIT_AND_LOSS[Id],$L43,PBC_PROFIT_AND_LOSS[Date],BD$5)</f>
        <v>0</v>
      </c>
      <c r="BE43" s="114">
        <f t="shared" si="82"/>
        <v>0</v>
      </c>
      <c r="BF43" s="114">
        <f t="shared" si="84"/>
        <v>0</v>
      </c>
      <c r="BG43" s="114">
        <f t="shared" si="85"/>
        <v>0</v>
      </c>
      <c r="BH43" s="114">
        <f t="shared" si="86"/>
        <v>0</v>
      </c>
      <c r="BI43" s="114">
        <f t="shared" si="87"/>
        <v>0</v>
      </c>
      <c r="BJ43" s="114">
        <f t="shared" si="88"/>
        <v>0</v>
      </c>
      <c r="BK43" s="114">
        <f t="shared" si="89"/>
        <v>0</v>
      </c>
      <c r="BL43" s="114">
        <f t="shared" si="90"/>
        <v>0</v>
      </c>
      <c r="BM43" s="114">
        <f t="shared" si="91"/>
        <v>0</v>
      </c>
      <c r="BN43" s="114">
        <f t="shared" si="92"/>
        <v>0</v>
      </c>
      <c r="BO43" s="114">
        <f t="shared" si="93"/>
        <v>0</v>
      </c>
      <c r="BP43" s="114">
        <f t="shared" si="94"/>
        <v>0</v>
      </c>
      <c r="BQ43" s="114">
        <f t="shared" si="95"/>
        <v>0</v>
      </c>
      <c r="BR43" s="114">
        <f t="shared" si="96"/>
        <v>0</v>
      </c>
      <c r="BS43" s="114">
        <f t="shared" si="97"/>
        <v>0</v>
      </c>
    </row>
    <row r="44" spans="3:71" outlineLevel="2">
      <c r="C44" s="21"/>
      <c r="D44" s="26" t="s">
        <v>185</v>
      </c>
      <c r="E44" s="18" t="s">
        <v>158</v>
      </c>
      <c r="F44" s="111">
        <v>0.05</v>
      </c>
      <c r="G44" s="15" t="str">
        <f>IFERROR(INDEX(PBC_ACCOUNT_LIST[Drivers Section],MATCH(Drivers!L44,PBC_ACCOUNT_LIST[Id],0)),"")</f>
        <v>Opex</v>
      </c>
      <c r="H44" s="15" t="str">
        <f>IFERROR(INDEX(PBC_ACCOUNT_LIST[Summary Grouping],MATCH(Drivers!L44,PBC_ACCOUNT_LIST[Id],0)),"")</f>
        <v>Office &amp; Other G&amp;A</v>
      </c>
      <c r="I44" s="15"/>
      <c r="J44" s="15">
        <f>IFERROR(INDEX(PBC_ACCOUNT_LIST[Cash Flow Section],MATCH(Drivers!L44,PBC_ACCOUNT_LIST[Id],0)),"")</f>
        <v>0</v>
      </c>
      <c r="K44" s="16" t="s">
        <v>159</v>
      </c>
      <c r="L44" s="15">
        <v>183</v>
      </c>
      <c r="M44" s="14"/>
      <c r="O44" s="9"/>
      <c r="P44" s="27">
        <f t="shared" si="80"/>
        <v>7747</v>
      </c>
      <c r="Q44" s="27">
        <f t="shared" si="80"/>
        <v>13218.960351874999</v>
      </c>
      <c r="R44" s="27">
        <f t="shared" si="80"/>
        <v>16604.972558244513</v>
      </c>
      <c r="S44" s="27"/>
      <c r="T44" s="27"/>
      <c r="U44" s="27">
        <f t="shared" si="98"/>
        <v>1447</v>
      </c>
      <c r="V44" s="27">
        <f t="shared" si="98"/>
        <v>1771</v>
      </c>
      <c r="W44" s="27">
        <f t="shared" si="98"/>
        <v>2172</v>
      </c>
      <c r="X44" s="27">
        <f t="shared" si="98"/>
        <v>2357</v>
      </c>
      <c r="Y44" s="27">
        <f t="shared" si="98"/>
        <v>2728.5299999999997</v>
      </c>
      <c r="Z44" s="27">
        <f t="shared" si="98"/>
        <v>3158.66</v>
      </c>
      <c r="AA44" s="27">
        <f t="shared" si="98"/>
        <v>3656.58</v>
      </c>
      <c r="AB44" s="27">
        <f t="shared" si="98"/>
        <v>3675.190351875</v>
      </c>
      <c r="AC44" s="27">
        <f t="shared" si="98"/>
        <v>3907.4618550424711</v>
      </c>
      <c r="AD44" s="27">
        <f t="shared" si="98"/>
        <v>4049.6720780636638</v>
      </c>
      <c r="AE44" s="27">
        <f t="shared" si="98"/>
        <v>4234.5303826199124</v>
      </c>
      <c r="AF44" s="27">
        <f t="shared" si="98"/>
        <v>4413.3082425184675</v>
      </c>
      <c r="AG44" s="112"/>
      <c r="AH44" s="113"/>
      <c r="AI44" s="27">
        <f>SUMIFS(PBC_PROFIT_AND_LOSS[AccountBalance], PBC_PROFIT_AND_LOSS[Id],$L44,PBC_PROFIT_AND_LOSS[Date],AI$5)</f>
        <v>586</v>
      </c>
      <c r="AJ44" s="27">
        <f>SUMIFS(PBC_PROFIT_AND_LOSS[AccountBalance], PBC_PROFIT_AND_LOSS[Id],$L44,PBC_PROFIT_AND_LOSS[Date],AJ$5)</f>
        <v>406</v>
      </c>
      <c r="AK44" s="27">
        <f>SUMIFS(PBC_PROFIT_AND_LOSS[AccountBalance], PBC_PROFIT_AND_LOSS[Id],$L44,PBC_PROFIT_AND_LOSS[Date],AK$5)</f>
        <v>615</v>
      </c>
      <c r="AL44" s="27">
        <f>SUMIFS(PBC_PROFIT_AND_LOSS[AccountBalance], PBC_PROFIT_AND_LOSS[Id],$L44,PBC_PROFIT_AND_LOSS[Date],AL$5)</f>
        <v>426</v>
      </c>
      <c r="AM44" s="27">
        <f>SUMIFS(PBC_PROFIT_AND_LOSS[AccountBalance], PBC_PROFIT_AND_LOSS[Id],$L44,PBC_PROFIT_AND_LOSS[Date],AM$5)</f>
        <v>646</v>
      </c>
      <c r="AN44" s="27">
        <f>SUMIFS(PBC_PROFIT_AND_LOSS[AccountBalance], PBC_PROFIT_AND_LOSS[Id],$L44,PBC_PROFIT_AND_LOSS[Date],AN$5)</f>
        <v>447</v>
      </c>
      <c r="AO44" s="27">
        <f>SUMIFS(PBC_PROFIT_AND_LOSS[AccountBalance], PBC_PROFIT_AND_LOSS[Id],$L44,PBC_PROFIT_AND_LOSS[Date],AO$5)</f>
        <v>678</v>
      </c>
      <c r="AP44" s="27">
        <f>SUMIFS(PBC_PROFIT_AND_LOSS[AccountBalance], PBC_PROFIT_AND_LOSS[Id],$L44,PBC_PROFIT_AND_LOSS[Date],AP$5)</f>
        <v>712</v>
      </c>
      <c r="AQ44" s="27">
        <f>SUMIFS(PBC_PROFIT_AND_LOSS[AccountBalance], PBC_PROFIT_AND_LOSS[Id],$L44,PBC_PROFIT_AND_LOSS[Date],AQ$5)</f>
        <v>712</v>
      </c>
      <c r="AR44" s="27">
        <f>SUMIFS(PBC_PROFIT_AND_LOSS[AccountBalance], PBC_PROFIT_AND_LOSS[Id],$L44,PBC_PROFIT_AND_LOSS[Date],AR$5)</f>
        <v>748</v>
      </c>
      <c r="AS44" s="27">
        <f>SUMIFS(PBC_PROFIT_AND_LOSS[AccountBalance], PBC_PROFIT_AND_LOSS[Id],$L44,PBC_PROFIT_AND_LOSS[Date],AS$5)</f>
        <v>748</v>
      </c>
      <c r="AT44" s="27">
        <f>SUMIFS(PBC_PROFIT_AND_LOSS[AccountBalance], PBC_PROFIT_AND_LOSS[Id],$L44,PBC_PROFIT_AND_LOSS[Date],AT$5)</f>
        <v>785</v>
      </c>
      <c r="AU44" s="27">
        <f>SUMIFS(PBC_PROFIT_AND_LOSS[AccountBalance], PBC_PROFIT_AND_LOSS[Id],$L44,PBC_PROFIT_AND_LOSS[Date],AU$5)</f>
        <v>824</v>
      </c>
      <c r="AV44" s="27">
        <f>SUMIFS(PBC_PROFIT_AND_LOSS[AccountBalance], PBC_PROFIT_AND_LOSS[Id],$L44,PBC_PROFIT_AND_LOSS[Date],AV$5)</f>
        <v>865.53</v>
      </c>
      <c r="AW44" s="27">
        <f>SUMIFS(PBC_PROFIT_AND_LOSS[AccountBalance], PBC_PROFIT_AND_LOSS[Id],$L44,PBC_PROFIT_AND_LOSS[Date],AW$5)</f>
        <v>909</v>
      </c>
      <c r="AX44" s="27">
        <f>SUMIFS(PBC_PROFIT_AND_LOSS[AccountBalance], PBC_PROFIT_AND_LOSS[Id],$L44,PBC_PROFIT_AND_LOSS[Date],AX$5)</f>
        <v>954</v>
      </c>
      <c r="AY44" s="27">
        <f>SUMIFS(PBC_PROFIT_AND_LOSS[AccountBalance], PBC_PROFIT_AND_LOSS[Id],$L44,PBC_PROFIT_AND_LOSS[Date],AY$5)</f>
        <v>1002</v>
      </c>
      <c r="AZ44" s="27">
        <f>SUMIFS(PBC_PROFIT_AND_LOSS[AccountBalance], PBC_PROFIT_AND_LOSS[Id],$L44,PBC_PROFIT_AND_LOSS[Date],AZ$5)</f>
        <v>1052</v>
      </c>
      <c r="BA44" s="27">
        <f>SUMIFS(PBC_PROFIT_AND_LOSS[AccountBalance], PBC_PROFIT_AND_LOSS[Id],$L44,PBC_PROFIT_AND_LOSS[Date],BA$5)</f>
        <v>1104.6600000000001</v>
      </c>
      <c r="BB44" s="27">
        <f>SUMIFS(PBC_PROFIT_AND_LOSS[AccountBalance], PBC_PROFIT_AND_LOSS[Id],$L44,PBC_PROFIT_AND_LOSS[Date],BB$5)</f>
        <v>1159.9000000000001</v>
      </c>
      <c r="BC44" s="27">
        <f>SUMIFS(PBC_PROFIT_AND_LOSS[AccountBalance], PBC_PROFIT_AND_LOSS[Id],$L44,PBC_PROFIT_AND_LOSS[Date],BC$5)</f>
        <v>1217.8900000000001</v>
      </c>
      <c r="BD44" s="27">
        <f>SUMIFS(PBC_PROFIT_AND_LOSS[AccountBalance], PBC_PROFIT_AND_LOSS[Id],$L44,PBC_PROFIT_AND_LOSS[Date],BD$5)</f>
        <v>1278.79</v>
      </c>
      <c r="BE44" s="114">
        <f t="shared" si="82"/>
        <v>1192.6669999999999</v>
      </c>
      <c r="BF44" s="114">
        <f t="shared" si="84"/>
        <v>1226.033725</v>
      </c>
      <c r="BG44" s="114">
        <f t="shared" si="85"/>
        <v>1256.4896268750003</v>
      </c>
      <c r="BH44" s="114">
        <f t="shared" si="86"/>
        <v>1283.0598115781249</v>
      </c>
      <c r="BI44" s="114">
        <f t="shared" si="87"/>
        <v>1304.6127786042971</v>
      </c>
      <c r="BJ44" s="114">
        <f t="shared" si="88"/>
        <v>1319.7892648600489</v>
      </c>
      <c r="BK44" s="114">
        <f t="shared" si="89"/>
        <v>1326.9641362105576</v>
      </c>
      <c r="BL44" s="114">
        <f t="shared" si="90"/>
        <v>1350.466135047405</v>
      </c>
      <c r="BM44" s="114">
        <f t="shared" si="91"/>
        <v>1372.2418068057009</v>
      </c>
      <c r="BN44" s="114">
        <f t="shared" si="92"/>
        <v>1392.4984382935736</v>
      </c>
      <c r="BO44" s="114">
        <f t="shared" si="93"/>
        <v>1411.6501979687773</v>
      </c>
      <c r="BP44" s="114">
        <f t="shared" si="94"/>
        <v>1430.3817463575613</v>
      </c>
      <c r="BQ44" s="114">
        <f t="shared" si="95"/>
        <v>1449.7354306196257</v>
      </c>
      <c r="BR44" s="114">
        <f t="shared" si="96"/>
        <v>1471.2204071412127</v>
      </c>
      <c r="BS44" s="114">
        <f t="shared" si="97"/>
        <v>1492.3524047576293</v>
      </c>
    </row>
    <row r="45" spans="3:71" outlineLevel="2">
      <c r="C45" s="21"/>
      <c r="D45" s="26" t="s">
        <v>186</v>
      </c>
      <c r="E45" s="18" t="s">
        <v>158</v>
      </c>
      <c r="F45" s="111">
        <v>0.05</v>
      </c>
      <c r="G45" s="15" t="str">
        <f>IFERROR(INDEX(PBC_ACCOUNT_LIST[Drivers Section],MATCH(Drivers!L45,PBC_ACCOUNT_LIST[Id],0)),"")</f>
        <v>Opex</v>
      </c>
      <c r="H45" s="15" t="str">
        <f>IFERROR(INDEX(PBC_ACCOUNT_LIST[Summary Grouping],MATCH(Drivers!L45,PBC_ACCOUNT_LIST[Id],0)),"")</f>
        <v>Travel &amp; Entertainment</v>
      </c>
      <c r="I45" s="15"/>
      <c r="J45" s="15">
        <f>IFERROR(INDEX(PBC_ACCOUNT_LIST[Cash Flow Section],MATCH(Drivers!L45,PBC_ACCOUNT_LIST[Id],0)),"")</f>
        <v>0</v>
      </c>
      <c r="K45" s="16" t="s">
        <v>159</v>
      </c>
      <c r="L45" s="15">
        <v>184</v>
      </c>
      <c r="M45" s="14"/>
      <c r="O45" s="9"/>
      <c r="P45" s="27">
        <f t="shared" si="80"/>
        <v>0</v>
      </c>
      <c r="Q45" s="27">
        <f t="shared" si="80"/>
        <v>0</v>
      </c>
      <c r="R45" s="27">
        <f t="shared" si="80"/>
        <v>0</v>
      </c>
      <c r="S45" s="27"/>
      <c r="T45" s="27"/>
      <c r="U45" s="27">
        <f t="shared" si="98"/>
        <v>0</v>
      </c>
      <c r="V45" s="27">
        <f t="shared" si="98"/>
        <v>0</v>
      </c>
      <c r="W45" s="27">
        <f t="shared" si="98"/>
        <v>0</v>
      </c>
      <c r="X45" s="27">
        <f t="shared" si="98"/>
        <v>0</v>
      </c>
      <c r="Y45" s="27">
        <f t="shared" si="98"/>
        <v>0</v>
      </c>
      <c r="Z45" s="27">
        <f t="shared" si="98"/>
        <v>0</v>
      </c>
      <c r="AA45" s="27">
        <f t="shared" si="98"/>
        <v>0</v>
      </c>
      <c r="AB45" s="27">
        <f t="shared" si="98"/>
        <v>0</v>
      </c>
      <c r="AC45" s="27">
        <f t="shared" si="98"/>
        <v>0</v>
      </c>
      <c r="AD45" s="27">
        <f t="shared" si="98"/>
        <v>0</v>
      </c>
      <c r="AE45" s="27">
        <f t="shared" si="98"/>
        <v>0</v>
      </c>
      <c r="AF45" s="27">
        <f t="shared" si="98"/>
        <v>0</v>
      </c>
      <c r="AG45" s="112"/>
      <c r="AH45" s="113"/>
      <c r="AI45" s="27">
        <f>SUMIFS(PBC_PROFIT_AND_LOSS[AccountBalance], PBC_PROFIT_AND_LOSS[Id],$L45,PBC_PROFIT_AND_LOSS[Date],AI$5)</f>
        <v>0</v>
      </c>
      <c r="AJ45" s="27">
        <f>SUMIFS(PBC_PROFIT_AND_LOSS[AccountBalance], PBC_PROFIT_AND_LOSS[Id],$L45,PBC_PROFIT_AND_LOSS[Date],AJ$5)</f>
        <v>0</v>
      </c>
      <c r="AK45" s="27">
        <f>SUMIFS(PBC_PROFIT_AND_LOSS[AccountBalance], PBC_PROFIT_AND_LOSS[Id],$L45,PBC_PROFIT_AND_LOSS[Date],AK$5)</f>
        <v>0</v>
      </c>
      <c r="AL45" s="27">
        <f>SUMIFS(PBC_PROFIT_AND_LOSS[AccountBalance], PBC_PROFIT_AND_LOSS[Id],$L45,PBC_PROFIT_AND_LOSS[Date],AL$5)</f>
        <v>0</v>
      </c>
      <c r="AM45" s="27">
        <f>SUMIFS(PBC_PROFIT_AND_LOSS[AccountBalance], PBC_PROFIT_AND_LOSS[Id],$L45,PBC_PROFIT_AND_LOSS[Date],AM$5)</f>
        <v>0</v>
      </c>
      <c r="AN45" s="27">
        <f>SUMIFS(PBC_PROFIT_AND_LOSS[AccountBalance], PBC_PROFIT_AND_LOSS[Id],$L45,PBC_PROFIT_AND_LOSS[Date],AN$5)</f>
        <v>0</v>
      </c>
      <c r="AO45" s="27">
        <f>SUMIFS(PBC_PROFIT_AND_LOSS[AccountBalance], PBC_PROFIT_AND_LOSS[Id],$L45,PBC_PROFIT_AND_LOSS[Date],AO$5)</f>
        <v>0</v>
      </c>
      <c r="AP45" s="27">
        <f>SUMIFS(PBC_PROFIT_AND_LOSS[AccountBalance], PBC_PROFIT_AND_LOSS[Id],$L45,PBC_PROFIT_AND_LOSS[Date],AP$5)</f>
        <v>0</v>
      </c>
      <c r="AQ45" s="27">
        <f>SUMIFS(PBC_PROFIT_AND_LOSS[AccountBalance], PBC_PROFIT_AND_LOSS[Id],$L45,PBC_PROFIT_AND_LOSS[Date],AQ$5)</f>
        <v>0</v>
      </c>
      <c r="AR45" s="27">
        <f>SUMIFS(PBC_PROFIT_AND_LOSS[AccountBalance], PBC_PROFIT_AND_LOSS[Id],$L45,PBC_PROFIT_AND_LOSS[Date],AR$5)</f>
        <v>0</v>
      </c>
      <c r="AS45" s="27">
        <f>SUMIFS(PBC_PROFIT_AND_LOSS[AccountBalance], PBC_PROFIT_AND_LOSS[Id],$L45,PBC_PROFIT_AND_LOSS[Date],AS$5)</f>
        <v>0</v>
      </c>
      <c r="AT45" s="27">
        <f>SUMIFS(PBC_PROFIT_AND_LOSS[AccountBalance], PBC_PROFIT_AND_LOSS[Id],$L45,PBC_PROFIT_AND_LOSS[Date],AT$5)</f>
        <v>0</v>
      </c>
      <c r="AU45" s="27">
        <f>SUMIFS(PBC_PROFIT_AND_LOSS[AccountBalance], PBC_PROFIT_AND_LOSS[Id],$L45,PBC_PROFIT_AND_LOSS[Date],AU$5)</f>
        <v>0</v>
      </c>
      <c r="AV45" s="27">
        <f>SUMIFS(PBC_PROFIT_AND_LOSS[AccountBalance], PBC_PROFIT_AND_LOSS[Id],$L45,PBC_PROFIT_AND_LOSS[Date],AV$5)</f>
        <v>0</v>
      </c>
      <c r="AW45" s="27">
        <f>SUMIFS(PBC_PROFIT_AND_LOSS[AccountBalance], PBC_PROFIT_AND_LOSS[Id],$L45,PBC_PROFIT_AND_LOSS[Date],AW$5)</f>
        <v>0</v>
      </c>
      <c r="AX45" s="27">
        <f>SUMIFS(PBC_PROFIT_AND_LOSS[AccountBalance], PBC_PROFIT_AND_LOSS[Id],$L45,PBC_PROFIT_AND_LOSS[Date],AX$5)</f>
        <v>0</v>
      </c>
      <c r="AY45" s="27">
        <f>SUMIFS(PBC_PROFIT_AND_LOSS[AccountBalance], PBC_PROFIT_AND_LOSS[Id],$L45,PBC_PROFIT_AND_LOSS[Date],AY$5)</f>
        <v>0</v>
      </c>
      <c r="AZ45" s="27">
        <f>SUMIFS(PBC_PROFIT_AND_LOSS[AccountBalance], PBC_PROFIT_AND_LOSS[Id],$L45,PBC_PROFIT_AND_LOSS[Date],AZ$5)</f>
        <v>0</v>
      </c>
      <c r="BA45" s="27">
        <f>SUMIFS(PBC_PROFIT_AND_LOSS[AccountBalance], PBC_PROFIT_AND_LOSS[Id],$L45,PBC_PROFIT_AND_LOSS[Date],BA$5)</f>
        <v>0</v>
      </c>
      <c r="BB45" s="27">
        <f>SUMIFS(PBC_PROFIT_AND_LOSS[AccountBalance], PBC_PROFIT_AND_LOSS[Id],$L45,PBC_PROFIT_AND_LOSS[Date],BB$5)</f>
        <v>0</v>
      </c>
      <c r="BC45" s="27">
        <f>SUMIFS(PBC_PROFIT_AND_LOSS[AccountBalance], PBC_PROFIT_AND_LOSS[Id],$L45,PBC_PROFIT_AND_LOSS[Date],BC$5)</f>
        <v>0</v>
      </c>
      <c r="BD45" s="27">
        <f>SUMIFS(PBC_PROFIT_AND_LOSS[AccountBalance], PBC_PROFIT_AND_LOSS[Id],$L45,PBC_PROFIT_AND_LOSS[Date],BD$5)</f>
        <v>0</v>
      </c>
      <c r="BE45" s="114">
        <f t="shared" si="82"/>
        <v>0</v>
      </c>
      <c r="BF45" s="114">
        <f t="shared" si="84"/>
        <v>0</v>
      </c>
      <c r="BG45" s="114">
        <f t="shared" si="85"/>
        <v>0</v>
      </c>
      <c r="BH45" s="114">
        <f t="shared" si="86"/>
        <v>0</v>
      </c>
      <c r="BI45" s="114">
        <f t="shared" si="87"/>
        <v>0</v>
      </c>
      <c r="BJ45" s="114">
        <f t="shared" si="88"/>
        <v>0</v>
      </c>
      <c r="BK45" s="114">
        <f t="shared" si="89"/>
        <v>0</v>
      </c>
      <c r="BL45" s="114">
        <f t="shared" si="90"/>
        <v>0</v>
      </c>
      <c r="BM45" s="114">
        <f t="shared" si="91"/>
        <v>0</v>
      </c>
      <c r="BN45" s="114">
        <f t="shared" si="92"/>
        <v>0</v>
      </c>
      <c r="BO45" s="114">
        <f t="shared" si="93"/>
        <v>0</v>
      </c>
      <c r="BP45" s="114">
        <f t="shared" si="94"/>
        <v>0</v>
      </c>
      <c r="BQ45" s="114">
        <f t="shared" si="95"/>
        <v>0</v>
      </c>
      <c r="BR45" s="114">
        <f t="shared" si="96"/>
        <v>0</v>
      </c>
      <c r="BS45" s="114">
        <f t="shared" si="97"/>
        <v>0</v>
      </c>
    </row>
    <row r="46" spans="3:71" outlineLevel="2">
      <c r="C46" s="21"/>
      <c r="D46" s="26" t="s">
        <v>187</v>
      </c>
      <c r="E46" s="18" t="s">
        <v>158</v>
      </c>
      <c r="F46" s="111">
        <v>0.05</v>
      </c>
      <c r="G46" s="15" t="str">
        <f>IFERROR(INDEX(PBC_ACCOUNT_LIST[Drivers Section],MATCH(Drivers!L46,PBC_ACCOUNT_LIST[Id],0)),"")</f>
        <v>Opex</v>
      </c>
      <c r="H46" s="15" t="str">
        <f>IFERROR(INDEX(PBC_ACCOUNT_LIST[Summary Grouping],MATCH(Drivers!L46,PBC_ACCOUNT_LIST[Id],0)),"")</f>
        <v>Travel &amp; Entertainment</v>
      </c>
      <c r="I46" s="15"/>
      <c r="J46" s="15">
        <f>IFERROR(INDEX(PBC_ACCOUNT_LIST[Cash Flow Section],MATCH(Drivers!L46,PBC_ACCOUNT_LIST[Id],0)),"")</f>
        <v>0</v>
      </c>
      <c r="K46" s="16" t="s">
        <v>159</v>
      </c>
      <c r="L46" s="15">
        <v>185</v>
      </c>
      <c r="M46" s="14"/>
      <c r="O46" s="9"/>
      <c r="P46" s="27">
        <f t="shared" si="80"/>
        <v>23739</v>
      </c>
      <c r="Q46" s="27">
        <f t="shared" si="80"/>
        <v>40537.328476249997</v>
      </c>
      <c r="R46" s="27">
        <f t="shared" si="80"/>
        <v>50920.704578012374</v>
      </c>
      <c r="S46" s="27"/>
      <c r="T46" s="27"/>
      <c r="U46" s="27">
        <f t="shared" si="98"/>
        <v>4424</v>
      </c>
      <c r="V46" s="27">
        <f t="shared" si="98"/>
        <v>5426</v>
      </c>
      <c r="W46" s="27">
        <f t="shared" si="98"/>
        <v>6661</v>
      </c>
      <c r="X46" s="27">
        <f t="shared" si="98"/>
        <v>7228</v>
      </c>
      <c r="Y46" s="27">
        <f t="shared" si="98"/>
        <v>8367.23</v>
      </c>
      <c r="Z46" s="27">
        <f t="shared" si="98"/>
        <v>9686.5499999999993</v>
      </c>
      <c r="AA46" s="27">
        <f t="shared" si="98"/>
        <v>11213.21</v>
      </c>
      <c r="AB46" s="27">
        <f t="shared" si="98"/>
        <v>11270.338476250001</v>
      </c>
      <c r="AC46" s="27">
        <f t="shared" si="98"/>
        <v>11982.595502651624</v>
      </c>
      <c r="AD46" s="27">
        <f t="shared" si="98"/>
        <v>12418.700713778115</v>
      </c>
      <c r="AE46" s="27">
        <f t="shared" si="98"/>
        <v>12985.58473018475</v>
      </c>
      <c r="AF46" s="27">
        <f t="shared" si="98"/>
        <v>13533.823631397892</v>
      </c>
      <c r="AG46" s="112"/>
      <c r="AH46" s="113"/>
      <c r="AI46" s="27">
        <f>SUMIFS(PBC_PROFIT_AND_LOSS[AccountBalance], PBC_PROFIT_AND_LOSS[Id],$L46,PBC_PROFIT_AND_LOSS[Date],AI$5)</f>
        <v>1796</v>
      </c>
      <c r="AJ46" s="27">
        <f>SUMIFS(PBC_PROFIT_AND_LOSS[AccountBalance], PBC_PROFIT_AND_LOSS[Id],$L46,PBC_PROFIT_AND_LOSS[Date],AJ$5)</f>
        <v>1238</v>
      </c>
      <c r="AK46" s="27">
        <f>SUMIFS(PBC_PROFIT_AND_LOSS[AccountBalance], PBC_PROFIT_AND_LOSS[Id],$L46,PBC_PROFIT_AND_LOSS[Date],AK$5)</f>
        <v>1886</v>
      </c>
      <c r="AL46" s="27">
        <f>SUMIFS(PBC_PROFIT_AND_LOSS[AccountBalance], PBC_PROFIT_AND_LOSS[Id],$L46,PBC_PROFIT_AND_LOSS[Date],AL$5)</f>
        <v>1300</v>
      </c>
      <c r="AM46" s="27">
        <f>SUMIFS(PBC_PROFIT_AND_LOSS[AccountBalance], PBC_PROFIT_AND_LOSS[Id],$L46,PBC_PROFIT_AND_LOSS[Date],AM$5)</f>
        <v>1981</v>
      </c>
      <c r="AN46" s="27">
        <f>SUMIFS(PBC_PROFIT_AND_LOSS[AccountBalance], PBC_PROFIT_AND_LOSS[Id],$L46,PBC_PROFIT_AND_LOSS[Date],AN$5)</f>
        <v>1365</v>
      </c>
      <c r="AO46" s="27">
        <f>SUMIFS(PBC_PROFIT_AND_LOSS[AccountBalance], PBC_PROFIT_AND_LOSS[Id],$L46,PBC_PROFIT_AND_LOSS[Date],AO$5)</f>
        <v>2080</v>
      </c>
      <c r="AP46" s="27">
        <f>SUMIFS(PBC_PROFIT_AND_LOSS[AccountBalance], PBC_PROFIT_AND_LOSS[Id],$L46,PBC_PROFIT_AND_LOSS[Date],AP$5)</f>
        <v>2184</v>
      </c>
      <c r="AQ46" s="27">
        <f>SUMIFS(PBC_PROFIT_AND_LOSS[AccountBalance], PBC_PROFIT_AND_LOSS[Id],$L46,PBC_PROFIT_AND_LOSS[Date],AQ$5)</f>
        <v>2184</v>
      </c>
      <c r="AR46" s="27">
        <f>SUMIFS(PBC_PROFIT_AND_LOSS[AccountBalance], PBC_PROFIT_AND_LOSS[Id],$L46,PBC_PROFIT_AND_LOSS[Date],AR$5)</f>
        <v>2293</v>
      </c>
      <c r="AS46" s="27">
        <f>SUMIFS(PBC_PROFIT_AND_LOSS[AccountBalance], PBC_PROFIT_AND_LOSS[Id],$L46,PBC_PROFIT_AND_LOSS[Date],AS$5)</f>
        <v>2293</v>
      </c>
      <c r="AT46" s="27">
        <f>SUMIFS(PBC_PROFIT_AND_LOSS[AccountBalance], PBC_PROFIT_AND_LOSS[Id],$L46,PBC_PROFIT_AND_LOSS[Date],AT$5)</f>
        <v>2407</v>
      </c>
      <c r="AU46" s="27">
        <f>SUMIFS(PBC_PROFIT_AND_LOSS[AccountBalance], PBC_PROFIT_AND_LOSS[Id],$L46,PBC_PROFIT_AND_LOSS[Date],AU$5)</f>
        <v>2528</v>
      </c>
      <c r="AV46" s="27">
        <f>SUMIFS(PBC_PROFIT_AND_LOSS[AccountBalance], PBC_PROFIT_AND_LOSS[Id],$L46,PBC_PROFIT_AND_LOSS[Date],AV$5)</f>
        <v>2654.23</v>
      </c>
      <c r="AW46" s="27">
        <f>SUMIFS(PBC_PROFIT_AND_LOSS[AccountBalance], PBC_PROFIT_AND_LOSS[Id],$L46,PBC_PROFIT_AND_LOSS[Date],AW$5)</f>
        <v>2787</v>
      </c>
      <c r="AX46" s="27">
        <f>SUMIFS(PBC_PROFIT_AND_LOSS[AccountBalance], PBC_PROFIT_AND_LOSS[Id],$L46,PBC_PROFIT_AND_LOSS[Date],AX$5)</f>
        <v>2926</v>
      </c>
      <c r="AY46" s="27">
        <f>SUMIFS(PBC_PROFIT_AND_LOSS[AccountBalance], PBC_PROFIT_AND_LOSS[Id],$L46,PBC_PROFIT_AND_LOSS[Date],AY$5)</f>
        <v>3073</v>
      </c>
      <c r="AZ46" s="27">
        <f>SUMIFS(PBC_PROFIT_AND_LOSS[AccountBalance], PBC_PROFIT_AND_LOSS[Id],$L46,PBC_PROFIT_AND_LOSS[Date],AZ$5)</f>
        <v>3226</v>
      </c>
      <c r="BA46" s="27">
        <f>SUMIFS(PBC_PROFIT_AND_LOSS[AccountBalance], PBC_PROFIT_AND_LOSS[Id],$L46,PBC_PROFIT_AND_LOSS[Date],BA$5)</f>
        <v>3387.55</v>
      </c>
      <c r="BB46" s="27">
        <f>SUMIFS(PBC_PROFIT_AND_LOSS[AccountBalance], PBC_PROFIT_AND_LOSS[Id],$L46,PBC_PROFIT_AND_LOSS[Date],BB$5)</f>
        <v>3556.93</v>
      </c>
      <c r="BC46" s="27">
        <f>SUMIFS(PBC_PROFIT_AND_LOSS[AccountBalance], PBC_PROFIT_AND_LOSS[Id],$L46,PBC_PROFIT_AND_LOSS[Date],BC$5)</f>
        <v>3734.77</v>
      </c>
      <c r="BD46" s="27">
        <f>SUMIFS(PBC_PROFIT_AND_LOSS[AccountBalance], PBC_PROFIT_AND_LOSS[Id],$L46,PBC_PROFIT_AND_LOSS[Date],BD$5)</f>
        <v>3921.51</v>
      </c>
      <c r="BE46" s="114">
        <f t="shared" si="82"/>
        <v>3657.4580000000005</v>
      </c>
      <c r="BF46" s="114">
        <f t="shared" si="84"/>
        <v>3759.7381500000001</v>
      </c>
      <c r="BG46" s="114">
        <f t="shared" si="85"/>
        <v>3853.1423262500007</v>
      </c>
      <c r="BH46" s="114">
        <f t="shared" si="86"/>
        <v>3934.6209833437501</v>
      </c>
      <c r="BI46" s="114">
        <f t="shared" si="87"/>
        <v>4000.716905428907</v>
      </c>
      <c r="BJ46" s="114">
        <f t="shared" si="88"/>
        <v>4047.2576138789664</v>
      </c>
      <c r="BK46" s="114">
        <f t="shared" si="89"/>
        <v>4069.2634463077843</v>
      </c>
      <c r="BL46" s="114">
        <f t="shared" si="90"/>
        <v>4141.3293994116466</v>
      </c>
      <c r="BM46" s="114">
        <f t="shared" si="91"/>
        <v>4208.1078680586843</v>
      </c>
      <c r="BN46" s="114">
        <f t="shared" si="92"/>
        <v>4270.2268378752042</v>
      </c>
      <c r="BO46" s="114">
        <f t="shared" si="93"/>
        <v>4328.9578624182086</v>
      </c>
      <c r="BP46" s="114">
        <f t="shared" si="94"/>
        <v>4386.400029891337</v>
      </c>
      <c r="BQ46" s="114">
        <f t="shared" si="95"/>
        <v>4445.7499526935017</v>
      </c>
      <c r="BR46" s="114">
        <f t="shared" si="96"/>
        <v>4511.6350913110018</v>
      </c>
      <c r="BS46" s="114">
        <f t="shared" si="97"/>
        <v>4576.4385873933898</v>
      </c>
    </row>
    <row r="47" spans="3:71" outlineLevel="2">
      <c r="C47" s="21"/>
      <c r="D47" s="26" t="s">
        <v>188</v>
      </c>
      <c r="E47" s="18" t="s">
        <v>158</v>
      </c>
      <c r="F47" s="111">
        <v>0.05</v>
      </c>
      <c r="G47" s="15" t="str">
        <f>IFERROR(INDEX(PBC_ACCOUNT_LIST[Drivers Section],MATCH(Drivers!L47,PBC_ACCOUNT_LIST[Id],0)),"")</f>
        <v>Opex</v>
      </c>
      <c r="H47" s="15" t="str">
        <f>IFERROR(INDEX(PBC_ACCOUNT_LIST[Summary Grouping],MATCH(Drivers!L47,PBC_ACCOUNT_LIST[Id],0)),"")</f>
        <v>Travel &amp; Entertainment</v>
      </c>
      <c r="I47" s="15"/>
      <c r="J47" s="15">
        <f>IFERROR(INDEX(PBC_ACCOUNT_LIST[Cash Flow Section],MATCH(Drivers!L47,PBC_ACCOUNT_LIST[Id],0)),"")</f>
        <v>0</v>
      </c>
      <c r="K47" s="16" t="s">
        <v>159</v>
      </c>
      <c r="L47" s="15">
        <v>186</v>
      </c>
      <c r="M47" s="14"/>
      <c r="O47" s="9"/>
      <c r="P47" s="27">
        <f t="shared" si="80"/>
        <v>25460</v>
      </c>
      <c r="Q47" s="27">
        <f t="shared" si="80"/>
        <v>44514.386494687504</v>
      </c>
      <c r="R47" s="27">
        <f t="shared" si="80"/>
        <v>55917.483488565464</v>
      </c>
      <c r="S47" s="27"/>
      <c r="T47" s="27"/>
      <c r="U47" s="27">
        <f t="shared" si="98"/>
        <v>4463</v>
      </c>
      <c r="V47" s="27">
        <f t="shared" si="98"/>
        <v>5745</v>
      </c>
      <c r="W47" s="27">
        <f t="shared" si="98"/>
        <v>7314</v>
      </c>
      <c r="X47" s="27">
        <f t="shared" si="98"/>
        <v>7938</v>
      </c>
      <c r="Y47" s="27">
        <f t="shared" si="98"/>
        <v>9187.68</v>
      </c>
      <c r="Z47" s="27">
        <f t="shared" si="98"/>
        <v>10636.9</v>
      </c>
      <c r="AA47" s="27">
        <f t="shared" si="98"/>
        <v>12313.52</v>
      </c>
      <c r="AB47" s="27">
        <f t="shared" si="98"/>
        <v>12376.2864946875</v>
      </c>
      <c r="AC47" s="27">
        <f t="shared" si="98"/>
        <v>13158.425344342817</v>
      </c>
      <c r="AD47" s="27">
        <f t="shared" si="98"/>
        <v>13637.334560089128</v>
      </c>
      <c r="AE47" s="27">
        <f t="shared" si="98"/>
        <v>14259.842800469927</v>
      </c>
      <c r="AF47" s="27">
        <f t="shared" si="98"/>
        <v>14861.880783663597</v>
      </c>
      <c r="AG47" s="112"/>
      <c r="AH47" s="113"/>
      <c r="AI47" s="27">
        <f>SUMIFS(PBC_PROFIT_AND_LOSS[AccountBalance], PBC_PROFIT_AND_LOSS[Id],$L47,PBC_PROFIT_AND_LOSS[Date],AI$5)</f>
        <v>1973</v>
      </c>
      <c r="AJ47" s="27">
        <f>SUMIFS(PBC_PROFIT_AND_LOSS[AccountBalance], PBC_PROFIT_AND_LOSS[Id],$L47,PBC_PROFIT_AND_LOSS[Date],AJ$5)</f>
        <v>1167</v>
      </c>
      <c r="AK47" s="27">
        <f>SUMIFS(PBC_PROFIT_AND_LOSS[AccountBalance], PBC_PROFIT_AND_LOSS[Id],$L47,PBC_PROFIT_AND_LOSS[Date],AK$5)</f>
        <v>2071</v>
      </c>
      <c r="AL47" s="27">
        <f>SUMIFS(PBC_PROFIT_AND_LOSS[AccountBalance], PBC_PROFIT_AND_LOSS[Id],$L47,PBC_PROFIT_AND_LOSS[Date],AL$5)</f>
        <v>1225</v>
      </c>
      <c r="AM47" s="27">
        <f>SUMIFS(PBC_PROFIT_AND_LOSS[AccountBalance], PBC_PROFIT_AND_LOSS[Id],$L47,PBC_PROFIT_AND_LOSS[Date],AM$5)</f>
        <v>2175</v>
      </c>
      <c r="AN47" s="27">
        <f>SUMIFS(PBC_PROFIT_AND_LOSS[AccountBalance], PBC_PROFIT_AND_LOSS[Id],$L47,PBC_PROFIT_AND_LOSS[Date],AN$5)</f>
        <v>1286</v>
      </c>
      <c r="AO47" s="27">
        <f>SUMIFS(PBC_PROFIT_AND_LOSS[AccountBalance], PBC_PROFIT_AND_LOSS[Id],$L47,PBC_PROFIT_AND_LOSS[Date],AO$5)</f>
        <v>2284</v>
      </c>
      <c r="AP47" s="27">
        <f>SUMIFS(PBC_PROFIT_AND_LOSS[AccountBalance], PBC_PROFIT_AND_LOSS[Id],$L47,PBC_PROFIT_AND_LOSS[Date],AP$5)</f>
        <v>2398</v>
      </c>
      <c r="AQ47" s="27">
        <f>SUMIFS(PBC_PROFIT_AND_LOSS[AccountBalance], PBC_PROFIT_AND_LOSS[Id],$L47,PBC_PROFIT_AND_LOSS[Date],AQ$5)</f>
        <v>2398</v>
      </c>
      <c r="AR47" s="27">
        <f>SUMIFS(PBC_PROFIT_AND_LOSS[AccountBalance], PBC_PROFIT_AND_LOSS[Id],$L47,PBC_PROFIT_AND_LOSS[Date],AR$5)</f>
        <v>2518</v>
      </c>
      <c r="AS47" s="27">
        <f>SUMIFS(PBC_PROFIT_AND_LOSS[AccountBalance], PBC_PROFIT_AND_LOSS[Id],$L47,PBC_PROFIT_AND_LOSS[Date],AS$5)</f>
        <v>2518</v>
      </c>
      <c r="AT47" s="27">
        <f>SUMIFS(PBC_PROFIT_AND_LOSS[AccountBalance], PBC_PROFIT_AND_LOSS[Id],$L47,PBC_PROFIT_AND_LOSS[Date],AT$5)</f>
        <v>2644</v>
      </c>
      <c r="AU47" s="27">
        <f>SUMIFS(PBC_PROFIT_AND_LOSS[AccountBalance], PBC_PROFIT_AND_LOSS[Id],$L47,PBC_PROFIT_AND_LOSS[Date],AU$5)</f>
        <v>2776</v>
      </c>
      <c r="AV47" s="27">
        <f>SUMIFS(PBC_PROFIT_AND_LOSS[AccountBalance], PBC_PROFIT_AND_LOSS[Id],$L47,PBC_PROFIT_AND_LOSS[Date],AV$5)</f>
        <v>2914.68</v>
      </c>
      <c r="AW47" s="27">
        <f>SUMIFS(PBC_PROFIT_AND_LOSS[AccountBalance], PBC_PROFIT_AND_LOSS[Id],$L47,PBC_PROFIT_AND_LOSS[Date],AW$5)</f>
        <v>3060</v>
      </c>
      <c r="AX47" s="27">
        <f>SUMIFS(PBC_PROFIT_AND_LOSS[AccountBalance], PBC_PROFIT_AND_LOSS[Id],$L47,PBC_PROFIT_AND_LOSS[Date],AX$5)</f>
        <v>3213</v>
      </c>
      <c r="AY47" s="27">
        <f>SUMIFS(PBC_PROFIT_AND_LOSS[AccountBalance], PBC_PROFIT_AND_LOSS[Id],$L47,PBC_PROFIT_AND_LOSS[Date],AY$5)</f>
        <v>3374</v>
      </c>
      <c r="AZ47" s="27">
        <f>SUMIFS(PBC_PROFIT_AND_LOSS[AccountBalance], PBC_PROFIT_AND_LOSS[Id],$L47,PBC_PROFIT_AND_LOSS[Date],AZ$5)</f>
        <v>3543</v>
      </c>
      <c r="BA47" s="27">
        <f>SUMIFS(PBC_PROFIT_AND_LOSS[AccountBalance], PBC_PROFIT_AND_LOSS[Id],$L47,PBC_PROFIT_AND_LOSS[Date],BA$5)</f>
        <v>3719.9</v>
      </c>
      <c r="BB47" s="27">
        <f>SUMIFS(PBC_PROFIT_AND_LOSS[AccountBalance], PBC_PROFIT_AND_LOSS[Id],$L47,PBC_PROFIT_AND_LOSS[Date],BB$5)</f>
        <v>3905.95</v>
      </c>
      <c r="BC47" s="27">
        <f>SUMIFS(PBC_PROFIT_AND_LOSS[AccountBalance], PBC_PROFIT_AND_LOSS[Id],$L47,PBC_PROFIT_AND_LOSS[Date],BC$5)</f>
        <v>4101.25</v>
      </c>
      <c r="BD47" s="27">
        <f>SUMIFS(PBC_PROFIT_AND_LOSS[AccountBalance], PBC_PROFIT_AND_LOSS[Id],$L47,PBC_PROFIT_AND_LOSS[Date],BD$5)</f>
        <v>4306.32</v>
      </c>
      <c r="BE47" s="114">
        <f t="shared" si="82"/>
        <v>4016.3235</v>
      </c>
      <c r="BF47" s="114">
        <f t="shared" si="84"/>
        <v>4128.7301124999994</v>
      </c>
      <c r="BG47" s="114">
        <f t="shared" si="85"/>
        <v>4231.2328821874999</v>
      </c>
      <c r="BH47" s="114">
        <f t="shared" si="86"/>
        <v>4320.7161365703132</v>
      </c>
      <c r="BI47" s="114">
        <f t="shared" si="87"/>
        <v>4393.3002104701172</v>
      </c>
      <c r="BJ47" s="114">
        <f t="shared" si="88"/>
        <v>4444.4089973023874</v>
      </c>
      <c r="BK47" s="114">
        <f t="shared" si="89"/>
        <v>4468.5745718303051</v>
      </c>
      <c r="BL47" s="114">
        <f t="shared" si="90"/>
        <v>4547.718509400609</v>
      </c>
      <c r="BM47" s="114">
        <f t="shared" si="91"/>
        <v>4621.0414788582148</v>
      </c>
      <c r="BN47" s="114">
        <f t="shared" si="92"/>
        <v>4689.25798327559</v>
      </c>
      <c r="BO47" s="114">
        <f t="shared" si="93"/>
        <v>4753.7528064490152</v>
      </c>
      <c r="BP47" s="114">
        <f t="shared" si="94"/>
        <v>4816.832010745321</v>
      </c>
      <c r="BQ47" s="114">
        <f t="shared" si="95"/>
        <v>4882.0060380978348</v>
      </c>
      <c r="BR47" s="114">
        <f t="shared" si="96"/>
        <v>4954.3565446946532</v>
      </c>
      <c r="BS47" s="114">
        <f t="shared" si="97"/>
        <v>5025.5182008711099</v>
      </c>
    </row>
    <row r="48" spans="3:71" outlineLevel="2">
      <c r="C48" s="21"/>
      <c r="D48" s="26" t="s">
        <v>189</v>
      </c>
      <c r="E48" s="18" t="s">
        <v>158</v>
      </c>
      <c r="F48" s="111">
        <v>0.05</v>
      </c>
      <c r="G48" s="15" t="str">
        <f>IFERROR(INDEX(PBC_ACCOUNT_LIST[Drivers Section],MATCH(Drivers!L48,PBC_ACCOUNT_LIST[Id],0)),"")</f>
        <v>Opex</v>
      </c>
      <c r="H48" s="15" t="str">
        <f>IFERROR(INDEX(PBC_ACCOUNT_LIST[Summary Grouping],MATCH(Drivers!L48,PBC_ACCOUNT_LIST[Id],0)),"")</f>
        <v>Travel &amp; Entertainment</v>
      </c>
      <c r="I48" s="15"/>
      <c r="J48" s="15">
        <f>IFERROR(INDEX(PBC_ACCOUNT_LIST[Cash Flow Section],MATCH(Drivers!L48,PBC_ACCOUNT_LIST[Id],0)),"")</f>
        <v>0</v>
      </c>
      <c r="K48" s="16" t="s">
        <v>159</v>
      </c>
      <c r="L48" s="15">
        <v>205</v>
      </c>
      <c r="M48" s="14"/>
      <c r="O48" s="9"/>
      <c r="P48" s="27">
        <f t="shared" si="80"/>
        <v>10437</v>
      </c>
      <c r="Q48" s="27">
        <f t="shared" si="80"/>
        <v>17297.791560000001</v>
      </c>
      <c r="R48" s="27">
        <f t="shared" si="80"/>
        <v>21728.121820208406</v>
      </c>
      <c r="S48" s="27"/>
      <c r="T48" s="27"/>
      <c r="U48" s="27">
        <f t="shared" si="98"/>
        <v>2089</v>
      </c>
      <c r="V48" s="27">
        <f t="shared" si="98"/>
        <v>2422</v>
      </c>
      <c r="W48" s="27">
        <f t="shared" si="98"/>
        <v>2842</v>
      </c>
      <c r="X48" s="27">
        <f t="shared" si="98"/>
        <v>3084</v>
      </c>
      <c r="Y48" s="27">
        <f t="shared" si="98"/>
        <v>3570.55</v>
      </c>
      <c r="Z48" s="27">
        <f t="shared" si="98"/>
        <v>4133.45</v>
      </c>
      <c r="AA48" s="27">
        <f t="shared" si="98"/>
        <v>4784.63</v>
      </c>
      <c r="AB48" s="27">
        <f t="shared" si="98"/>
        <v>4809.1615600000005</v>
      </c>
      <c r="AC48" s="27">
        <f t="shared" si="98"/>
        <v>5113.0194702168747</v>
      </c>
      <c r="AD48" s="27">
        <f t="shared" si="98"/>
        <v>5299.1322169738542</v>
      </c>
      <c r="AE48" s="27">
        <f t="shared" si="98"/>
        <v>5541.0158196255697</v>
      </c>
      <c r="AF48" s="27">
        <f t="shared" si="98"/>
        <v>5774.954313392107</v>
      </c>
      <c r="AG48" s="112"/>
      <c r="AH48" s="113"/>
      <c r="AI48" s="27">
        <f>SUMIFS(PBC_PROFIT_AND_LOSS[AccountBalance], PBC_PROFIT_AND_LOSS[Id],$L48,PBC_PROFIT_AND_LOSS[Date],AI$5)</f>
        <v>766.5</v>
      </c>
      <c r="AJ48" s="27">
        <f>SUMIFS(PBC_PROFIT_AND_LOSS[AccountBalance], PBC_PROFIT_AND_LOSS[Id],$L48,PBC_PROFIT_AND_LOSS[Date],AJ$5)</f>
        <v>626</v>
      </c>
      <c r="AK48" s="27">
        <f>SUMIFS(PBC_PROFIT_AND_LOSS[AccountBalance], PBC_PROFIT_AND_LOSS[Id],$L48,PBC_PROFIT_AND_LOSS[Date],AK$5)</f>
        <v>805</v>
      </c>
      <c r="AL48" s="27">
        <f>SUMIFS(PBC_PROFIT_AND_LOSS[AccountBalance], PBC_PROFIT_AND_LOSS[Id],$L48,PBC_PROFIT_AND_LOSS[Date],AL$5)</f>
        <v>658</v>
      </c>
      <c r="AM48" s="27">
        <f>SUMIFS(PBC_PROFIT_AND_LOSS[AccountBalance], PBC_PROFIT_AND_LOSS[Id],$L48,PBC_PROFIT_AND_LOSS[Date],AM$5)</f>
        <v>845</v>
      </c>
      <c r="AN48" s="27">
        <f>SUMIFS(PBC_PROFIT_AND_LOSS[AccountBalance], PBC_PROFIT_AND_LOSS[Id],$L48,PBC_PROFIT_AND_LOSS[Date],AN$5)</f>
        <v>690</v>
      </c>
      <c r="AO48" s="27">
        <f>SUMIFS(PBC_PROFIT_AND_LOSS[AccountBalance], PBC_PROFIT_AND_LOSS[Id],$L48,PBC_PROFIT_AND_LOSS[Date],AO$5)</f>
        <v>887</v>
      </c>
      <c r="AP48" s="27">
        <f>SUMIFS(PBC_PROFIT_AND_LOSS[AccountBalance], PBC_PROFIT_AND_LOSS[Id],$L48,PBC_PROFIT_AND_LOSS[Date],AP$5)</f>
        <v>932</v>
      </c>
      <c r="AQ48" s="27">
        <f>SUMIFS(PBC_PROFIT_AND_LOSS[AccountBalance], PBC_PROFIT_AND_LOSS[Id],$L48,PBC_PROFIT_AND_LOSS[Date],AQ$5)</f>
        <v>932</v>
      </c>
      <c r="AR48" s="27">
        <f>SUMIFS(PBC_PROFIT_AND_LOSS[AccountBalance], PBC_PROFIT_AND_LOSS[Id],$L48,PBC_PROFIT_AND_LOSS[Date],AR$5)</f>
        <v>978</v>
      </c>
      <c r="AS48" s="27">
        <f>SUMIFS(PBC_PROFIT_AND_LOSS[AccountBalance], PBC_PROFIT_AND_LOSS[Id],$L48,PBC_PROFIT_AND_LOSS[Date],AS$5)</f>
        <v>978</v>
      </c>
      <c r="AT48" s="27">
        <f>SUMIFS(PBC_PROFIT_AND_LOSS[AccountBalance], PBC_PROFIT_AND_LOSS[Id],$L48,PBC_PROFIT_AND_LOSS[Date],AT$5)</f>
        <v>1027</v>
      </c>
      <c r="AU48" s="27">
        <f>SUMIFS(PBC_PROFIT_AND_LOSS[AccountBalance], PBC_PROFIT_AND_LOSS[Id],$L48,PBC_PROFIT_AND_LOSS[Date],AU$5)</f>
        <v>1079</v>
      </c>
      <c r="AV48" s="27">
        <f>SUMIFS(PBC_PROFIT_AND_LOSS[AccountBalance], PBC_PROFIT_AND_LOSS[Id],$L48,PBC_PROFIT_AND_LOSS[Date],AV$5)</f>
        <v>1132.55</v>
      </c>
      <c r="AW48" s="27">
        <f>SUMIFS(PBC_PROFIT_AND_LOSS[AccountBalance], PBC_PROFIT_AND_LOSS[Id],$L48,PBC_PROFIT_AND_LOSS[Date],AW$5)</f>
        <v>1189</v>
      </c>
      <c r="AX48" s="27">
        <f>SUMIFS(PBC_PROFIT_AND_LOSS[AccountBalance], PBC_PROFIT_AND_LOSS[Id],$L48,PBC_PROFIT_AND_LOSS[Date],AX$5)</f>
        <v>1249</v>
      </c>
      <c r="AY48" s="27">
        <f>SUMIFS(PBC_PROFIT_AND_LOSS[AccountBalance], PBC_PROFIT_AND_LOSS[Id],$L48,PBC_PROFIT_AND_LOSS[Date],AY$5)</f>
        <v>1311</v>
      </c>
      <c r="AZ48" s="27">
        <f>SUMIFS(PBC_PROFIT_AND_LOSS[AccountBalance], PBC_PROFIT_AND_LOSS[Id],$L48,PBC_PROFIT_AND_LOSS[Date],AZ$5)</f>
        <v>1377</v>
      </c>
      <c r="BA48" s="27">
        <f>SUMIFS(PBC_PROFIT_AND_LOSS[AccountBalance], PBC_PROFIT_AND_LOSS[Id],$L48,PBC_PROFIT_AND_LOSS[Date],BA$5)</f>
        <v>1445.45</v>
      </c>
      <c r="BB48" s="27">
        <f>SUMIFS(PBC_PROFIT_AND_LOSS[AccountBalance], PBC_PROFIT_AND_LOSS[Id],$L48,PBC_PROFIT_AND_LOSS[Date],BB$5)</f>
        <v>1517.72</v>
      </c>
      <c r="BC48" s="27">
        <f>SUMIFS(PBC_PROFIT_AND_LOSS[AccountBalance], PBC_PROFIT_AND_LOSS[Id],$L48,PBC_PROFIT_AND_LOSS[Date],BC$5)</f>
        <v>1593.63</v>
      </c>
      <c r="BD48" s="27">
        <f>SUMIFS(PBC_PROFIT_AND_LOSS[AccountBalance], PBC_PROFIT_AND_LOSS[Id],$L48,PBC_PROFIT_AND_LOSS[Date],BD$5)</f>
        <v>1673.28</v>
      </c>
      <c r="BE48" s="114">
        <f t="shared" si="82"/>
        <v>1560.664</v>
      </c>
      <c r="BF48" s="114">
        <f t="shared" si="84"/>
        <v>1604.3552000000002</v>
      </c>
      <c r="BG48" s="114">
        <f t="shared" si="85"/>
        <v>1644.1423600000001</v>
      </c>
      <c r="BH48" s="114">
        <f t="shared" si="86"/>
        <v>1678.9135229999999</v>
      </c>
      <c r="BI48" s="114">
        <f t="shared" si="87"/>
        <v>1707.122389525</v>
      </c>
      <c r="BJ48" s="114">
        <f t="shared" si="88"/>
        <v>1726.9835576918751</v>
      </c>
      <c r="BK48" s="114">
        <f t="shared" si="89"/>
        <v>1736.3816802879535</v>
      </c>
      <c r="BL48" s="114">
        <f t="shared" si="90"/>
        <v>1767.1322743383453</v>
      </c>
      <c r="BM48" s="114">
        <f t="shared" si="91"/>
        <v>1795.6182623475554</v>
      </c>
      <c r="BN48" s="114">
        <f t="shared" si="92"/>
        <v>1822.1265452583777</v>
      </c>
      <c r="BO48" s="114">
        <f t="shared" si="93"/>
        <v>1847.1888241535939</v>
      </c>
      <c r="BP48" s="114">
        <f t="shared" si="94"/>
        <v>1871.7004502135978</v>
      </c>
      <c r="BQ48" s="114">
        <f t="shared" si="95"/>
        <v>1897.0259064048996</v>
      </c>
      <c r="BR48" s="114">
        <f t="shared" si="96"/>
        <v>1925.1386459753644</v>
      </c>
      <c r="BS48" s="114">
        <f t="shared" si="97"/>
        <v>1952.7897610118434</v>
      </c>
    </row>
    <row r="49" spans="1:71" ht="14.45" customHeight="1" outlineLevel="2">
      <c r="C49" s="21"/>
      <c r="D49" s="26" t="s">
        <v>190</v>
      </c>
      <c r="E49" s="18" t="s">
        <v>158</v>
      </c>
      <c r="F49" s="111">
        <v>0.05</v>
      </c>
      <c r="G49" s="15" t="str">
        <f>IFERROR(INDEX(PBC_ACCOUNT_LIST[Drivers Section],MATCH(Drivers!L49,PBC_ACCOUNT_LIST[Id],0)),"")</f>
        <v>Opex</v>
      </c>
      <c r="H49" s="15" t="str">
        <f>IFERROR(INDEX(PBC_ACCOUNT_LIST[Summary Grouping],MATCH(Drivers!L49,PBC_ACCOUNT_LIST[Id],0)),"")</f>
        <v>Office &amp; Other G&amp;A</v>
      </c>
      <c r="I49" s="15"/>
      <c r="J49" s="15">
        <f>IFERROR(INDEX(PBC_ACCOUNT_LIST[Cash Flow Section],MATCH(Drivers!L49,PBC_ACCOUNT_LIST[Id],0)),"")</f>
        <v>0</v>
      </c>
      <c r="K49" s="16" t="s">
        <v>159</v>
      </c>
      <c r="L49" s="15">
        <v>206</v>
      </c>
      <c r="M49" s="14"/>
      <c r="O49" s="9"/>
      <c r="P49" s="27">
        <f t="shared" si="80"/>
        <v>0</v>
      </c>
      <c r="Q49" s="27">
        <f t="shared" si="80"/>
        <v>1622.234375</v>
      </c>
      <c r="R49" s="27">
        <f t="shared" si="80"/>
        <v>1959.1537992725623</v>
      </c>
      <c r="S49" s="27"/>
      <c r="T49" s="27"/>
      <c r="U49" s="27">
        <f t="shared" si="98"/>
        <v>0</v>
      </c>
      <c r="V49" s="27">
        <f t="shared" si="98"/>
        <v>0</v>
      </c>
      <c r="W49" s="27">
        <f t="shared" si="98"/>
        <v>0</v>
      </c>
      <c r="X49" s="27">
        <f t="shared" si="98"/>
        <v>0</v>
      </c>
      <c r="Y49" s="27">
        <f t="shared" si="98"/>
        <v>0</v>
      </c>
      <c r="Z49" s="27">
        <f t="shared" si="98"/>
        <v>1000</v>
      </c>
      <c r="AA49" s="27">
        <f t="shared" si="98"/>
        <v>0</v>
      </c>
      <c r="AB49" s="27">
        <f t="shared" si="98"/>
        <v>622.234375</v>
      </c>
      <c r="AC49" s="27">
        <f t="shared" si="98"/>
        <v>387.17561743164066</v>
      </c>
      <c r="AD49" s="27">
        <f t="shared" si="98"/>
        <v>525.49584575945664</v>
      </c>
      <c r="AE49" s="27">
        <f t="shared" si="98"/>
        <v>504.05819956889172</v>
      </c>
      <c r="AF49" s="27">
        <f t="shared" si="98"/>
        <v>542.42413651257289</v>
      </c>
      <c r="AG49" s="112"/>
      <c r="AH49" s="113"/>
      <c r="AI49" s="27">
        <f>SUMIFS(PBC_PROFIT_AND_LOSS[AccountBalance], PBC_PROFIT_AND_LOSS[Id],$L49,PBC_PROFIT_AND_LOSS[Date],AI$5)</f>
        <v>0</v>
      </c>
      <c r="AJ49" s="27">
        <f>SUMIFS(PBC_PROFIT_AND_LOSS[AccountBalance], PBC_PROFIT_AND_LOSS[Id],$L49,PBC_PROFIT_AND_LOSS[Date],AJ$5)</f>
        <v>0</v>
      </c>
      <c r="AK49" s="27">
        <f>SUMIFS(PBC_PROFIT_AND_LOSS[AccountBalance], PBC_PROFIT_AND_LOSS[Id],$L49,PBC_PROFIT_AND_LOSS[Date],AK$5)</f>
        <v>0</v>
      </c>
      <c r="AL49" s="27">
        <f>SUMIFS(PBC_PROFIT_AND_LOSS[AccountBalance], PBC_PROFIT_AND_LOSS[Id],$L49,PBC_PROFIT_AND_LOSS[Date],AL$5)</f>
        <v>0</v>
      </c>
      <c r="AM49" s="27">
        <f>SUMIFS(PBC_PROFIT_AND_LOSS[AccountBalance], PBC_PROFIT_AND_LOSS[Id],$L49,PBC_PROFIT_AND_LOSS[Date],AM$5)</f>
        <v>0</v>
      </c>
      <c r="AN49" s="27">
        <f>SUMIFS(PBC_PROFIT_AND_LOSS[AccountBalance], PBC_PROFIT_AND_LOSS[Id],$L49,PBC_PROFIT_AND_LOSS[Date],AN$5)</f>
        <v>0</v>
      </c>
      <c r="AO49" s="27">
        <f>SUMIFS(PBC_PROFIT_AND_LOSS[AccountBalance], PBC_PROFIT_AND_LOSS[Id],$L49,PBC_PROFIT_AND_LOSS[Date],AO$5)</f>
        <v>0</v>
      </c>
      <c r="AP49" s="27">
        <f>SUMIFS(PBC_PROFIT_AND_LOSS[AccountBalance], PBC_PROFIT_AND_LOSS[Id],$L49,PBC_PROFIT_AND_LOSS[Date],AP$5)</f>
        <v>0</v>
      </c>
      <c r="AQ49" s="27">
        <f>SUMIFS(PBC_PROFIT_AND_LOSS[AccountBalance], PBC_PROFIT_AND_LOSS[Id],$L49,PBC_PROFIT_AND_LOSS[Date],AQ$5)</f>
        <v>0</v>
      </c>
      <c r="AR49" s="27">
        <f>SUMIFS(PBC_PROFIT_AND_LOSS[AccountBalance], PBC_PROFIT_AND_LOSS[Id],$L49,PBC_PROFIT_AND_LOSS[Date],AR$5)</f>
        <v>0</v>
      </c>
      <c r="AS49" s="27">
        <f>SUMIFS(PBC_PROFIT_AND_LOSS[AccountBalance], PBC_PROFIT_AND_LOSS[Id],$L49,PBC_PROFIT_AND_LOSS[Date],AS$5)</f>
        <v>0</v>
      </c>
      <c r="AT49" s="27">
        <f>SUMIFS(PBC_PROFIT_AND_LOSS[AccountBalance], PBC_PROFIT_AND_LOSS[Id],$L49,PBC_PROFIT_AND_LOSS[Date],AT$5)</f>
        <v>0</v>
      </c>
      <c r="AU49" s="27">
        <f>SUMIFS(PBC_PROFIT_AND_LOSS[AccountBalance], PBC_PROFIT_AND_LOSS[Id],$L49,PBC_PROFIT_AND_LOSS[Date],AU$5)</f>
        <v>0</v>
      </c>
      <c r="AV49" s="27">
        <f>SUMIFS(PBC_PROFIT_AND_LOSS[AccountBalance], PBC_PROFIT_AND_LOSS[Id],$L49,PBC_PROFIT_AND_LOSS[Date],AV$5)</f>
        <v>0</v>
      </c>
      <c r="AW49" s="27">
        <f>SUMIFS(PBC_PROFIT_AND_LOSS[AccountBalance], PBC_PROFIT_AND_LOSS[Id],$L49,PBC_PROFIT_AND_LOSS[Date],AW$5)</f>
        <v>0</v>
      </c>
      <c r="AX49" s="27">
        <f>SUMIFS(PBC_PROFIT_AND_LOSS[AccountBalance], PBC_PROFIT_AND_LOSS[Id],$L49,PBC_PROFIT_AND_LOSS[Date],AX$5)</f>
        <v>0</v>
      </c>
      <c r="AY49" s="27">
        <f>SUMIFS(PBC_PROFIT_AND_LOSS[AccountBalance], PBC_PROFIT_AND_LOSS[Id],$L49,PBC_PROFIT_AND_LOSS[Date],AY$5)</f>
        <v>0</v>
      </c>
      <c r="AZ49" s="27">
        <f>SUMIFS(PBC_PROFIT_AND_LOSS[AccountBalance], PBC_PROFIT_AND_LOSS[Id],$L49,PBC_PROFIT_AND_LOSS[Date],AZ$5)</f>
        <v>0</v>
      </c>
      <c r="BA49" s="27">
        <f>SUMIFS(PBC_PROFIT_AND_LOSS[AccountBalance], PBC_PROFIT_AND_LOSS[Id],$L49,PBC_PROFIT_AND_LOSS[Date],BA$5)</f>
        <v>1000</v>
      </c>
      <c r="BB49" s="27">
        <f>SUMIFS(PBC_PROFIT_AND_LOSS[AccountBalance], PBC_PROFIT_AND_LOSS[Id],$L49,PBC_PROFIT_AND_LOSS[Date],BB$5)</f>
        <v>0</v>
      </c>
      <c r="BC49" s="27">
        <f>SUMIFS(PBC_PROFIT_AND_LOSS[AccountBalance], PBC_PROFIT_AND_LOSS[Id],$L49,PBC_PROFIT_AND_LOSS[Date],BC$5)</f>
        <v>0</v>
      </c>
      <c r="BD49" s="27">
        <f>SUMIFS(PBC_PROFIT_AND_LOSS[AccountBalance], PBC_PROFIT_AND_LOSS[Id],$L49,PBC_PROFIT_AND_LOSS[Date],BD$5)</f>
        <v>0</v>
      </c>
      <c r="BE49" s="114">
        <f t="shared" si="82"/>
        <v>175</v>
      </c>
      <c r="BF49" s="114">
        <f t="shared" si="84"/>
        <v>205.62500000000003</v>
      </c>
      <c r="BG49" s="114">
        <f t="shared" si="85"/>
        <v>241.609375</v>
      </c>
      <c r="BH49" s="114">
        <f t="shared" si="86"/>
        <v>108.89101562500001</v>
      </c>
      <c r="BI49" s="114">
        <f t="shared" si="87"/>
        <v>127.94694335937501</v>
      </c>
      <c r="BJ49" s="114">
        <f t="shared" si="88"/>
        <v>150.33765844726565</v>
      </c>
      <c r="BK49" s="114">
        <f t="shared" si="89"/>
        <v>176.64674867553711</v>
      </c>
      <c r="BL49" s="114">
        <f t="shared" si="90"/>
        <v>176.93492969375612</v>
      </c>
      <c r="BM49" s="114">
        <f t="shared" si="91"/>
        <v>171.91416739016344</v>
      </c>
      <c r="BN49" s="114">
        <f t="shared" si="92"/>
        <v>159.71750605844204</v>
      </c>
      <c r="BO49" s="114">
        <f t="shared" si="93"/>
        <v>168.6121418842944</v>
      </c>
      <c r="BP49" s="114">
        <f t="shared" si="94"/>
        <v>175.72855162615528</v>
      </c>
      <c r="BQ49" s="114">
        <f t="shared" si="95"/>
        <v>180.17195793246097</v>
      </c>
      <c r="BR49" s="114">
        <f t="shared" si="96"/>
        <v>180.78886955242265</v>
      </c>
      <c r="BS49" s="114">
        <f t="shared" si="97"/>
        <v>181.46330902768932</v>
      </c>
    </row>
    <row r="50" spans="1:71" outlineLevel="1">
      <c r="C50" s="21"/>
      <c r="D50" s="26"/>
      <c r="E50" s="18"/>
      <c r="F50" s="17"/>
      <c r="G50" s="15"/>
      <c r="H50" s="15"/>
      <c r="I50" s="15"/>
      <c r="J50" s="15"/>
      <c r="K50" s="16"/>
      <c r="L50" s="15"/>
      <c r="M50" s="14"/>
      <c r="O50" s="9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5"/>
      <c r="AH50" s="9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</row>
    <row r="51" spans="1:71" outlineLevel="1">
      <c r="C51" s="21" t="s">
        <v>191</v>
      </c>
      <c r="D51" s="20"/>
      <c r="E51" s="18"/>
      <c r="F51" s="17"/>
      <c r="G51" s="15"/>
      <c r="H51" s="15"/>
      <c r="I51" s="15"/>
      <c r="J51" s="15"/>
      <c r="K51" s="16"/>
      <c r="L51" s="15"/>
      <c r="M51" s="14"/>
      <c r="O51" s="9"/>
      <c r="P51" s="19">
        <f>P22-P25</f>
        <v>-1295531</v>
      </c>
      <c r="Q51" s="19">
        <f>Q22-Q25</f>
        <v>-2303548.4414365627</v>
      </c>
      <c r="R51" s="19">
        <f>R22-R25</f>
        <v>-2893504.00619386</v>
      </c>
      <c r="S51" s="9"/>
      <c r="T51" s="9"/>
      <c r="U51" s="19">
        <f t="shared" ref="U51:AF51" si="99">U22-U25</f>
        <v>-213006.5</v>
      </c>
      <c r="V51" s="19">
        <f t="shared" si="99"/>
        <v>-288657</v>
      </c>
      <c r="W51" s="19">
        <f t="shared" si="99"/>
        <v>-380699</v>
      </c>
      <c r="X51" s="19">
        <f t="shared" si="99"/>
        <v>-413168.50000000012</v>
      </c>
      <c r="Y51" s="19">
        <f t="shared" si="99"/>
        <v>-478295.49000000005</v>
      </c>
      <c r="Z51" s="19">
        <f t="shared" si="99"/>
        <v>-546288.79000000015</v>
      </c>
      <c r="AA51" s="19">
        <f t="shared" si="99"/>
        <v>-639961.98999999987</v>
      </c>
      <c r="AB51" s="19">
        <f t="shared" si="99"/>
        <v>-639002.17143656267</v>
      </c>
      <c r="AC51" s="19">
        <f t="shared" si="99"/>
        <v>-681448.13734512869</v>
      </c>
      <c r="AD51" s="19">
        <f t="shared" si="99"/>
        <v>-705306.44789270777</v>
      </c>
      <c r="AE51" s="19">
        <f t="shared" si="99"/>
        <v>-737868.65123021719</v>
      </c>
      <c r="AF51" s="19">
        <f t="shared" si="99"/>
        <v>-768880.76972580689</v>
      </c>
      <c r="AH51" s="9"/>
      <c r="AI51" s="19">
        <f t="shared" ref="AI51:BD51" si="100">AI22-AI25</f>
        <v>-102689.5</v>
      </c>
      <c r="AJ51" s="19">
        <f t="shared" si="100"/>
        <v>-51309</v>
      </c>
      <c r="AK51" s="19">
        <f t="shared" si="100"/>
        <v>-107824</v>
      </c>
      <c r="AL51" s="19">
        <f t="shared" si="100"/>
        <v>-53873.5</v>
      </c>
      <c r="AM51" s="19">
        <f t="shared" si="100"/>
        <v>-113214.5</v>
      </c>
      <c r="AN51" s="19">
        <f t="shared" si="100"/>
        <v>-56566.5</v>
      </c>
      <c r="AO51" s="19">
        <f t="shared" si="100"/>
        <v>-118876</v>
      </c>
      <c r="AP51" s="19">
        <f t="shared" si="100"/>
        <v>-124820</v>
      </c>
      <c r="AQ51" s="19">
        <f t="shared" si="100"/>
        <v>-124819</v>
      </c>
      <c r="AR51" s="19">
        <f t="shared" si="100"/>
        <v>-131060</v>
      </c>
      <c r="AS51" s="19">
        <f t="shared" si="100"/>
        <v>-131061.00000000001</v>
      </c>
      <c r="AT51" s="19">
        <f t="shared" si="100"/>
        <v>-137614</v>
      </c>
      <c r="AU51" s="19">
        <f t="shared" si="100"/>
        <v>-144493.5</v>
      </c>
      <c r="AV51" s="19">
        <f t="shared" si="100"/>
        <v>-151719.48999999993</v>
      </c>
      <c r="AW51" s="19">
        <f t="shared" si="100"/>
        <v>-159305</v>
      </c>
      <c r="AX51" s="19">
        <f t="shared" si="100"/>
        <v>-167271</v>
      </c>
      <c r="AY51" s="19">
        <f t="shared" si="100"/>
        <v>-175634</v>
      </c>
      <c r="AZ51" s="19">
        <f t="shared" si="100"/>
        <v>-184418</v>
      </c>
      <c r="BA51" s="19">
        <f t="shared" si="100"/>
        <v>-186236.79000000004</v>
      </c>
      <c r="BB51" s="19">
        <f t="shared" si="100"/>
        <v>-202318.62999999995</v>
      </c>
      <c r="BC51" s="19">
        <f t="shared" si="100"/>
        <v>-213484.57</v>
      </c>
      <c r="BD51" s="19">
        <f t="shared" si="100"/>
        <v>-224158.79000000004</v>
      </c>
      <c r="BE51" s="19">
        <f t="shared" ref="BE51" si="101">BE22-BE25</f>
        <v>-207593.88649999999</v>
      </c>
      <c r="BF51" s="19">
        <f t="shared" ref="BF51:BS51" si="102">BF22-BF25</f>
        <v>-213186.86663749994</v>
      </c>
      <c r="BG51" s="19">
        <f t="shared" si="102"/>
        <v>-218221.41829906253</v>
      </c>
      <c r="BH51" s="19">
        <f t="shared" si="102"/>
        <v>-223818.72825139848</v>
      </c>
      <c r="BI51" s="19">
        <f t="shared" si="102"/>
        <v>-227581.24544539317</v>
      </c>
      <c r="BJ51" s="19">
        <f t="shared" si="102"/>
        <v>-230048.16364833701</v>
      </c>
      <c r="BK51" s="19">
        <f t="shared" si="102"/>
        <v>-231078.80403679603</v>
      </c>
      <c r="BL51" s="19">
        <f t="shared" si="102"/>
        <v>-235188.66460573522</v>
      </c>
      <c r="BM51" s="19">
        <f t="shared" si="102"/>
        <v>-239038.97925017634</v>
      </c>
      <c r="BN51" s="19">
        <f t="shared" si="102"/>
        <v>-242682.05241662139</v>
      </c>
      <c r="BO51" s="19">
        <f t="shared" si="102"/>
        <v>-245983.13414553538</v>
      </c>
      <c r="BP51" s="19">
        <f t="shared" si="102"/>
        <v>-249203.46466806019</v>
      </c>
      <c r="BQ51" s="19">
        <f t="shared" si="102"/>
        <v>-252555.64234651186</v>
      </c>
      <c r="BR51" s="19">
        <f t="shared" si="102"/>
        <v>-256314.08905071212</v>
      </c>
      <c r="BS51" s="19">
        <f t="shared" si="102"/>
        <v>-260011.03832858312</v>
      </c>
    </row>
    <row r="52" spans="1:71" outlineLevel="1">
      <c r="C52" s="21"/>
      <c r="D52" s="26"/>
      <c r="E52" s="18"/>
      <c r="F52" s="17"/>
      <c r="G52" s="15"/>
      <c r="H52" s="15"/>
      <c r="I52" s="15"/>
      <c r="J52" s="15"/>
      <c r="K52" s="16"/>
      <c r="L52" s="15"/>
      <c r="M52" s="14"/>
      <c r="O52" s="9"/>
      <c r="P52" s="9"/>
      <c r="Q52" s="9"/>
      <c r="R52" s="9"/>
      <c r="S52" s="9"/>
      <c r="T52" s="9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9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</row>
    <row r="53" spans="1:71" ht="17.100000000000001" customHeight="1" outlineLevel="1">
      <c r="C53" s="21" t="s">
        <v>44</v>
      </c>
      <c r="D53" s="20"/>
      <c r="E53" s="18"/>
      <c r="F53" s="17"/>
      <c r="G53" s="15"/>
      <c r="H53" s="15"/>
      <c r="I53" s="15"/>
      <c r="J53" s="15"/>
      <c r="K53" s="16"/>
      <c r="L53" s="15"/>
      <c r="M53" s="14"/>
      <c r="O53" s="9"/>
      <c r="P53" s="19">
        <f>SUM(P54:P57)</f>
        <v>0</v>
      </c>
      <c r="Q53" s="19">
        <f>SUM(Q54:Q57)</f>
        <v>0</v>
      </c>
      <c r="R53" s="19">
        <f>SUM(R54:R57)</f>
        <v>0</v>
      </c>
      <c r="S53" s="9"/>
      <c r="T53" s="9"/>
      <c r="U53" s="19">
        <f t="shared" ref="U53:AF53" si="103">SUM(U54:U57)</f>
        <v>0</v>
      </c>
      <c r="V53" s="19">
        <f t="shared" si="103"/>
        <v>0</v>
      </c>
      <c r="W53" s="19">
        <f t="shared" si="103"/>
        <v>0</v>
      </c>
      <c r="X53" s="19">
        <f t="shared" si="103"/>
        <v>0</v>
      </c>
      <c r="Y53" s="19">
        <f t="shared" si="103"/>
        <v>0</v>
      </c>
      <c r="Z53" s="19">
        <f t="shared" si="103"/>
        <v>0</v>
      </c>
      <c r="AA53" s="19">
        <f t="shared" si="103"/>
        <v>0</v>
      </c>
      <c r="AB53" s="19">
        <f t="shared" si="103"/>
        <v>0</v>
      </c>
      <c r="AC53" s="19">
        <f t="shared" si="103"/>
        <v>0</v>
      </c>
      <c r="AD53" s="19">
        <f t="shared" si="103"/>
        <v>0</v>
      </c>
      <c r="AE53" s="19">
        <f t="shared" si="103"/>
        <v>0</v>
      </c>
      <c r="AF53" s="19">
        <f t="shared" si="103"/>
        <v>0</v>
      </c>
      <c r="AH53" s="9"/>
      <c r="AI53" s="19">
        <f t="shared" ref="AI53:BD53" si="104">IF(AI$5&lt;=LatestMonthOfActuals,SUMIFS(AI54:AI57,$K54:$K57,"Account"),SUMIFS(AI54:AI57,$K54:$K57,"&lt;&gt;Sub-Account"))</f>
        <v>0</v>
      </c>
      <c r="AJ53" s="19">
        <f t="shared" si="104"/>
        <v>0</v>
      </c>
      <c r="AK53" s="19">
        <f t="shared" si="104"/>
        <v>0</v>
      </c>
      <c r="AL53" s="19">
        <f t="shared" si="104"/>
        <v>0</v>
      </c>
      <c r="AM53" s="19">
        <f t="shared" si="104"/>
        <v>0</v>
      </c>
      <c r="AN53" s="19">
        <f t="shared" si="104"/>
        <v>0</v>
      </c>
      <c r="AO53" s="19">
        <f t="shared" si="104"/>
        <v>0</v>
      </c>
      <c r="AP53" s="19">
        <f t="shared" si="104"/>
        <v>0</v>
      </c>
      <c r="AQ53" s="19">
        <f t="shared" si="104"/>
        <v>0</v>
      </c>
      <c r="AR53" s="19">
        <f t="shared" si="104"/>
        <v>0</v>
      </c>
      <c r="AS53" s="19">
        <f t="shared" si="104"/>
        <v>0</v>
      </c>
      <c r="AT53" s="19">
        <f t="shared" si="104"/>
        <v>0</v>
      </c>
      <c r="AU53" s="19">
        <f t="shared" si="104"/>
        <v>0</v>
      </c>
      <c r="AV53" s="19">
        <f t="shared" si="104"/>
        <v>0</v>
      </c>
      <c r="AW53" s="19">
        <f t="shared" si="104"/>
        <v>0</v>
      </c>
      <c r="AX53" s="19">
        <f t="shared" si="104"/>
        <v>0</v>
      </c>
      <c r="AY53" s="19">
        <f t="shared" si="104"/>
        <v>0</v>
      </c>
      <c r="AZ53" s="19">
        <f t="shared" si="104"/>
        <v>0</v>
      </c>
      <c r="BA53" s="19">
        <f t="shared" si="104"/>
        <v>0</v>
      </c>
      <c r="BB53" s="19">
        <f t="shared" si="104"/>
        <v>0</v>
      </c>
      <c r="BC53" s="19">
        <f t="shared" si="104"/>
        <v>0</v>
      </c>
      <c r="BD53" s="19">
        <f t="shared" si="104"/>
        <v>0</v>
      </c>
      <c r="BE53" s="19">
        <f t="shared" ref="BE53" si="105">IF(BE$5&lt;=LatestMonthOfActuals,SUMIFS(BE54:BE57,$K54:$K57,"Account"),SUMIFS(BE54:BE57,$K54:$K57,"&lt;&gt;Sub-Account"))</f>
        <v>0</v>
      </c>
      <c r="BF53" s="19">
        <f t="shared" ref="BF53:BS53" si="106">IF(BF$5&lt;=LatestMonthOfActuals,SUMIFS(BF54:BF57,$K54:$K57,"Account"),SUMIFS(BF54:BF57,$K54:$K57,"&lt;&gt;Sub-Account"))</f>
        <v>0</v>
      </c>
      <c r="BG53" s="19">
        <f t="shared" si="106"/>
        <v>0</v>
      </c>
      <c r="BH53" s="19">
        <f t="shared" si="106"/>
        <v>0</v>
      </c>
      <c r="BI53" s="19">
        <f t="shared" si="106"/>
        <v>0</v>
      </c>
      <c r="BJ53" s="19">
        <f t="shared" si="106"/>
        <v>0</v>
      </c>
      <c r="BK53" s="19">
        <f t="shared" si="106"/>
        <v>0</v>
      </c>
      <c r="BL53" s="19">
        <f t="shared" si="106"/>
        <v>0</v>
      </c>
      <c r="BM53" s="19">
        <f t="shared" si="106"/>
        <v>0</v>
      </c>
      <c r="BN53" s="19">
        <f t="shared" si="106"/>
        <v>0</v>
      </c>
      <c r="BO53" s="19">
        <f t="shared" si="106"/>
        <v>0</v>
      </c>
      <c r="BP53" s="19">
        <f t="shared" si="106"/>
        <v>0</v>
      </c>
      <c r="BQ53" s="19">
        <f t="shared" si="106"/>
        <v>0</v>
      </c>
      <c r="BR53" s="19">
        <f t="shared" si="106"/>
        <v>0</v>
      </c>
      <c r="BS53" s="19">
        <f t="shared" si="106"/>
        <v>0</v>
      </c>
    </row>
    <row r="54" spans="1:71" ht="6" customHeight="1" outlineLevel="2">
      <c r="C54" s="21"/>
      <c r="D54" s="26"/>
      <c r="E54" s="18"/>
      <c r="F54" s="17"/>
      <c r="G54" s="15"/>
      <c r="H54" s="15"/>
      <c r="I54" s="15"/>
      <c r="J54" s="15"/>
      <c r="K54" s="16"/>
      <c r="L54" s="15"/>
      <c r="M54" s="14"/>
      <c r="O54" s="9"/>
      <c r="P54" s="9"/>
      <c r="Q54" s="9"/>
      <c r="R54" s="9"/>
      <c r="S54" s="9"/>
      <c r="T54" s="9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9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</row>
    <row r="55" spans="1:71" outlineLevel="2">
      <c r="C55" s="21"/>
      <c r="D55" s="26" t="s">
        <v>192</v>
      </c>
      <c r="E55" s="18" t="s">
        <v>158</v>
      </c>
      <c r="F55" s="111">
        <v>0.05</v>
      </c>
      <c r="G55" s="15" t="str">
        <f>IFERROR(INDEX(PBC_ACCOUNT_LIST[Drivers Section],MATCH(Drivers!L55,PBC_ACCOUNT_LIST[Id],0)),"")</f>
        <v>Other Income</v>
      </c>
      <c r="H55" s="15" t="str">
        <f>IFERROR(INDEX(PBC_ACCOUNT_LIST[Summary Grouping],MATCH(Drivers!L55,PBC_ACCOUNT_LIST[Id],0)),"")</f>
        <v>Other Income</v>
      </c>
      <c r="I55" s="15"/>
      <c r="J55" s="15">
        <f>IFERROR(INDEX(PBC_ACCOUNT_LIST[Cash Flow Section],MATCH(Drivers!L55,PBC_ACCOUNT_LIST[Id],0)),"")</f>
        <v>0</v>
      </c>
      <c r="K55" s="16" t="s">
        <v>159</v>
      </c>
      <c r="L55" s="15">
        <v>189</v>
      </c>
      <c r="M55" s="14"/>
      <c r="O55" s="9"/>
      <c r="P55" s="113">
        <f t="shared" ref="P55:R56" si="107">SUMIFS($AI55:$BS55,$AI$4:$BS$4,"&gt;="&amp;P$4,$AI$5:$BS$5,"&lt;="&amp;P$5)</f>
        <v>0</v>
      </c>
      <c r="Q55" s="113">
        <f t="shared" si="107"/>
        <v>0</v>
      </c>
      <c r="R55" s="113">
        <f t="shared" si="107"/>
        <v>0</v>
      </c>
      <c r="S55" s="113"/>
      <c r="T55" s="113"/>
      <c r="U55" s="112">
        <f t="shared" ref="U55:AF56" si="108">SUMIFS($AI55:$BS55,$AI$4:$BS$4,"&gt;="&amp;U$4,$AI$5:$BS$5,"&lt;="&amp;U$5)</f>
        <v>0</v>
      </c>
      <c r="V55" s="112">
        <f t="shared" si="108"/>
        <v>0</v>
      </c>
      <c r="W55" s="112">
        <f t="shared" si="108"/>
        <v>0</v>
      </c>
      <c r="X55" s="112">
        <f t="shared" si="108"/>
        <v>0</v>
      </c>
      <c r="Y55" s="112">
        <f t="shared" si="108"/>
        <v>0</v>
      </c>
      <c r="Z55" s="112">
        <f t="shared" si="108"/>
        <v>0</v>
      </c>
      <c r="AA55" s="112">
        <f t="shared" si="108"/>
        <v>0</v>
      </c>
      <c r="AB55" s="112">
        <f t="shared" si="108"/>
        <v>0</v>
      </c>
      <c r="AC55" s="112">
        <f t="shared" si="108"/>
        <v>0</v>
      </c>
      <c r="AD55" s="112">
        <f t="shared" si="108"/>
        <v>0</v>
      </c>
      <c r="AE55" s="112">
        <f t="shared" si="108"/>
        <v>0</v>
      </c>
      <c r="AF55" s="112">
        <f t="shared" si="108"/>
        <v>0</v>
      </c>
      <c r="AG55" s="112"/>
      <c r="AH55" s="113"/>
      <c r="AI55" s="27">
        <f>SUMIFS(PBC_PROFIT_AND_LOSS[AccountBalance], PBC_PROFIT_AND_LOSS[Id],$L55,PBC_PROFIT_AND_LOSS[Date],AI$5)</f>
        <v>0</v>
      </c>
      <c r="AJ55" s="27">
        <f>SUMIFS(PBC_PROFIT_AND_LOSS[AccountBalance], PBC_PROFIT_AND_LOSS[Id],$L55,PBC_PROFIT_AND_LOSS[Date],AJ$5)</f>
        <v>0</v>
      </c>
      <c r="AK55" s="27">
        <f>SUMIFS(PBC_PROFIT_AND_LOSS[AccountBalance], PBC_PROFIT_AND_LOSS[Id],$L55,PBC_PROFIT_AND_LOSS[Date],AK$5)</f>
        <v>0</v>
      </c>
      <c r="AL55" s="27">
        <f>SUMIFS(PBC_PROFIT_AND_LOSS[AccountBalance], PBC_PROFIT_AND_LOSS[Id],$L55,PBC_PROFIT_AND_LOSS[Date],AL$5)</f>
        <v>0</v>
      </c>
      <c r="AM55" s="27">
        <f>SUMIFS(PBC_PROFIT_AND_LOSS[AccountBalance], PBC_PROFIT_AND_LOSS[Id],$L55,PBC_PROFIT_AND_LOSS[Date],AM$5)</f>
        <v>0</v>
      </c>
      <c r="AN55" s="27">
        <f>SUMIFS(PBC_PROFIT_AND_LOSS[AccountBalance], PBC_PROFIT_AND_LOSS[Id],$L55,PBC_PROFIT_AND_LOSS[Date],AN$5)</f>
        <v>0</v>
      </c>
      <c r="AO55" s="27">
        <f>SUMIFS(PBC_PROFIT_AND_LOSS[AccountBalance], PBC_PROFIT_AND_LOSS[Id],$L55,PBC_PROFIT_AND_LOSS[Date],AO$5)</f>
        <v>0</v>
      </c>
      <c r="AP55" s="27">
        <f>SUMIFS(PBC_PROFIT_AND_LOSS[AccountBalance], PBC_PROFIT_AND_LOSS[Id],$L55,PBC_PROFIT_AND_LOSS[Date],AP$5)</f>
        <v>0</v>
      </c>
      <c r="AQ55" s="27">
        <f>SUMIFS(PBC_PROFIT_AND_LOSS[AccountBalance], PBC_PROFIT_AND_LOSS[Id],$L55,PBC_PROFIT_AND_LOSS[Date],AQ$5)</f>
        <v>0</v>
      </c>
      <c r="AR55" s="27">
        <f>SUMIFS(PBC_PROFIT_AND_LOSS[AccountBalance], PBC_PROFIT_AND_LOSS[Id],$L55,PBC_PROFIT_AND_LOSS[Date],AR$5)</f>
        <v>0</v>
      </c>
      <c r="AS55" s="27">
        <f>SUMIFS(PBC_PROFIT_AND_LOSS[AccountBalance], PBC_PROFIT_AND_LOSS[Id],$L55,PBC_PROFIT_AND_LOSS[Date],AS$5)</f>
        <v>0</v>
      </c>
      <c r="AT55" s="27">
        <f>SUMIFS(PBC_PROFIT_AND_LOSS[AccountBalance], PBC_PROFIT_AND_LOSS[Id],$L55,PBC_PROFIT_AND_LOSS[Date],AT$5)</f>
        <v>0</v>
      </c>
      <c r="AU55" s="27">
        <f>SUMIFS(PBC_PROFIT_AND_LOSS[AccountBalance], PBC_PROFIT_AND_LOSS[Id],$L55,PBC_PROFIT_AND_LOSS[Date],AU$5)</f>
        <v>0</v>
      </c>
      <c r="AV55" s="27">
        <f>SUMIFS(PBC_PROFIT_AND_LOSS[AccountBalance], PBC_PROFIT_AND_LOSS[Id],$L55,PBC_PROFIT_AND_LOSS[Date],AV$5)</f>
        <v>0</v>
      </c>
      <c r="AW55" s="27">
        <f>SUMIFS(PBC_PROFIT_AND_LOSS[AccountBalance], PBC_PROFIT_AND_LOSS[Id],$L55,PBC_PROFIT_AND_LOSS[Date],AW$5)</f>
        <v>0</v>
      </c>
      <c r="AX55" s="27">
        <f>SUMIFS(PBC_PROFIT_AND_LOSS[AccountBalance], PBC_PROFIT_AND_LOSS[Id],$L55,PBC_PROFIT_AND_LOSS[Date],AX$5)</f>
        <v>0</v>
      </c>
      <c r="AY55" s="27">
        <f>SUMIFS(PBC_PROFIT_AND_LOSS[AccountBalance], PBC_PROFIT_AND_LOSS[Id],$L55,PBC_PROFIT_AND_LOSS[Date],AY$5)</f>
        <v>0</v>
      </c>
      <c r="AZ55" s="27">
        <f>SUMIFS(PBC_PROFIT_AND_LOSS[AccountBalance], PBC_PROFIT_AND_LOSS[Id],$L55,PBC_PROFIT_AND_LOSS[Date],AZ$5)</f>
        <v>0</v>
      </c>
      <c r="BA55" s="27">
        <f>SUMIFS(PBC_PROFIT_AND_LOSS[AccountBalance], PBC_PROFIT_AND_LOSS[Id],$L55,PBC_PROFIT_AND_LOSS[Date],BA$5)</f>
        <v>0</v>
      </c>
      <c r="BB55" s="27">
        <f>SUMIFS(PBC_PROFIT_AND_LOSS[AccountBalance], PBC_PROFIT_AND_LOSS[Id],$L55,PBC_PROFIT_AND_LOSS[Date],BB$5)</f>
        <v>0</v>
      </c>
      <c r="BC55" s="27">
        <f>SUMIFS(PBC_PROFIT_AND_LOSS[AccountBalance], PBC_PROFIT_AND_LOSS[Id],$L55,PBC_PROFIT_AND_LOSS[Date],BC$5)</f>
        <v>0</v>
      </c>
      <c r="BD55" s="27">
        <f>SUMIFS(PBC_PROFIT_AND_LOSS[AccountBalance], PBC_PROFIT_AND_LOSS[Id],$L55,PBC_PROFIT_AND_LOSS[Date],BD$5)</f>
        <v>0</v>
      </c>
      <c r="BE55" s="114">
        <f t="shared" ref="BE55:BE56" si="109">AVERAGE(AY55:BD55) * (1 + $F55)</f>
        <v>0</v>
      </c>
      <c r="BF55" s="114">
        <f>AVERAGE(AZ55:BE55) * (1 + $F55)</f>
        <v>0</v>
      </c>
      <c r="BG55" s="114">
        <f t="shared" ref="BG55:BS55" si="110">AVERAGE(BA55:BF55) * (1 + $F55)</f>
        <v>0</v>
      </c>
      <c r="BH55" s="114">
        <f t="shared" si="110"/>
        <v>0</v>
      </c>
      <c r="BI55" s="114">
        <f t="shared" si="110"/>
        <v>0</v>
      </c>
      <c r="BJ55" s="114">
        <f t="shared" si="110"/>
        <v>0</v>
      </c>
      <c r="BK55" s="114">
        <f t="shared" si="110"/>
        <v>0</v>
      </c>
      <c r="BL55" s="114">
        <f t="shared" si="110"/>
        <v>0</v>
      </c>
      <c r="BM55" s="114">
        <f t="shared" si="110"/>
        <v>0</v>
      </c>
      <c r="BN55" s="114">
        <f t="shared" si="110"/>
        <v>0</v>
      </c>
      <c r="BO55" s="114">
        <f t="shared" si="110"/>
        <v>0</v>
      </c>
      <c r="BP55" s="114">
        <f t="shared" si="110"/>
        <v>0</v>
      </c>
      <c r="BQ55" s="114">
        <f t="shared" si="110"/>
        <v>0</v>
      </c>
      <c r="BR55" s="114">
        <f t="shared" si="110"/>
        <v>0</v>
      </c>
      <c r="BS55" s="114">
        <f t="shared" si="110"/>
        <v>0</v>
      </c>
    </row>
    <row r="56" spans="1:71" ht="14.45" customHeight="1" outlineLevel="2">
      <c r="C56" s="21"/>
      <c r="D56" s="26" t="s">
        <v>193</v>
      </c>
      <c r="E56" s="18" t="s">
        <v>158</v>
      </c>
      <c r="F56" s="111">
        <v>0.05</v>
      </c>
      <c r="G56" s="15" t="str">
        <f>IFERROR(INDEX(PBC_ACCOUNT_LIST[Drivers Section],MATCH(Drivers!L56,PBC_ACCOUNT_LIST[Id],0)),"")</f>
        <v>Other Income</v>
      </c>
      <c r="H56" s="15" t="str">
        <f>IFERROR(INDEX(PBC_ACCOUNT_LIST[Summary Grouping],MATCH(Drivers!L56,PBC_ACCOUNT_LIST[Id],0)),"")</f>
        <v>Other Income</v>
      </c>
      <c r="I56" s="15"/>
      <c r="J56" s="15">
        <f>IFERROR(INDEX(PBC_ACCOUNT_LIST[Cash Flow Section],MATCH(Drivers!L56,PBC_ACCOUNT_LIST[Id],0)),"")</f>
        <v>0</v>
      </c>
      <c r="K56" s="16" t="s">
        <v>159</v>
      </c>
      <c r="L56" s="15">
        <v>190</v>
      </c>
      <c r="M56" s="14"/>
      <c r="O56" s="9"/>
      <c r="P56" s="113">
        <f t="shared" si="107"/>
        <v>0</v>
      </c>
      <c r="Q56" s="113">
        <f t="shared" si="107"/>
        <v>0</v>
      </c>
      <c r="R56" s="113">
        <f t="shared" si="107"/>
        <v>0</v>
      </c>
      <c r="S56" s="113"/>
      <c r="T56" s="113"/>
      <c r="U56" s="112">
        <f t="shared" si="108"/>
        <v>0</v>
      </c>
      <c r="V56" s="112">
        <f t="shared" si="108"/>
        <v>0</v>
      </c>
      <c r="W56" s="112">
        <f t="shared" si="108"/>
        <v>0</v>
      </c>
      <c r="X56" s="112">
        <f t="shared" si="108"/>
        <v>0</v>
      </c>
      <c r="Y56" s="112">
        <f t="shared" si="108"/>
        <v>0</v>
      </c>
      <c r="Z56" s="112">
        <f t="shared" si="108"/>
        <v>0</v>
      </c>
      <c r="AA56" s="112">
        <f t="shared" si="108"/>
        <v>0</v>
      </c>
      <c r="AB56" s="112">
        <f t="shared" si="108"/>
        <v>0</v>
      </c>
      <c r="AC56" s="112">
        <f t="shared" si="108"/>
        <v>0</v>
      </c>
      <c r="AD56" s="112">
        <f t="shared" si="108"/>
        <v>0</v>
      </c>
      <c r="AE56" s="112">
        <f t="shared" si="108"/>
        <v>0</v>
      </c>
      <c r="AF56" s="112">
        <f t="shared" si="108"/>
        <v>0</v>
      </c>
      <c r="AG56" s="112"/>
      <c r="AH56" s="113"/>
      <c r="AI56" s="27">
        <f>SUMIFS(PBC_PROFIT_AND_LOSS[AccountBalance], PBC_PROFIT_AND_LOSS[Id],$L56,PBC_PROFIT_AND_LOSS[Date],AI$5)</f>
        <v>0</v>
      </c>
      <c r="AJ56" s="27">
        <f>SUMIFS(PBC_PROFIT_AND_LOSS[AccountBalance], PBC_PROFIT_AND_LOSS[Id],$L56,PBC_PROFIT_AND_LOSS[Date],AJ$5)</f>
        <v>0</v>
      </c>
      <c r="AK56" s="27">
        <f>SUMIFS(PBC_PROFIT_AND_LOSS[AccountBalance], PBC_PROFIT_AND_LOSS[Id],$L56,PBC_PROFIT_AND_LOSS[Date],AK$5)</f>
        <v>0</v>
      </c>
      <c r="AL56" s="27">
        <f>SUMIFS(PBC_PROFIT_AND_LOSS[AccountBalance], PBC_PROFIT_AND_LOSS[Id],$L56,PBC_PROFIT_AND_LOSS[Date],AL$5)</f>
        <v>0</v>
      </c>
      <c r="AM56" s="27">
        <f>SUMIFS(PBC_PROFIT_AND_LOSS[AccountBalance], PBC_PROFIT_AND_LOSS[Id],$L56,PBC_PROFIT_AND_LOSS[Date],AM$5)</f>
        <v>0</v>
      </c>
      <c r="AN56" s="27">
        <f>SUMIFS(PBC_PROFIT_AND_LOSS[AccountBalance], PBC_PROFIT_AND_LOSS[Id],$L56,PBC_PROFIT_AND_LOSS[Date],AN$5)</f>
        <v>0</v>
      </c>
      <c r="AO56" s="27">
        <f>SUMIFS(PBC_PROFIT_AND_LOSS[AccountBalance], PBC_PROFIT_AND_LOSS[Id],$L56,PBC_PROFIT_AND_LOSS[Date],AO$5)</f>
        <v>0</v>
      </c>
      <c r="AP56" s="27">
        <f>SUMIFS(PBC_PROFIT_AND_LOSS[AccountBalance], PBC_PROFIT_AND_LOSS[Id],$L56,PBC_PROFIT_AND_LOSS[Date],AP$5)</f>
        <v>0</v>
      </c>
      <c r="AQ56" s="27">
        <f>SUMIFS(PBC_PROFIT_AND_LOSS[AccountBalance], PBC_PROFIT_AND_LOSS[Id],$L56,PBC_PROFIT_AND_LOSS[Date],AQ$5)</f>
        <v>0</v>
      </c>
      <c r="AR56" s="27">
        <f>SUMIFS(PBC_PROFIT_AND_LOSS[AccountBalance], PBC_PROFIT_AND_LOSS[Id],$L56,PBC_PROFIT_AND_LOSS[Date],AR$5)</f>
        <v>0</v>
      </c>
      <c r="AS56" s="27">
        <f>SUMIFS(PBC_PROFIT_AND_LOSS[AccountBalance], PBC_PROFIT_AND_LOSS[Id],$L56,PBC_PROFIT_AND_LOSS[Date],AS$5)</f>
        <v>0</v>
      </c>
      <c r="AT56" s="27">
        <f>SUMIFS(PBC_PROFIT_AND_LOSS[AccountBalance], PBC_PROFIT_AND_LOSS[Id],$L56,PBC_PROFIT_AND_LOSS[Date],AT$5)</f>
        <v>0</v>
      </c>
      <c r="AU56" s="27">
        <f>SUMIFS(PBC_PROFIT_AND_LOSS[AccountBalance], PBC_PROFIT_AND_LOSS[Id],$L56,PBC_PROFIT_AND_LOSS[Date],AU$5)</f>
        <v>0</v>
      </c>
      <c r="AV56" s="27">
        <f>SUMIFS(PBC_PROFIT_AND_LOSS[AccountBalance], PBC_PROFIT_AND_LOSS[Id],$L56,PBC_PROFIT_AND_LOSS[Date],AV$5)</f>
        <v>0</v>
      </c>
      <c r="AW56" s="27">
        <f>SUMIFS(PBC_PROFIT_AND_LOSS[AccountBalance], PBC_PROFIT_AND_LOSS[Id],$L56,PBC_PROFIT_AND_LOSS[Date],AW$5)</f>
        <v>0</v>
      </c>
      <c r="AX56" s="27">
        <f>SUMIFS(PBC_PROFIT_AND_LOSS[AccountBalance], PBC_PROFIT_AND_LOSS[Id],$L56,PBC_PROFIT_AND_LOSS[Date],AX$5)</f>
        <v>0</v>
      </c>
      <c r="AY56" s="27">
        <f>SUMIFS(PBC_PROFIT_AND_LOSS[AccountBalance], PBC_PROFIT_AND_LOSS[Id],$L56,PBC_PROFIT_AND_LOSS[Date],AY$5)</f>
        <v>0</v>
      </c>
      <c r="AZ56" s="27">
        <f>SUMIFS(PBC_PROFIT_AND_LOSS[AccountBalance], PBC_PROFIT_AND_LOSS[Id],$L56,PBC_PROFIT_AND_LOSS[Date],AZ$5)</f>
        <v>0</v>
      </c>
      <c r="BA56" s="27">
        <f>SUMIFS(PBC_PROFIT_AND_LOSS[AccountBalance], PBC_PROFIT_AND_LOSS[Id],$L56,PBC_PROFIT_AND_LOSS[Date],BA$5)</f>
        <v>0</v>
      </c>
      <c r="BB56" s="27">
        <f>SUMIFS(PBC_PROFIT_AND_LOSS[AccountBalance], PBC_PROFIT_AND_LOSS[Id],$L56,PBC_PROFIT_AND_LOSS[Date],BB$5)</f>
        <v>0</v>
      </c>
      <c r="BC56" s="27">
        <f>SUMIFS(PBC_PROFIT_AND_LOSS[AccountBalance], PBC_PROFIT_AND_LOSS[Id],$L56,PBC_PROFIT_AND_LOSS[Date],BC$5)</f>
        <v>0</v>
      </c>
      <c r="BD56" s="27">
        <f>SUMIFS(PBC_PROFIT_AND_LOSS[AccountBalance], PBC_PROFIT_AND_LOSS[Id],$L56,PBC_PROFIT_AND_LOSS[Date],BD$5)</f>
        <v>0</v>
      </c>
      <c r="BE56" s="114">
        <f t="shared" si="109"/>
        <v>0</v>
      </c>
      <c r="BF56" s="114">
        <f t="shared" ref="BF56" si="111">AVERAGE(AZ56:BE56) * (1 + $F56)</f>
        <v>0</v>
      </c>
      <c r="BG56" s="114">
        <f t="shared" ref="BG56" si="112">AVERAGE(BA56:BF56) * (1 + $F56)</f>
        <v>0</v>
      </c>
      <c r="BH56" s="114">
        <f t="shared" ref="BH56" si="113">AVERAGE(BB56:BG56) * (1 + $F56)</f>
        <v>0</v>
      </c>
      <c r="BI56" s="114">
        <f t="shared" ref="BI56" si="114">AVERAGE(BC56:BH56) * (1 + $F56)</f>
        <v>0</v>
      </c>
      <c r="BJ56" s="114">
        <f t="shared" ref="BJ56" si="115">AVERAGE(BD56:BI56) * (1 + $F56)</f>
        <v>0</v>
      </c>
      <c r="BK56" s="114">
        <f t="shared" ref="BK56" si="116">AVERAGE(BE56:BJ56) * (1 + $F56)</f>
        <v>0</v>
      </c>
      <c r="BL56" s="114">
        <f t="shared" ref="BL56" si="117">AVERAGE(BF56:BK56) * (1 + $F56)</f>
        <v>0</v>
      </c>
      <c r="BM56" s="114">
        <f t="shared" ref="BM56" si="118">AVERAGE(BG56:BL56) * (1 + $F56)</f>
        <v>0</v>
      </c>
      <c r="BN56" s="114">
        <f t="shared" ref="BN56" si="119">AVERAGE(BH56:BM56) * (1 + $F56)</f>
        <v>0</v>
      </c>
      <c r="BO56" s="114">
        <f t="shared" ref="BO56" si="120">AVERAGE(BI56:BN56) * (1 + $F56)</f>
        <v>0</v>
      </c>
      <c r="BP56" s="114">
        <f t="shared" ref="BP56" si="121">AVERAGE(BJ56:BO56) * (1 + $F56)</f>
        <v>0</v>
      </c>
      <c r="BQ56" s="114">
        <f t="shared" ref="BQ56" si="122">AVERAGE(BK56:BP56) * (1 + $F56)</f>
        <v>0</v>
      </c>
      <c r="BR56" s="114">
        <f t="shared" ref="BR56" si="123">AVERAGE(BL56:BQ56) * (1 + $F56)</f>
        <v>0</v>
      </c>
      <c r="BS56" s="114">
        <f t="shared" ref="BS56" si="124">AVERAGE(BM56:BR56) * (1 + $F56)</f>
        <v>0</v>
      </c>
    </row>
    <row r="57" spans="1:71" outlineLevel="1">
      <c r="C57" s="21"/>
      <c r="D57" s="26"/>
      <c r="E57" s="18"/>
      <c r="F57" s="17"/>
      <c r="G57" s="15"/>
      <c r="H57" s="15"/>
      <c r="I57" s="15"/>
      <c r="J57" s="15"/>
      <c r="K57" s="16"/>
      <c r="L57" s="15"/>
      <c r="M57" s="14"/>
      <c r="O57" s="9"/>
      <c r="P57" s="9"/>
      <c r="Q57" s="9"/>
      <c r="R57" s="9"/>
      <c r="S57" s="9"/>
      <c r="T57" s="9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9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</row>
    <row r="58" spans="1:71" ht="17.100000000000001" customHeight="1" outlineLevel="1">
      <c r="C58" s="21" t="s">
        <v>46</v>
      </c>
      <c r="D58" s="20"/>
      <c r="E58" s="18"/>
      <c r="F58" s="17"/>
      <c r="G58" s="15"/>
      <c r="H58" s="15"/>
      <c r="I58" s="15"/>
      <c r="J58" s="15"/>
      <c r="K58" s="16"/>
      <c r="L58" s="15"/>
      <c r="M58" s="14"/>
      <c r="O58" s="9"/>
      <c r="P58" s="19">
        <f>SUM(P59:P62)</f>
        <v>257951.5</v>
      </c>
      <c r="Q58" s="19">
        <f>SUM(Q59:Q62)</f>
        <v>261767.64795937494</v>
      </c>
      <c r="R58" s="19">
        <f>SUM(R59:R62)</f>
        <v>301947.67994299141</v>
      </c>
      <c r="S58" s="9"/>
      <c r="T58" s="9"/>
      <c r="U58" s="19">
        <f t="shared" ref="U58:AF58" si="125">SUM(U59:U62)</f>
        <v>64487.5</v>
      </c>
      <c r="V58" s="19">
        <f t="shared" si="125"/>
        <v>64488</v>
      </c>
      <c r="W58" s="19">
        <f t="shared" si="125"/>
        <v>64488</v>
      </c>
      <c r="X58" s="19">
        <f t="shared" si="125"/>
        <v>64488</v>
      </c>
      <c r="Y58" s="19">
        <f t="shared" si="125"/>
        <v>64486.739999999991</v>
      </c>
      <c r="Z58" s="19">
        <f t="shared" si="125"/>
        <v>64486.739999999991</v>
      </c>
      <c r="AA58" s="19">
        <f t="shared" si="125"/>
        <v>64486.259999999995</v>
      </c>
      <c r="AB58" s="19">
        <f t="shared" si="125"/>
        <v>68307.907959374992</v>
      </c>
      <c r="AC58" s="19">
        <f t="shared" si="125"/>
        <v>70685.703366346745</v>
      </c>
      <c r="AD58" s="19">
        <f t="shared" si="125"/>
        <v>73913.083741003386</v>
      </c>
      <c r="AE58" s="19">
        <f t="shared" si="125"/>
        <v>77008.781489917936</v>
      </c>
      <c r="AF58" s="19">
        <f t="shared" si="125"/>
        <v>80340.1113457233</v>
      </c>
      <c r="AH58" s="9"/>
      <c r="AI58" s="19">
        <f t="shared" ref="AI58:BD58" si="126">IF(AI$5&lt;=LatestMonthOfActuals,SUMIFS(AI59:AI62,$K59:$K62,"Account"),SUMIFS(AI59:AI62,$K59:$K62,"&lt;&gt;Sub-Account"))</f>
        <v>21495.5</v>
      </c>
      <c r="AJ58" s="19">
        <f t="shared" si="126"/>
        <v>21495.5</v>
      </c>
      <c r="AK58" s="19">
        <f t="shared" si="126"/>
        <v>21496</v>
      </c>
      <c r="AL58" s="19">
        <f t="shared" si="126"/>
        <v>21496</v>
      </c>
      <c r="AM58" s="19">
        <f t="shared" si="126"/>
        <v>21496</v>
      </c>
      <c r="AN58" s="19">
        <f t="shared" si="126"/>
        <v>21496</v>
      </c>
      <c r="AO58" s="19">
        <f t="shared" si="126"/>
        <v>21496</v>
      </c>
      <c r="AP58" s="19">
        <f t="shared" si="126"/>
        <v>21496</v>
      </c>
      <c r="AQ58" s="19">
        <f t="shared" si="126"/>
        <v>21496</v>
      </c>
      <c r="AR58" s="19">
        <f t="shared" si="126"/>
        <v>21496</v>
      </c>
      <c r="AS58" s="19">
        <f t="shared" si="126"/>
        <v>21496</v>
      </c>
      <c r="AT58" s="19">
        <f t="shared" si="126"/>
        <v>21496</v>
      </c>
      <c r="AU58" s="19">
        <f t="shared" si="126"/>
        <v>21496</v>
      </c>
      <c r="AV58" s="19">
        <f t="shared" si="126"/>
        <v>21495.42</v>
      </c>
      <c r="AW58" s="19">
        <f t="shared" si="126"/>
        <v>21495.66</v>
      </c>
      <c r="AX58" s="19">
        <f t="shared" si="126"/>
        <v>21495.66</v>
      </c>
      <c r="AY58" s="19">
        <f t="shared" si="126"/>
        <v>21495.66</v>
      </c>
      <c r="AZ58" s="19">
        <f t="shared" si="126"/>
        <v>21495.66</v>
      </c>
      <c r="BA58" s="19">
        <f t="shared" si="126"/>
        <v>21495.42</v>
      </c>
      <c r="BB58" s="19">
        <f t="shared" si="126"/>
        <v>21495.42</v>
      </c>
      <c r="BC58" s="19">
        <f t="shared" si="126"/>
        <v>21495.42</v>
      </c>
      <c r="BD58" s="19">
        <f t="shared" si="126"/>
        <v>21495.42</v>
      </c>
      <c r="BE58" s="19">
        <f t="shared" ref="BE58" si="127">IF(BE$5&lt;=LatestMonthOfActuals,SUMIFS(BE59:BE62,$K59:$K62,"Account"),SUMIFS(BE59:BE62,$K59:$K62,"&lt;&gt;Sub-Account"))</f>
        <v>22570.274999999998</v>
      </c>
      <c r="BF58" s="19">
        <f t="shared" ref="BF58:BS58" si="128">IF(BF$5&lt;=LatestMonthOfActuals,SUMIFS(BF59:BF62,$K59:$K62,"Account"),SUMIFS(BF59:BF62,$K59:$K62,"&lt;&gt;Sub-Account"))</f>
        <v>22758.332624999999</v>
      </c>
      <c r="BG58" s="19">
        <f t="shared" si="128"/>
        <v>22979.300334375002</v>
      </c>
      <c r="BH58" s="19">
        <f t="shared" si="128"/>
        <v>23238.979392890629</v>
      </c>
      <c r="BI58" s="19">
        <f t="shared" si="128"/>
        <v>23544.102286646485</v>
      </c>
      <c r="BJ58" s="19">
        <f t="shared" si="128"/>
        <v>23902.62168680962</v>
      </c>
      <c r="BK58" s="19">
        <f t="shared" si="128"/>
        <v>24323.881982001305</v>
      </c>
      <c r="BL58" s="19">
        <f t="shared" si="128"/>
        <v>24630.763203851533</v>
      </c>
      <c r="BM58" s="19">
        <f t="shared" si="128"/>
        <v>24958.438555150551</v>
      </c>
      <c r="BN58" s="19">
        <f t="shared" si="128"/>
        <v>25304.787743786273</v>
      </c>
      <c r="BO58" s="19">
        <f t="shared" si="128"/>
        <v>25666.30420519301</v>
      </c>
      <c r="BP58" s="19">
        <f t="shared" si="128"/>
        <v>26037.689540938649</v>
      </c>
      <c r="BQ58" s="19">
        <f t="shared" si="128"/>
        <v>26411.326415411233</v>
      </c>
      <c r="BR58" s="19">
        <f t="shared" si="128"/>
        <v>26776.629191257973</v>
      </c>
      <c r="BS58" s="19">
        <f t="shared" si="128"/>
        <v>27152.155739054098</v>
      </c>
    </row>
    <row r="59" spans="1:71" ht="6" customHeight="1" outlineLevel="2">
      <c r="E59" s="18"/>
      <c r="F59" s="17"/>
      <c r="G59" s="15"/>
      <c r="H59" s="15"/>
      <c r="I59" s="15"/>
      <c r="J59" s="15"/>
      <c r="K59" s="16"/>
      <c r="L59" s="15"/>
      <c r="M59" s="14"/>
    </row>
    <row r="60" spans="1:71" outlineLevel="2">
      <c r="D60" s="115" t="s">
        <v>194</v>
      </c>
      <c r="E60" s="18" t="s">
        <v>158</v>
      </c>
      <c r="F60" s="111">
        <v>0.05</v>
      </c>
      <c r="G60" s="15" t="str">
        <f>IFERROR(INDEX(PBC_ACCOUNT_LIST[Drivers Section],MATCH(Drivers!L60,PBC_ACCOUNT_LIST[Id],0)),"")</f>
        <v>Other Expenses</v>
      </c>
      <c r="H60" s="15" t="str">
        <f>IFERROR(INDEX(PBC_ACCOUNT_LIST[Summary Grouping],MATCH(Drivers!L60,PBC_ACCOUNT_LIST[Id],0)),"")</f>
        <v>Other Expenses</v>
      </c>
      <c r="I60" s="15"/>
      <c r="J60" s="15">
        <f>IFERROR(INDEX(PBC_ACCOUNT_LIST[Cash Flow Section],MATCH(Drivers!L60,PBC_ACCOUNT_LIST[Id],0)),"")</f>
        <v>0</v>
      </c>
      <c r="K60" s="16" t="s">
        <v>159</v>
      </c>
      <c r="L60" s="15">
        <v>191</v>
      </c>
      <c r="M60" s="14"/>
      <c r="P60" s="113">
        <f t="shared" ref="P60:R61" si="129">SUMIFS($AI60:$BS60,$AI$4:$BS$4,"&gt;="&amp;P$4,$AI$5:$BS$5,"&lt;="&amp;P$5)</f>
        <v>36612</v>
      </c>
      <c r="Q60" s="113">
        <f t="shared" si="129"/>
        <v>37150.270148124997</v>
      </c>
      <c r="R60" s="113">
        <f t="shared" si="129"/>
        <v>42852.767488859077</v>
      </c>
      <c r="S60" s="113"/>
      <c r="T60" s="113"/>
      <c r="U60" s="116">
        <f t="shared" ref="U60:AF61" si="130">SUMIFS($AI60:$BS60,$AI$4:$BS$4,"&gt;="&amp;U$4,$AI$5:$BS$5,"&lt;="&amp;U$5)</f>
        <v>9153</v>
      </c>
      <c r="V60" s="116">
        <f t="shared" si="130"/>
        <v>9153</v>
      </c>
      <c r="W60" s="116">
        <f t="shared" si="130"/>
        <v>9153</v>
      </c>
      <c r="X60" s="116">
        <f t="shared" si="130"/>
        <v>9153</v>
      </c>
      <c r="Y60" s="116">
        <f t="shared" si="130"/>
        <v>9151.98</v>
      </c>
      <c r="Z60" s="116">
        <f t="shared" si="130"/>
        <v>9151.98</v>
      </c>
      <c r="AA60" s="116">
        <f t="shared" si="130"/>
        <v>9151.98</v>
      </c>
      <c r="AB60" s="116">
        <f t="shared" si="130"/>
        <v>9694.3301481250001</v>
      </c>
      <c r="AC60" s="116">
        <f t="shared" si="130"/>
        <v>10031.799053574716</v>
      </c>
      <c r="AD60" s="116">
        <f t="shared" si="130"/>
        <v>10489.830241238873</v>
      </c>
      <c r="AE60" s="116">
        <f t="shared" si="130"/>
        <v>10929.176008980827</v>
      </c>
      <c r="AF60" s="116">
        <f t="shared" si="130"/>
        <v>11401.962185064669</v>
      </c>
      <c r="AG60" s="116"/>
      <c r="AH60" s="113"/>
      <c r="AI60" s="116">
        <f>SUMIFS(PBC_PROFIT_AND_LOSS[AccountBalance], PBC_PROFIT_AND_LOSS[Id],$L60,PBC_PROFIT_AND_LOSS[Date],AI$5)</f>
        <v>3051</v>
      </c>
      <c r="AJ60" s="116">
        <f>SUMIFS(PBC_PROFIT_AND_LOSS[AccountBalance], PBC_PROFIT_AND_LOSS[Id],$L60,PBC_PROFIT_AND_LOSS[Date],AJ$5)</f>
        <v>3051</v>
      </c>
      <c r="AK60" s="116">
        <f>SUMIFS(PBC_PROFIT_AND_LOSS[AccountBalance], PBC_PROFIT_AND_LOSS[Id],$L60,PBC_PROFIT_AND_LOSS[Date],AK$5)</f>
        <v>3051</v>
      </c>
      <c r="AL60" s="116">
        <f>SUMIFS(PBC_PROFIT_AND_LOSS[AccountBalance], PBC_PROFIT_AND_LOSS[Id],$L60,PBC_PROFIT_AND_LOSS[Date],AL$5)</f>
        <v>3051</v>
      </c>
      <c r="AM60" s="116">
        <f>SUMIFS(PBC_PROFIT_AND_LOSS[AccountBalance], PBC_PROFIT_AND_LOSS[Id],$L60,PBC_PROFIT_AND_LOSS[Date],AM$5)</f>
        <v>3051</v>
      </c>
      <c r="AN60" s="116">
        <f>SUMIFS(PBC_PROFIT_AND_LOSS[AccountBalance], PBC_PROFIT_AND_LOSS[Id],$L60,PBC_PROFIT_AND_LOSS[Date],AN$5)</f>
        <v>3051</v>
      </c>
      <c r="AO60" s="116">
        <f>SUMIFS(PBC_PROFIT_AND_LOSS[AccountBalance], PBC_PROFIT_AND_LOSS[Id],$L60,PBC_PROFIT_AND_LOSS[Date],AO$5)</f>
        <v>3051</v>
      </c>
      <c r="AP60" s="116">
        <f>SUMIFS(PBC_PROFIT_AND_LOSS[AccountBalance], PBC_PROFIT_AND_LOSS[Id],$L60,PBC_PROFIT_AND_LOSS[Date],AP$5)</f>
        <v>3051</v>
      </c>
      <c r="AQ60" s="116">
        <f>SUMIFS(PBC_PROFIT_AND_LOSS[AccountBalance], PBC_PROFIT_AND_LOSS[Id],$L60,PBC_PROFIT_AND_LOSS[Date],AQ$5)</f>
        <v>3051</v>
      </c>
      <c r="AR60" s="116">
        <f>SUMIFS(PBC_PROFIT_AND_LOSS[AccountBalance], PBC_PROFIT_AND_LOSS[Id],$L60,PBC_PROFIT_AND_LOSS[Date],AR$5)</f>
        <v>3051</v>
      </c>
      <c r="AS60" s="116">
        <f>SUMIFS(PBC_PROFIT_AND_LOSS[AccountBalance], PBC_PROFIT_AND_LOSS[Id],$L60,PBC_PROFIT_AND_LOSS[Date],AS$5)</f>
        <v>3051</v>
      </c>
      <c r="AT60" s="116">
        <f>SUMIFS(PBC_PROFIT_AND_LOSS[AccountBalance], PBC_PROFIT_AND_LOSS[Id],$L60,PBC_PROFIT_AND_LOSS[Date],AT$5)</f>
        <v>3051</v>
      </c>
      <c r="AU60" s="116">
        <f>SUMIFS(PBC_PROFIT_AND_LOSS[AccountBalance], PBC_PROFIT_AND_LOSS[Id],$L60,PBC_PROFIT_AND_LOSS[Date],AU$5)</f>
        <v>3051</v>
      </c>
      <c r="AV60" s="116">
        <f>SUMIFS(PBC_PROFIT_AND_LOSS[AccountBalance], PBC_PROFIT_AND_LOSS[Id],$L60,PBC_PROFIT_AND_LOSS[Date],AV$5)</f>
        <v>3050.66</v>
      </c>
      <c r="AW60" s="116">
        <f>SUMIFS(PBC_PROFIT_AND_LOSS[AccountBalance], PBC_PROFIT_AND_LOSS[Id],$L60,PBC_PROFIT_AND_LOSS[Date],AW$5)</f>
        <v>3050.66</v>
      </c>
      <c r="AX60" s="116">
        <f>SUMIFS(PBC_PROFIT_AND_LOSS[AccountBalance], PBC_PROFIT_AND_LOSS[Id],$L60,PBC_PROFIT_AND_LOSS[Date],AX$5)</f>
        <v>3050.66</v>
      </c>
      <c r="AY60" s="116">
        <f>SUMIFS(PBC_PROFIT_AND_LOSS[AccountBalance], PBC_PROFIT_AND_LOSS[Id],$L60,PBC_PROFIT_AND_LOSS[Date],AY$5)</f>
        <v>3050.66</v>
      </c>
      <c r="AZ60" s="116">
        <f>SUMIFS(PBC_PROFIT_AND_LOSS[AccountBalance], PBC_PROFIT_AND_LOSS[Id],$L60,PBC_PROFIT_AND_LOSS[Date],AZ$5)</f>
        <v>3050.66</v>
      </c>
      <c r="BA60" s="116">
        <f>SUMIFS(PBC_PROFIT_AND_LOSS[AccountBalance], PBC_PROFIT_AND_LOSS[Id],$L60,PBC_PROFIT_AND_LOSS[Date],BA$5)</f>
        <v>3050.66</v>
      </c>
      <c r="BB60" s="116">
        <f>SUMIFS(PBC_PROFIT_AND_LOSS[AccountBalance], PBC_PROFIT_AND_LOSS[Id],$L60,PBC_PROFIT_AND_LOSS[Date],BB$5)</f>
        <v>3050.66</v>
      </c>
      <c r="BC60" s="116">
        <f>SUMIFS(PBC_PROFIT_AND_LOSS[AccountBalance], PBC_PROFIT_AND_LOSS[Id],$L60,PBC_PROFIT_AND_LOSS[Date],BC$5)</f>
        <v>3050.66</v>
      </c>
      <c r="BD60" s="116">
        <f>SUMIFS(PBC_PROFIT_AND_LOSS[AccountBalance], PBC_PROFIT_AND_LOSS[Id],$L60,PBC_PROFIT_AND_LOSS[Date],BD$5)</f>
        <v>3050.66</v>
      </c>
      <c r="BE60" s="117">
        <f t="shared" ref="BE60:BE61" si="131">AVERAGE(AY60:BD60) * (1 + $F60)</f>
        <v>3203.1929999999998</v>
      </c>
      <c r="BF60" s="117">
        <f>AVERAGE(AZ60:BE60) * (1 + $F60)</f>
        <v>3229.8862749999998</v>
      </c>
      <c r="BG60" s="117">
        <f t="shared" ref="BG60:BS60" si="132">AVERAGE(BA60:BF60) * (1 + $F60)</f>
        <v>3261.250873125</v>
      </c>
      <c r="BH60" s="117">
        <f t="shared" si="132"/>
        <v>3298.1042759218749</v>
      </c>
      <c r="BI60" s="117">
        <f t="shared" si="132"/>
        <v>3341.407024208203</v>
      </c>
      <c r="BJ60" s="117">
        <f t="shared" si="132"/>
        <v>3392.2877534446384</v>
      </c>
      <c r="BK60" s="117">
        <f t="shared" si="132"/>
        <v>3452.0726102974509</v>
      </c>
      <c r="BL60" s="117">
        <f t="shared" si="132"/>
        <v>3495.6265420995051</v>
      </c>
      <c r="BM60" s="117">
        <f t="shared" si="132"/>
        <v>3542.1310888419175</v>
      </c>
      <c r="BN60" s="117">
        <f t="shared" si="132"/>
        <v>3591.2851265923782</v>
      </c>
      <c r="BO60" s="117">
        <f t="shared" si="132"/>
        <v>3642.5917754597167</v>
      </c>
      <c r="BP60" s="117">
        <f t="shared" si="132"/>
        <v>3695.2991069287314</v>
      </c>
      <c r="BQ60" s="117">
        <f t="shared" si="132"/>
        <v>3748.3260937884475</v>
      </c>
      <c r="BR60" s="117">
        <f t="shared" si="132"/>
        <v>3800.170453399372</v>
      </c>
      <c r="BS60" s="117">
        <f t="shared" si="132"/>
        <v>3853.4656378768491</v>
      </c>
    </row>
    <row r="61" spans="1:71" ht="14.45" customHeight="1" outlineLevel="2">
      <c r="D61" s="115" t="s">
        <v>195</v>
      </c>
      <c r="E61" s="18" t="s">
        <v>158</v>
      </c>
      <c r="F61" s="111">
        <v>0.05</v>
      </c>
      <c r="G61" s="15" t="str">
        <f>IFERROR(INDEX(PBC_ACCOUNT_LIST[Drivers Section],MATCH(Drivers!L61,PBC_ACCOUNT_LIST[Id],0)),"")</f>
        <v>Other Expenses</v>
      </c>
      <c r="H61" s="15" t="str">
        <f>IFERROR(INDEX(PBC_ACCOUNT_LIST[Summary Grouping],MATCH(Drivers!L61,PBC_ACCOUNT_LIST[Id],0)),"")</f>
        <v>Other Expenses</v>
      </c>
      <c r="I61" s="15"/>
      <c r="J61" s="15">
        <f>IFERROR(INDEX(PBC_ACCOUNT_LIST[Cash Flow Section],MATCH(Drivers!L61,PBC_ACCOUNT_LIST[Id],0)),"")</f>
        <v>0</v>
      </c>
      <c r="K61" s="16" t="s">
        <v>159</v>
      </c>
      <c r="L61" s="15">
        <v>192</v>
      </c>
      <c r="M61" s="14"/>
      <c r="P61" s="113">
        <f t="shared" si="129"/>
        <v>221339.5</v>
      </c>
      <c r="Q61" s="113">
        <f t="shared" si="129"/>
        <v>224617.37781124996</v>
      </c>
      <c r="R61" s="113">
        <f t="shared" si="129"/>
        <v>259094.91245413231</v>
      </c>
      <c r="S61" s="113"/>
      <c r="T61" s="113"/>
      <c r="U61" s="116">
        <f t="shared" si="130"/>
        <v>55334.5</v>
      </c>
      <c r="V61" s="116">
        <f t="shared" si="130"/>
        <v>55335</v>
      </c>
      <c r="W61" s="116">
        <f t="shared" si="130"/>
        <v>55335</v>
      </c>
      <c r="X61" s="116">
        <f t="shared" si="130"/>
        <v>55335</v>
      </c>
      <c r="Y61" s="116">
        <f t="shared" si="130"/>
        <v>55334.759999999995</v>
      </c>
      <c r="Z61" s="116">
        <f t="shared" si="130"/>
        <v>55334.759999999995</v>
      </c>
      <c r="AA61" s="116">
        <f t="shared" si="130"/>
        <v>55334.28</v>
      </c>
      <c r="AB61" s="116">
        <f t="shared" si="130"/>
        <v>58613.577811249997</v>
      </c>
      <c r="AC61" s="116">
        <f t="shared" si="130"/>
        <v>60653.904312772022</v>
      </c>
      <c r="AD61" s="116">
        <f t="shared" si="130"/>
        <v>63423.253499764513</v>
      </c>
      <c r="AE61" s="116">
        <f t="shared" si="130"/>
        <v>66079.605480937113</v>
      </c>
      <c r="AF61" s="116">
        <f t="shared" si="130"/>
        <v>68938.149160658635</v>
      </c>
      <c r="AG61" s="116"/>
      <c r="AH61" s="113"/>
      <c r="AI61" s="116">
        <f>SUMIFS(PBC_PROFIT_AND_LOSS[AccountBalance], PBC_PROFIT_AND_LOSS[Id],$L61,PBC_PROFIT_AND_LOSS[Date],AI$5)</f>
        <v>18444.5</v>
      </c>
      <c r="AJ61" s="116">
        <f>SUMIFS(PBC_PROFIT_AND_LOSS[AccountBalance], PBC_PROFIT_AND_LOSS[Id],$L61,PBC_PROFIT_AND_LOSS[Date],AJ$5)</f>
        <v>18444.5</v>
      </c>
      <c r="AK61" s="116">
        <f>SUMIFS(PBC_PROFIT_AND_LOSS[AccountBalance], PBC_PROFIT_AND_LOSS[Id],$L61,PBC_PROFIT_AND_LOSS[Date],AK$5)</f>
        <v>18445</v>
      </c>
      <c r="AL61" s="116">
        <f>SUMIFS(PBC_PROFIT_AND_LOSS[AccountBalance], PBC_PROFIT_AND_LOSS[Id],$L61,PBC_PROFIT_AND_LOSS[Date],AL$5)</f>
        <v>18445</v>
      </c>
      <c r="AM61" s="116">
        <f>SUMIFS(PBC_PROFIT_AND_LOSS[AccountBalance], PBC_PROFIT_AND_LOSS[Id],$L61,PBC_PROFIT_AND_LOSS[Date],AM$5)</f>
        <v>18445</v>
      </c>
      <c r="AN61" s="116">
        <f>SUMIFS(PBC_PROFIT_AND_LOSS[AccountBalance], PBC_PROFIT_AND_LOSS[Id],$L61,PBC_PROFIT_AND_LOSS[Date],AN$5)</f>
        <v>18445</v>
      </c>
      <c r="AO61" s="116">
        <f>SUMIFS(PBC_PROFIT_AND_LOSS[AccountBalance], PBC_PROFIT_AND_LOSS[Id],$L61,PBC_PROFIT_AND_LOSS[Date],AO$5)</f>
        <v>18445</v>
      </c>
      <c r="AP61" s="116">
        <f>SUMIFS(PBC_PROFIT_AND_LOSS[AccountBalance], PBC_PROFIT_AND_LOSS[Id],$L61,PBC_PROFIT_AND_LOSS[Date],AP$5)</f>
        <v>18445</v>
      </c>
      <c r="AQ61" s="116">
        <f>SUMIFS(PBC_PROFIT_AND_LOSS[AccountBalance], PBC_PROFIT_AND_LOSS[Id],$L61,PBC_PROFIT_AND_LOSS[Date],AQ$5)</f>
        <v>18445</v>
      </c>
      <c r="AR61" s="116">
        <f>SUMIFS(PBC_PROFIT_AND_LOSS[AccountBalance], PBC_PROFIT_AND_LOSS[Id],$L61,PBC_PROFIT_AND_LOSS[Date],AR$5)</f>
        <v>18445</v>
      </c>
      <c r="AS61" s="116">
        <f>SUMIFS(PBC_PROFIT_AND_LOSS[AccountBalance], PBC_PROFIT_AND_LOSS[Id],$L61,PBC_PROFIT_AND_LOSS[Date],AS$5)</f>
        <v>18445</v>
      </c>
      <c r="AT61" s="116">
        <f>SUMIFS(PBC_PROFIT_AND_LOSS[AccountBalance], PBC_PROFIT_AND_LOSS[Id],$L61,PBC_PROFIT_AND_LOSS[Date],AT$5)</f>
        <v>18445</v>
      </c>
      <c r="AU61" s="116">
        <f>SUMIFS(PBC_PROFIT_AND_LOSS[AccountBalance], PBC_PROFIT_AND_LOSS[Id],$L61,PBC_PROFIT_AND_LOSS[Date],AU$5)</f>
        <v>18445</v>
      </c>
      <c r="AV61" s="116">
        <f>SUMIFS(PBC_PROFIT_AND_LOSS[AccountBalance], PBC_PROFIT_AND_LOSS[Id],$L61,PBC_PROFIT_AND_LOSS[Date],AV$5)</f>
        <v>18444.759999999998</v>
      </c>
      <c r="AW61" s="116">
        <f>SUMIFS(PBC_PROFIT_AND_LOSS[AccountBalance], PBC_PROFIT_AND_LOSS[Id],$L61,PBC_PROFIT_AND_LOSS[Date],AW$5)</f>
        <v>18445</v>
      </c>
      <c r="AX61" s="116">
        <f>SUMIFS(PBC_PROFIT_AND_LOSS[AccountBalance], PBC_PROFIT_AND_LOSS[Id],$L61,PBC_PROFIT_AND_LOSS[Date],AX$5)</f>
        <v>18445</v>
      </c>
      <c r="AY61" s="116">
        <f>SUMIFS(PBC_PROFIT_AND_LOSS[AccountBalance], PBC_PROFIT_AND_LOSS[Id],$L61,PBC_PROFIT_AND_LOSS[Date],AY$5)</f>
        <v>18445</v>
      </c>
      <c r="AZ61" s="116">
        <f>SUMIFS(PBC_PROFIT_AND_LOSS[AccountBalance], PBC_PROFIT_AND_LOSS[Id],$L61,PBC_PROFIT_AND_LOSS[Date],AZ$5)</f>
        <v>18445</v>
      </c>
      <c r="BA61" s="116">
        <f>SUMIFS(PBC_PROFIT_AND_LOSS[AccountBalance], PBC_PROFIT_AND_LOSS[Id],$L61,PBC_PROFIT_AND_LOSS[Date],BA$5)</f>
        <v>18444.759999999998</v>
      </c>
      <c r="BB61" s="116">
        <f>SUMIFS(PBC_PROFIT_AND_LOSS[AccountBalance], PBC_PROFIT_AND_LOSS[Id],$L61,PBC_PROFIT_AND_LOSS[Date],BB$5)</f>
        <v>18444.759999999998</v>
      </c>
      <c r="BC61" s="116">
        <f>SUMIFS(PBC_PROFIT_AND_LOSS[AccountBalance], PBC_PROFIT_AND_LOSS[Id],$L61,PBC_PROFIT_AND_LOSS[Date],BC$5)</f>
        <v>18444.759999999998</v>
      </c>
      <c r="BD61" s="116">
        <f>SUMIFS(PBC_PROFIT_AND_LOSS[AccountBalance], PBC_PROFIT_AND_LOSS[Id],$L61,PBC_PROFIT_AND_LOSS[Date],BD$5)</f>
        <v>18444.759999999998</v>
      </c>
      <c r="BE61" s="117">
        <f t="shared" si="131"/>
        <v>19367.081999999999</v>
      </c>
      <c r="BF61" s="117">
        <f t="shared" ref="BF61" si="133">AVERAGE(AZ61:BE61) * (1 + $F61)</f>
        <v>19528.446349999998</v>
      </c>
      <c r="BG61" s="117">
        <f t="shared" ref="BG61" si="134">AVERAGE(BA61:BF61) * (1 + $F61)</f>
        <v>19718.049461250001</v>
      </c>
      <c r="BH61" s="117">
        <f t="shared" ref="BH61" si="135">AVERAGE(BB61:BG61) * (1 + $F61)</f>
        <v>19940.875116968753</v>
      </c>
      <c r="BI61" s="117">
        <f t="shared" ref="BI61" si="136">AVERAGE(BC61:BH61) * (1 + $F61)</f>
        <v>20202.695262438283</v>
      </c>
      <c r="BJ61" s="117">
        <f t="shared" ref="BJ61" si="137">AVERAGE(BD61:BI61) * (1 + $F61)</f>
        <v>20510.333933364982</v>
      </c>
      <c r="BK61" s="117">
        <f t="shared" ref="BK61" si="138">AVERAGE(BE61:BJ61) * (1 + $F61)</f>
        <v>20871.809371703854</v>
      </c>
      <c r="BL61" s="117">
        <f t="shared" ref="BL61" si="139">AVERAGE(BF61:BK61) * (1 + $F61)</f>
        <v>21135.136661752029</v>
      </c>
      <c r="BM61" s="117">
        <f t="shared" ref="BM61" si="140">AVERAGE(BG61:BL61) * (1 + $F61)</f>
        <v>21416.307466308634</v>
      </c>
      <c r="BN61" s="117">
        <f t="shared" ref="BN61" si="141">AVERAGE(BH61:BM61) * (1 + $F61)</f>
        <v>21713.502617193895</v>
      </c>
      <c r="BO61" s="117">
        <f t="shared" ref="BO61" si="142">AVERAGE(BI61:BN61) * (1 + $F61)</f>
        <v>22023.712429733292</v>
      </c>
      <c r="BP61" s="117">
        <f t="shared" ref="BP61" si="143">AVERAGE(BJ61:BO61) * (1 + $F61)</f>
        <v>22342.390434009918</v>
      </c>
      <c r="BQ61" s="117">
        <f t="shared" ref="BQ61" si="144">AVERAGE(BK61:BP61) * (1 + $F61)</f>
        <v>22663.000321622785</v>
      </c>
      <c r="BR61" s="117">
        <f t="shared" ref="BR61" si="145">AVERAGE(BL61:BQ61) * (1 + $F61)</f>
        <v>22976.4587378586</v>
      </c>
      <c r="BS61" s="117">
        <f t="shared" ref="BS61" si="146">AVERAGE(BM61:BR61) * (1 + $F61)</f>
        <v>23298.69010117725</v>
      </c>
    </row>
    <row r="62" spans="1:71" outlineLevel="1">
      <c r="E62" s="18"/>
      <c r="F62" s="17"/>
      <c r="G62" s="15"/>
      <c r="H62" s="15"/>
      <c r="I62" s="15"/>
      <c r="J62" s="15"/>
      <c r="K62" s="16"/>
      <c r="L62" s="15"/>
      <c r="M62" s="14"/>
    </row>
    <row r="63" spans="1:71" ht="15" outlineLevel="1">
      <c r="A63" s="23"/>
      <c r="B63" s="22"/>
      <c r="C63" s="21" t="s">
        <v>196</v>
      </c>
      <c r="D63" s="20"/>
      <c r="E63" s="18"/>
      <c r="F63" s="17"/>
      <c r="G63" s="15"/>
      <c r="H63" s="15"/>
      <c r="I63" s="15"/>
      <c r="J63" s="15"/>
      <c r="K63" s="16"/>
      <c r="L63" s="15"/>
      <c r="M63" s="14"/>
      <c r="O63" s="9"/>
      <c r="P63" s="19">
        <f>P53-P58</f>
        <v>-257951.5</v>
      </c>
      <c r="Q63" s="19">
        <f>Q53-Q58</f>
        <v>-261767.64795937494</v>
      </c>
      <c r="R63" s="19">
        <f>R53-R58</f>
        <v>-301947.67994299141</v>
      </c>
      <c r="S63" s="9"/>
      <c r="T63" s="9"/>
      <c r="U63" s="19">
        <f t="shared" ref="U63:AF63" si="147">U53-U58</f>
        <v>-64487.5</v>
      </c>
      <c r="V63" s="19">
        <f t="shared" si="147"/>
        <v>-64488</v>
      </c>
      <c r="W63" s="19">
        <f t="shared" si="147"/>
        <v>-64488</v>
      </c>
      <c r="X63" s="19">
        <f t="shared" si="147"/>
        <v>-64488</v>
      </c>
      <c r="Y63" s="19">
        <f t="shared" si="147"/>
        <v>-64486.739999999991</v>
      </c>
      <c r="Z63" s="19">
        <f t="shared" si="147"/>
        <v>-64486.739999999991</v>
      </c>
      <c r="AA63" s="19">
        <f t="shared" si="147"/>
        <v>-64486.259999999995</v>
      </c>
      <c r="AB63" s="19">
        <f t="shared" si="147"/>
        <v>-68307.907959374992</v>
      </c>
      <c r="AC63" s="19">
        <f t="shared" si="147"/>
        <v>-70685.703366346745</v>
      </c>
      <c r="AD63" s="19">
        <f t="shared" si="147"/>
        <v>-73913.083741003386</v>
      </c>
      <c r="AE63" s="19">
        <f t="shared" si="147"/>
        <v>-77008.781489917936</v>
      </c>
      <c r="AF63" s="19">
        <f t="shared" si="147"/>
        <v>-80340.1113457233</v>
      </c>
      <c r="AH63" s="9"/>
      <c r="AI63" s="19">
        <f t="shared" ref="AI63:BD63" si="148">AI53-AI58</f>
        <v>-21495.5</v>
      </c>
      <c r="AJ63" s="19">
        <f t="shared" si="148"/>
        <v>-21495.5</v>
      </c>
      <c r="AK63" s="19">
        <f t="shared" si="148"/>
        <v>-21496</v>
      </c>
      <c r="AL63" s="19">
        <f t="shared" si="148"/>
        <v>-21496</v>
      </c>
      <c r="AM63" s="19">
        <f t="shared" si="148"/>
        <v>-21496</v>
      </c>
      <c r="AN63" s="19">
        <f t="shared" si="148"/>
        <v>-21496</v>
      </c>
      <c r="AO63" s="19">
        <f t="shared" si="148"/>
        <v>-21496</v>
      </c>
      <c r="AP63" s="19">
        <f t="shared" si="148"/>
        <v>-21496</v>
      </c>
      <c r="AQ63" s="19">
        <f t="shared" si="148"/>
        <v>-21496</v>
      </c>
      <c r="AR63" s="19">
        <f t="shared" si="148"/>
        <v>-21496</v>
      </c>
      <c r="AS63" s="19">
        <f t="shared" si="148"/>
        <v>-21496</v>
      </c>
      <c r="AT63" s="19">
        <f t="shared" si="148"/>
        <v>-21496</v>
      </c>
      <c r="AU63" s="19">
        <f t="shared" si="148"/>
        <v>-21496</v>
      </c>
      <c r="AV63" s="19">
        <f t="shared" si="148"/>
        <v>-21495.42</v>
      </c>
      <c r="AW63" s="19">
        <f t="shared" si="148"/>
        <v>-21495.66</v>
      </c>
      <c r="AX63" s="19">
        <f t="shared" si="148"/>
        <v>-21495.66</v>
      </c>
      <c r="AY63" s="19">
        <f t="shared" si="148"/>
        <v>-21495.66</v>
      </c>
      <c r="AZ63" s="19">
        <f t="shared" si="148"/>
        <v>-21495.66</v>
      </c>
      <c r="BA63" s="19">
        <f t="shared" si="148"/>
        <v>-21495.42</v>
      </c>
      <c r="BB63" s="19">
        <f t="shared" si="148"/>
        <v>-21495.42</v>
      </c>
      <c r="BC63" s="19">
        <f t="shared" si="148"/>
        <v>-21495.42</v>
      </c>
      <c r="BD63" s="19">
        <f t="shared" si="148"/>
        <v>-21495.42</v>
      </c>
      <c r="BE63" s="19">
        <f t="shared" ref="BE63" si="149">BE53-BE58</f>
        <v>-22570.274999999998</v>
      </c>
      <c r="BF63" s="19">
        <f t="shared" ref="BF63:BS63" si="150">BF53-BF58</f>
        <v>-22758.332624999999</v>
      </c>
      <c r="BG63" s="19">
        <f t="shared" si="150"/>
        <v>-22979.300334375002</v>
      </c>
      <c r="BH63" s="19">
        <f t="shared" si="150"/>
        <v>-23238.979392890629</v>
      </c>
      <c r="BI63" s="19">
        <f t="shared" si="150"/>
        <v>-23544.102286646485</v>
      </c>
      <c r="BJ63" s="19">
        <f t="shared" si="150"/>
        <v>-23902.62168680962</v>
      </c>
      <c r="BK63" s="19">
        <f t="shared" si="150"/>
        <v>-24323.881982001305</v>
      </c>
      <c r="BL63" s="19">
        <f t="shared" si="150"/>
        <v>-24630.763203851533</v>
      </c>
      <c r="BM63" s="19">
        <f t="shared" si="150"/>
        <v>-24958.438555150551</v>
      </c>
      <c r="BN63" s="19">
        <f t="shared" si="150"/>
        <v>-25304.787743786273</v>
      </c>
      <c r="BO63" s="19">
        <f t="shared" si="150"/>
        <v>-25666.30420519301</v>
      </c>
      <c r="BP63" s="19">
        <f t="shared" si="150"/>
        <v>-26037.689540938649</v>
      </c>
      <c r="BQ63" s="19">
        <f t="shared" si="150"/>
        <v>-26411.326415411233</v>
      </c>
      <c r="BR63" s="19">
        <f t="shared" si="150"/>
        <v>-26776.629191257973</v>
      </c>
      <c r="BS63" s="19">
        <f t="shared" si="150"/>
        <v>-27152.155739054098</v>
      </c>
    </row>
    <row r="64" spans="1:71" ht="15" outlineLevel="1">
      <c r="B64" s="22"/>
      <c r="C64" s="21"/>
      <c r="D64" s="26"/>
      <c r="E64" s="18"/>
      <c r="F64" s="17"/>
      <c r="G64" s="15"/>
      <c r="H64" s="15"/>
      <c r="I64" s="15"/>
      <c r="J64" s="15"/>
      <c r="K64" s="16"/>
      <c r="L64" s="15"/>
      <c r="M64" s="14"/>
      <c r="O64" s="9"/>
      <c r="P64" s="9"/>
      <c r="Q64" s="9"/>
      <c r="R64" s="9"/>
      <c r="S64" s="9"/>
      <c r="T64" s="9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9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</row>
    <row r="65" spans="1:71" ht="15" outlineLevel="1">
      <c r="A65" s="23"/>
      <c r="B65" s="22"/>
      <c r="C65" s="21" t="s">
        <v>197</v>
      </c>
      <c r="D65" s="20"/>
      <c r="E65" s="18"/>
      <c r="F65" s="17"/>
      <c r="G65" s="15"/>
      <c r="H65" s="15"/>
      <c r="I65" s="15"/>
      <c r="J65" s="15"/>
      <c r="K65" s="16"/>
      <c r="L65" s="15"/>
      <c r="M65" s="14"/>
      <c r="O65" s="9"/>
      <c r="P65" s="19">
        <f>P51+P63</f>
        <v>-1553482.5</v>
      </c>
      <c r="Q65" s="19">
        <f>Q51+Q63</f>
        <v>-2565316.0893959375</v>
      </c>
      <c r="R65" s="19">
        <f>R51+R63</f>
        <v>-3195451.6861368516</v>
      </c>
      <c r="S65" s="9"/>
      <c r="T65" s="9"/>
      <c r="U65" s="19">
        <f t="shared" ref="U65:AF65" si="151">U51+U63</f>
        <v>-277494</v>
      </c>
      <c r="V65" s="19">
        <f t="shared" si="151"/>
        <v>-353145</v>
      </c>
      <c r="W65" s="19">
        <f t="shared" si="151"/>
        <v>-445187</v>
      </c>
      <c r="X65" s="19">
        <f t="shared" si="151"/>
        <v>-477656.50000000012</v>
      </c>
      <c r="Y65" s="19">
        <f t="shared" si="151"/>
        <v>-542782.23</v>
      </c>
      <c r="Z65" s="19">
        <f t="shared" si="151"/>
        <v>-610775.53000000014</v>
      </c>
      <c r="AA65" s="19">
        <f t="shared" si="151"/>
        <v>-704448.24999999988</v>
      </c>
      <c r="AB65" s="19">
        <f t="shared" si="151"/>
        <v>-707310.07939593762</v>
      </c>
      <c r="AC65" s="19">
        <f t="shared" si="151"/>
        <v>-752133.84071147547</v>
      </c>
      <c r="AD65" s="19">
        <f t="shared" si="151"/>
        <v>-779219.53163371119</v>
      </c>
      <c r="AE65" s="19">
        <f t="shared" si="151"/>
        <v>-814877.43272013508</v>
      </c>
      <c r="AF65" s="19">
        <f t="shared" si="151"/>
        <v>-849220.88107153017</v>
      </c>
      <c r="AH65" s="9"/>
      <c r="AI65" s="19">
        <f t="shared" ref="AI65:BD65" si="152">AI51+AI63</f>
        <v>-124185</v>
      </c>
      <c r="AJ65" s="19">
        <f t="shared" si="152"/>
        <v>-72804.5</v>
      </c>
      <c r="AK65" s="19">
        <f t="shared" si="152"/>
        <v>-129320</v>
      </c>
      <c r="AL65" s="19">
        <f t="shared" si="152"/>
        <v>-75369.5</v>
      </c>
      <c r="AM65" s="19">
        <f t="shared" si="152"/>
        <v>-134710.5</v>
      </c>
      <c r="AN65" s="19">
        <f t="shared" si="152"/>
        <v>-78062.5</v>
      </c>
      <c r="AO65" s="19">
        <f t="shared" si="152"/>
        <v>-140372</v>
      </c>
      <c r="AP65" s="19">
        <f t="shared" si="152"/>
        <v>-146316</v>
      </c>
      <c r="AQ65" s="19">
        <f t="shared" si="152"/>
        <v>-146315</v>
      </c>
      <c r="AR65" s="19">
        <f t="shared" si="152"/>
        <v>-152556</v>
      </c>
      <c r="AS65" s="19">
        <f t="shared" si="152"/>
        <v>-152557</v>
      </c>
      <c r="AT65" s="19">
        <f t="shared" si="152"/>
        <v>-159110</v>
      </c>
      <c r="AU65" s="19">
        <f t="shared" si="152"/>
        <v>-165989.5</v>
      </c>
      <c r="AV65" s="19">
        <f t="shared" si="152"/>
        <v>-173214.90999999992</v>
      </c>
      <c r="AW65" s="19">
        <f t="shared" si="152"/>
        <v>-180800.66</v>
      </c>
      <c r="AX65" s="19">
        <f t="shared" si="152"/>
        <v>-188766.66</v>
      </c>
      <c r="AY65" s="19">
        <f t="shared" si="152"/>
        <v>-197129.66</v>
      </c>
      <c r="AZ65" s="19">
        <f t="shared" si="152"/>
        <v>-205913.66</v>
      </c>
      <c r="BA65" s="19">
        <f t="shared" si="152"/>
        <v>-207732.21000000002</v>
      </c>
      <c r="BB65" s="19">
        <f t="shared" si="152"/>
        <v>-223814.04999999993</v>
      </c>
      <c r="BC65" s="19">
        <f t="shared" si="152"/>
        <v>-234979.99</v>
      </c>
      <c r="BD65" s="19">
        <f t="shared" si="152"/>
        <v>-245654.21000000002</v>
      </c>
      <c r="BE65" s="19">
        <f t="shared" ref="BE65" si="153">BE51+BE63</f>
        <v>-230164.16149999999</v>
      </c>
      <c r="BF65" s="19">
        <f t="shared" ref="BF65:BS65" si="154">BF51+BF63</f>
        <v>-235945.19926249995</v>
      </c>
      <c r="BG65" s="19">
        <f t="shared" si="154"/>
        <v>-241200.71863343753</v>
      </c>
      <c r="BH65" s="19">
        <f t="shared" si="154"/>
        <v>-247057.70764428913</v>
      </c>
      <c r="BI65" s="19">
        <f t="shared" si="154"/>
        <v>-251125.34773203966</v>
      </c>
      <c r="BJ65" s="19">
        <f t="shared" si="154"/>
        <v>-253950.78533514662</v>
      </c>
      <c r="BK65" s="19">
        <f t="shared" si="154"/>
        <v>-255402.68601879734</v>
      </c>
      <c r="BL65" s="19">
        <f t="shared" si="154"/>
        <v>-259819.42780958675</v>
      </c>
      <c r="BM65" s="19">
        <f t="shared" si="154"/>
        <v>-263997.41780532687</v>
      </c>
      <c r="BN65" s="19">
        <f t="shared" si="154"/>
        <v>-267986.84016040765</v>
      </c>
      <c r="BO65" s="19">
        <f t="shared" si="154"/>
        <v>-271649.43835072836</v>
      </c>
      <c r="BP65" s="19">
        <f t="shared" si="154"/>
        <v>-275241.15420899884</v>
      </c>
      <c r="BQ65" s="19">
        <f t="shared" si="154"/>
        <v>-278966.96876192308</v>
      </c>
      <c r="BR65" s="19">
        <f t="shared" si="154"/>
        <v>-283090.71824197011</v>
      </c>
      <c r="BS65" s="19">
        <f t="shared" si="154"/>
        <v>-287163.1940676372</v>
      </c>
    </row>
    <row r="66" spans="1:71" ht="15">
      <c r="B66" s="22"/>
      <c r="C66" s="21"/>
      <c r="D66" s="26"/>
      <c r="E66" s="18"/>
      <c r="F66" s="17"/>
      <c r="G66" s="15"/>
      <c r="H66" s="15"/>
      <c r="I66" s="15"/>
      <c r="J66" s="15"/>
      <c r="K66" s="16"/>
      <c r="L66" s="15"/>
      <c r="M66" s="14"/>
      <c r="O66" s="9"/>
      <c r="P66" s="9"/>
      <c r="Q66" s="9"/>
      <c r="R66" s="9"/>
      <c r="S66" s="9"/>
      <c r="T66" s="9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9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</row>
    <row r="67" spans="1:71" s="29" customFormat="1" ht="24">
      <c r="B67" s="38" t="s">
        <v>198</v>
      </c>
      <c r="C67" s="31"/>
      <c r="D67" s="31"/>
      <c r="E67" s="37"/>
      <c r="F67" s="31"/>
      <c r="G67" s="36"/>
      <c r="H67" s="36"/>
      <c r="I67" s="36"/>
      <c r="J67" s="36"/>
      <c r="K67" s="36"/>
      <c r="L67" s="36"/>
      <c r="M67" s="31"/>
      <c r="N67" s="35"/>
      <c r="O67" s="32"/>
      <c r="P67" s="31"/>
      <c r="Q67" s="31"/>
      <c r="R67" s="31"/>
      <c r="S67" s="34"/>
      <c r="T67" s="32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3"/>
      <c r="AH67" s="32"/>
      <c r="AI67" s="31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</row>
    <row r="68" spans="1:71" ht="15" outlineLevel="1">
      <c r="A68" s="23"/>
      <c r="B68" s="22"/>
      <c r="C68" s="21" t="s">
        <v>49</v>
      </c>
      <c r="D68" s="20"/>
      <c r="E68" s="18"/>
      <c r="F68" s="17"/>
      <c r="G68" s="15"/>
      <c r="H68" s="15"/>
      <c r="I68" s="15"/>
      <c r="J68" s="15"/>
      <c r="K68" s="16"/>
      <c r="L68" s="15"/>
      <c r="M68" s="14"/>
      <c r="O68" s="9"/>
      <c r="P68" s="19">
        <f>SUM(P69:P83)</f>
        <v>5635256</v>
      </c>
      <c r="Q68" s="19">
        <f>SUM(Q69:Q83)</f>
        <v>2375957.4106040625</v>
      </c>
      <c r="R68" s="19">
        <f>SUM(R69:R83)</f>
        <v>-819494.27553279139</v>
      </c>
      <c r="S68" s="9"/>
      <c r="T68" s="9"/>
      <c r="U68" s="19">
        <f t="shared" ref="U68:AF68" si="155">SUM(U69:U83)</f>
        <v>8171102.5</v>
      </c>
      <c r="V68" s="19">
        <f t="shared" si="155"/>
        <v>7469968.5</v>
      </c>
      <c r="W68" s="19">
        <f t="shared" si="155"/>
        <v>6585150.5</v>
      </c>
      <c r="X68" s="19">
        <f t="shared" si="155"/>
        <v>5635256</v>
      </c>
      <c r="Y68" s="19">
        <f t="shared" si="155"/>
        <v>4554849.7499999991</v>
      </c>
      <c r="Z68" s="19">
        <f t="shared" si="155"/>
        <v>3331755.8899999997</v>
      </c>
      <c r="AA68" s="19">
        <f t="shared" si="155"/>
        <v>1926390.26</v>
      </c>
      <c r="AB68" s="19">
        <f t="shared" si="155"/>
        <v>2375957.4106040625</v>
      </c>
      <c r="AC68" s="19">
        <f t="shared" si="155"/>
        <v>1623823.5698925864</v>
      </c>
      <c r="AD68" s="19">
        <f t="shared" si="155"/>
        <v>844604.03825887502</v>
      </c>
      <c r="AE68" s="19">
        <f t="shared" si="155"/>
        <v>29726.605538739357</v>
      </c>
      <c r="AF68" s="19">
        <f t="shared" si="155"/>
        <v>-819494.27553279139</v>
      </c>
      <c r="AH68" s="9"/>
      <c r="AI68" s="19">
        <f t="shared" ref="AI68:BD68" si="156">IF(AI$5&lt;=LatestMonthOfActuals,SUMIFS(AI69:AI83,$K69:$K83,"Account"),SUMIFS(AI69:AI83,$K69:$K83,"&lt;&gt;Sub-Account"))</f>
        <v>4443756</v>
      </c>
      <c r="AJ68" s="19">
        <f t="shared" si="156"/>
        <v>4370951.5</v>
      </c>
      <c r="AK68" s="19">
        <f t="shared" si="156"/>
        <v>4241631.5</v>
      </c>
      <c r="AL68" s="19">
        <f t="shared" si="156"/>
        <v>4166262</v>
      </c>
      <c r="AM68" s="19">
        <f t="shared" si="156"/>
        <v>4031551.5</v>
      </c>
      <c r="AN68" s="19">
        <f t="shared" si="156"/>
        <v>3953489</v>
      </c>
      <c r="AO68" s="19">
        <f t="shared" si="156"/>
        <v>3813117</v>
      </c>
      <c r="AP68" s="19">
        <f t="shared" si="156"/>
        <v>3666801</v>
      </c>
      <c r="AQ68" s="19">
        <f t="shared" si="156"/>
        <v>3520486</v>
      </c>
      <c r="AR68" s="19">
        <f t="shared" si="156"/>
        <v>3367930</v>
      </c>
      <c r="AS68" s="19">
        <f t="shared" si="156"/>
        <v>3215373</v>
      </c>
      <c r="AT68" s="19">
        <f t="shared" si="156"/>
        <v>3056263</v>
      </c>
      <c r="AU68" s="19">
        <f t="shared" si="156"/>
        <v>2890273.5</v>
      </c>
      <c r="AV68" s="19">
        <f t="shared" si="156"/>
        <v>2717058.59</v>
      </c>
      <c r="AW68" s="19">
        <f t="shared" si="156"/>
        <v>2536257.9299999997</v>
      </c>
      <c r="AX68" s="19">
        <f t="shared" si="156"/>
        <v>2347491.27</v>
      </c>
      <c r="AY68" s="19">
        <f t="shared" si="156"/>
        <v>2150361.6100000003</v>
      </c>
      <c r="AZ68" s="19">
        <f t="shared" si="156"/>
        <v>1944447.95</v>
      </c>
      <c r="BA68" s="19">
        <f t="shared" si="156"/>
        <v>1737715.74</v>
      </c>
      <c r="BB68" s="19">
        <f t="shared" si="156"/>
        <v>1513901.69</v>
      </c>
      <c r="BC68" s="19">
        <f t="shared" si="156"/>
        <v>1278921.7</v>
      </c>
      <c r="BD68" s="19">
        <f t="shared" si="156"/>
        <v>1033267.4900000002</v>
      </c>
      <c r="BE68" s="19">
        <f t="shared" ref="BE68" si="157">IF(BE$5&lt;=LatestMonthOfActuals,SUMIFS(BE69:BE83,$K69:$K83,"Account"),SUMIFS(BE69:BE83,$K69:$K83,"&lt;&gt;Sub-Account"))</f>
        <v>1853103.3285000003</v>
      </c>
      <c r="BF68" s="19">
        <f t="shared" ref="BF68:BS68" si="158">IF(BF$5&lt;=LatestMonthOfActuals,SUMIFS(BF69:BF83,$K69:$K83,"Account"),SUMIFS(BF69:BF83,$K69:$K83,"&lt;&gt;Sub-Account"))</f>
        <v>1617158.1292374998</v>
      </c>
      <c r="BG68" s="19">
        <f t="shared" si="158"/>
        <v>2375957.4106040625</v>
      </c>
      <c r="BH68" s="19">
        <f t="shared" si="158"/>
        <v>2128899.7029597731</v>
      </c>
      <c r="BI68" s="19">
        <f t="shared" si="158"/>
        <v>1877774.3552277335</v>
      </c>
      <c r="BJ68" s="19">
        <f t="shared" si="158"/>
        <v>1623823.5698925864</v>
      </c>
      <c r="BK68" s="19">
        <f t="shared" si="158"/>
        <v>1368420.8838737889</v>
      </c>
      <c r="BL68" s="19">
        <f t="shared" si="158"/>
        <v>1108601.4560642019</v>
      </c>
      <c r="BM68" s="19">
        <f t="shared" si="158"/>
        <v>844604.03825887502</v>
      </c>
      <c r="BN68" s="19">
        <f t="shared" si="158"/>
        <v>576617.1980984672</v>
      </c>
      <c r="BO68" s="19">
        <f t="shared" si="158"/>
        <v>304967.75974773848</v>
      </c>
      <c r="BP68" s="19">
        <f t="shared" si="158"/>
        <v>29726.605538739357</v>
      </c>
      <c r="BQ68" s="19">
        <f t="shared" si="158"/>
        <v>-249240.36322318431</v>
      </c>
      <c r="BR68" s="19">
        <f t="shared" si="158"/>
        <v>-532331.08146515395</v>
      </c>
      <c r="BS68" s="19">
        <f t="shared" si="158"/>
        <v>-819494.27553279139</v>
      </c>
    </row>
    <row r="69" spans="1:71" ht="6" customHeight="1" outlineLevel="2">
      <c r="B69" s="22"/>
      <c r="C69" s="21"/>
      <c r="D69" s="28"/>
      <c r="E69" s="18"/>
      <c r="F69" s="17"/>
      <c r="G69" s="15"/>
      <c r="H69" s="15"/>
      <c r="I69" s="15"/>
      <c r="J69" s="15"/>
      <c r="K69" s="16"/>
      <c r="L69" s="15"/>
      <c r="M69" s="14"/>
      <c r="O69" s="9"/>
      <c r="P69" s="27"/>
      <c r="Q69" s="27"/>
      <c r="R69" s="27"/>
      <c r="S69" s="24"/>
      <c r="T69" s="24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5"/>
      <c r="AH69" s="9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</row>
    <row r="70" spans="1:71" ht="15" outlineLevel="2">
      <c r="B70" s="22"/>
      <c r="C70" s="21"/>
      <c r="D70" s="26" t="s">
        <v>199</v>
      </c>
      <c r="E70" s="18"/>
      <c r="F70" s="17"/>
      <c r="G70" s="15"/>
      <c r="H70" s="15"/>
      <c r="I70" s="15"/>
      <c r="J70" s="15">
        <f>IFERROR(INDEX(PBC_ACCOUNT_LIST[Cash Flow Section],MATCH(Drivers!L70,PBC_ACCOUNT_LIST[Id],0)),"")</f>
        <v>0</v>
      </c>
      <c r="K70" s="16"/>
      <c r="L70" s="15">
        <v>1150040000</v>
      </c>
      <c r="M70" s="14"/>
      <c r="O70" s="9"/>
      <c r="P70" s="27">
        <f t="shared" ref="P70:R82" si="159">INDEX($AI70:$BS70,MATCH(P$5,$AI$5:$BS$5,0))</f>
        <v>2744982.5</v>
      </c>
      <c r="Q70" s="27">
        <f t="shared" si="159"/>
        <v>0</v>
      </c>
      <c r="R70" s="27">
        <f t="shared" si="159"/>
        <v>0</v>
      </c>
      <c r="S70" s="27"/>
      <c r="T70" s="27"/>
      <c r="U70" s="27">
        <f t="shared" ref="U70:AF82" si="160">INDEX($AI70:$BS70,MATCH(U$5,$AI$5:$BS$5,0))</f>
        <v>4004840.5</v>
      </c>
      <c r="V70" s="27">
        <f t="shared" si="160"/>
        <v>3656851.5</v>
      </c>
      <c r="W70" s="27">
        <f t="shared" si="160"/>
        <v>3217220.5</v>
      </c>
      <c r="X70" s="27">
        <f t="shared" si="160"/>
        <v>2744982.5</v>
      </c>
      <c r="Y70" s="27">
        <f t="shared" si="160"/>
        <v>2207358.48</v>
      </c>
      <c r="Z70" s="27">
        <f t="shared" si="160"/>
        <v>1594040.15</v>
      </c>
      <c r="AA70" s="27">
        <f t="shared" si="160"/>
        <v>893122.77</v>
      </c>
      <c r="AB70" s="27">
        <f t="shared" si="160"/>
        <v>0</v>
      </c>
      <c r="AC70" s="27">
        <f t="shared" si="160"/>
        <v>0</v>
      </c>
      <c r="AD70" s="27">
        <f t="shared" si="160"/>
        <v>0</v>
      </c>
      <c r="AE70" s="27">
        <f t="shared" si="160"/>
        <v>0</v>
      </c>
      <c r="AF70" s="27">
        <f t="shared" si="160"/>
        <v>0</v>
      </c>
      <c r="AG70" s="112"/>
      <c r="AH70" s="113"/>
      <c r="AI70" s="27">
        <f>SUMIFS(PBC_BALANCE_SHEET[AccountBalance], PBC_BALANCE_SHEET[Id],$L70,PBC_BALANCE_SHEET[Date],AI$5)</f>
        <v>4285000.5</v>
      </c>
      <c r="AJ70" s="27">
        <f>SUMIFS(PBC_BALANCE_SHEET[AccountBalance], PBC_BALANCE_SHEET[Id],$L70,PBC_BALANCE_SHEET[Date],AJ$5)</f>
        <v>4191288.5</v>
      </c>
      <c r="AK70" s="27">
        <f>SUMIFS(PBC_BALANCE_SHEET[AccountBalance], PBC_BALANCE_SHEET[Id],$L70,PBC_BALANCE_SHEET[Date],AK$5)</f>
        <v>4076334.5</v>
      </c>
      <c r="AL70" s="27">
        <f>SUMIFS(PBC_BALANCE_SHEET[AccountBalance], PBC_BALANCE_SHEET[Id],$L70,PBC_BALANCE_SHEET[Date],AL$5)</f>
        <v>4004840.5</v>
      </c>
      <c r="AM70" s="27">
        <f>SUMIFS(PBC_BALANCE_SHEET[AccountBalance], PBC_BALANCE_SHEET[Id],$L70,PBC_BALANCE_SHEET[Date],AM$5)</f>
        <v>3870793.5</v>
      </c>
      <c r="AN70" s="27">
        <f>SUMIFS(PBC_BALANCE_SHEET[AccountBalance], PBC_BALANCE_SHEET[Id],$L70,PBC_BALANCE_SHEET[Date],AN$5)</f>
        <v>3794994.5</v>
      </c>
      <c r="AO70" s="27">
        <f>SUMIFS(PBC_BALANCE_SHEET[AccountBalance], PBC_BALANCE_SHEET[Id],$L70,PBC_BALANCE_SHEET[Date],AO$5)</f>
        <v>3656851.5</v>
      </c>
      <c r="AP70" s="27">
        <f>SUMIFS(PBC_BALANCE_SHEET[AccountBalance], PBC_BALANCE_SHEET[Id],$L70,PBC_BALANCE_SHEET[Date],AP$5)</f>
        <v>3512188.5</v>
      </c>
      <c r="AQ70" s="27">
        <f>SUMIFS(PBC_BALANCE_SHEET[AccountBalance], PBC_BALANCE_SHEET[Id],$L70,PBC_BALANCE_SHEET[Date],AQ$5)</f>
        <v>3367871.5</v>
      </c>
      <c r="AR70" s="27">
        <f>SUMIFS(PBC_BALANCE_SHEET[AccountBalance], PBC_BALANCE_SHEET[Id],$L70,PBC_BALANCE_SHEET[Date],AR$5)</f>
        <v>3217220.5</v>
      </c>
      <c r="AS70" s="27">
        <f>SUMIFS(PBC_BALANCE_SHEET[AccountBalance], PBC_BALANCE_SHEET[Id],$L70,PBC_BALANCE_SHEET[Date],AS$5)</f>
        <v>3066455.5</v>
      </c>
      <c r="AT70" s="27">
        <f>SUMIFS(PBC_BALANCE_SHEET[AccountBalance], PBC_BALANCE_SHEET[Id],$L70,PBC_BALANCE_SHEET[Date],AT$5)</f>
        <v>2909186.5</v>
      </c>
      <c r="AU70" s="27">
        <f>SUMIFS(PBC_BALANCE_SHEET[AccountBalance], PBC_BALANCE_SHEET[Id],$L70,PBC_BALANCE_SHEET[Date],AU$5)</f>
        <v>2744982.5</v>
      </c>
      <c r="AV70" s="27">
        <f>SUMIFS(PBC_BALANCE_SHEET[AccountBalance], PBC_BALANCE_SHEET[Id],$L70,PBC_BALANCE_SHEET[Date],AV$5)</f>
        <v>2573511.48</v>
      </c>
      <c r="AW70" s="27">
        <f>SUMIFS(PBC_BALANCE_SHEET[AccountBalance], PBC_BALANCE_SHEET[Id],$L70,PBC_BALANCE_SHEET[Date],AW$5)</f>
        <v>2394437.48</v>
      </c>
      <c r="AX70" s="27">
        <f>SUMIFS(PBC_BALANCE_SHEET[AccountBalance], PBC_BALANCE_SHEET[Id],$L70,PBC_BALANCE_SHEET[Date],AX$5)</f>
        <v>2207358.48</v>
      </c>
      <c r="AY70" s="27">
        <f>SUMIFS(PBC_BALANCE_SHEET[AccountBalance], PBC_BALANCE_SHEET[Id],$L70,PBC_BALANCE_SHEET[Date],AY$5)</f>
        <v>2011881.48</v>
      </c>
      <c r="AZ70" s="27">
        <f>SUMIFS(PBC_BALANCE_SHEET[AccountBalance], PBC_BALANCE_SHEET[Id],$L70,PBC_BALANCE_SHEET[Date],AZ$5)</f>
        <v>1807588.48</v>
      </c>
      <c r="BA70" s="27">
        <f>SUMIFS(PBC_BALANCE_SHEET[AccountBalance], PBC_BALANCE_SHEET[Id],$L70,PBC_BALANCE_SHEET[Date],BA$5)</f>
        <v>1594040.15</v>
      </c>
      <c r="BB70" s="27">
        <f>SUMIFS(PBC_BALANCE_SHEET[AccountBalance], PBC_BALANCE_SHEET[Id],$L70,PBC_BALANCE_SHEET[Date],BB$5)</f>
        <v>1370773.78</v>
      </c>
      <c r="BC70" s="27">
        <f>SUMIFS(PBC_BALANCE_SHEET[AccountBalance], PBC_BALANCE_SHEET[Id],$L70,PBC_BALANCE_SHEET[Date],BC$5)</f>
        <v>1137304.6599999999</v>
      </c>
      <c r="BD70" s="27">
        <f>SUMIFS(PBC_BALANCE_SHEET[AccountBalance], PBC_BALANCE_SHEET[Id],$L70,PBC_BALANCE_SHEET[Date],BD$5)</f>
        <v>893122.77</v>
      </c>
      <c r="BE70" s="114">
        <v>0</v>
      </c>
      <c r="BF70" s="114">
        <v>0</v>
      </c>
      <c r="BG70" s="114">
        <v>0</v>
      </c>
      <c r="BH70" s="114">
        <v>0</v>
      </c>
      <c r="BI70" s="114">
        <v>0</v>
      </c>
      <c r="BJ70" s="114">
        <v>0</v>
      </c>
      <c r="BK70" s="114">
        <v>0</v>
      </c>
      <c r="BL70" s="114">
        <v>0</v>
      </c>
      <c r="BM70" s="114">
        <v>0</v>
      </c>
      <c r="BN70" s="114">
        <v>0</v>
      </c>
      <c r="BO70" s="114">
        <v>0</v>
      </c>
      <c r="BP70" s="114">
        <v>0</v>
      </c>
      <c r="BQ70" s="114">
        <v>0</v>
      </c>
      <c r="BR70" s="114">
        <v>0</v>
      </c>
      <c r="BS70" s="114">
        <v>0</v>
      </c>
    </row>
    <row r="71" spans="1:71" ht="15" outlineLevel="2">
      <c r="B71" s="22"/>
      <c r="C71" s="21"/>
      <c r="D71" s="26" t="s">
        <v>200</v>
      </c>
      <c r="E71" s="118" t="s">
        <v>201</v>
      </c>
      <c r="F71" s="17"/>
      <c r="G71" s="15" t="s">
        <v>49</v>
      </c>
      <c r="H71" s="15" t="s">
        <v>50</v>
      </c>
      <c r="I71" s="15"/>
      <c r="J71" s="15"/>
      <c r="K71" s="16" t="s">
        <v>159</v>
      </c>
      <c r="L71" s="15" t="s">
        <v>202</v>
      </c>
      <c r="M71" s="14"/>
      <c r="O71" s="9"/>
      <c r="P71" s="27">
        <f t="shared" si="159"/>
        <v>2744982.5</v>
      </c>
      <c r="Q71" s="27">
        <f t="shared" si="159"/>
        <v>2245812.6906040623</v>
      </c>
      <c r="R71" s="27">
        <f t="shared" si="159"/>
        <v>-949638.99553279136</v>
      </c>
      <c r="S71" s="27"/>
      <c r="T71" s="27"/>
      <c r="U71" s="27">
        <f t="shared" si="160"/>
        <v>4004840.5</v>
      </c>
      <c r="V71" s="27">
        <f t="shared" si="160"/>
        <v>3656851.5</v>
      </c>
      <c r="W71" s="27">
        <f t="shared" si="160"/>
        <v>3217220.5</v>
      </c>
      <c r="X71" s="27">
        <f t="shared" si="160"/>
        <v>2744982.5</v>
      </c>
      <c r="Y71" s="27">
        <f t="shared" si="160"/>
        <v>2207358.48</v>
      </c>
      <c r="Z71" s="27">
        <f t="shared" si="160"/>
        <v>1594040.15</v>
      </c>
      <c r="AA71" s="27">
        <f t="shared" si="160"/>
        <v>893122.77</v>
      </c>
      <c r="AB71" s="27">
        <f t="shared" si="160"/>
        <v>2245812.6906040623</v>
      </c>
      <c r="AC71" s="27">
        <f t="shared" si="160"/>
        <v>1493678.8498925865</v>
      </c>
      <c r="AD71" s="27">
        <f t="shared" si="160"/>
        <v>714459.31825887505</v>
      </c>
      <c r="AE71" s="27">
        <f t="shared" si="160"/>
        <v>-100418.11446126064</v>
      </c>
      <c r="AF71" s="27">
        <f t="shared" si="160"/>
        <v>-949638.99553279136</v>
      </c>
      <c r="AG71" s="112"/>
      <c r="AH71" s="113"/>
      <c r="AI71" s="27">
        <f>SUMIFS(AI$72:AI$103,$G$72:$G$103,"Liabilities")+SUMIFS(AI$72:AI$103,$G$72:$G$103,"Owners Equity")-SUMIFS(AI$72:AI$103,$G$72:$G$103,"Assets")</f>
        <v>4285000.5</v>
      </c>
      <c r="AJ71" s="27">
        <f t="shared" ref="AJ71:BS71" si="161">SUMIFS(AJ$72:AJ$103,$G$72:$G$103,"Liabilities")+SUMIFS(AJ$72:AJ$103,$G$72:$G$103,"Owners Equity")-SUMIFS(AJ$72:AJ$103,$G$72:$G$103,"Assets")</f>
        <v>4191288.5</v>
      </c>
      <c r="AK71" s="27">
        <f t="shared" si="161"/>
        <v>4076334.5</v>
      </c>
      <c r="AL71" s="27">
        <f t="shared" si="161"/>
        <v>4004840.5</v>
      </c>
      <c r="AM71" s="27">
        <f t="shared" si="161"/>
        <v>3870793.5</v>
      </c>
      <c r="AN71" s="27">
        <f t="shared" si="161"/>
        <v>3794994.5</v>
      </c>
      <c r="AO71" s="27">
        <f t="shared" si="161"/>
        <v>3656851.5</v>
      </c>
      <c r="AP71" s="27">
        <f t="shared" si="161"/>
        <v>3512188.5</v>
      </c>
      <c r="AQ71" s="27">
        <f t="shared" si="161"/>
        <v>3367871.5</v>
      </c>
      <c r="AR71" s="27">
        <f t="shared" si="161"/>
        <v>3217220.5</v>
      </c>
      <c r="AS71" s="27">
        <f t="shared" si="161"/>
        <v>3066455.5</v>
      </c>
      <c r="AT71" s="27">
        <f t="shared" si="161"/>
        <v>2909186.5</v>
      </c>
      <c r="AU71" s="27">
        <f t="shared" si="161"/>
        <v>2744982.5</v>
      </c>
      <c r="AV71" s="27">
        <f t="shared" si="161"/>
        <v>2573511.48</v>
      </c>
      <c r="AW71" s="27">
        <f t="shared" si="161"/>
        <v>2394437.4799999995</v>
      </c>
      <c r="AX71" s="27">
        <f t="shared" si="161"/>
        <v>2207358.48</v>
      </c>
      <c r="AY71" s="27">
        <f t="shared" si="161"/>
        <v>2011881.48</v>
      </c>
      <c r="AZ71" s="27">
        <f t="shared" si="161"/>
        <v>1807588.48</v>
      </c>
      <c r="BA71" s="27">
        <f t="shared" si="161"/>
        <v>1594040.15</v>
      </c>
      <c r="BB71" s="27">
        <f t="shared" si="161"/>
        <v>1370773.78</v>
      </c>
      <c r="BC71" s="27">
        <f t="shared" si="161"/>
        <v>1137304.6599999999</v>
      </c>
      <c r="BD71" s="27">
        <f t="shared" si="161"/>
        <v>893122.77</v>
      </c>
      <c r="BE71" s="27">
        <f t="shared" si="161"/>
        <v>1722958.6085000003</v>
      </c>
      <c r="BF71" s="27">
        <f t="shared" si="161"/>
        <v>1487013.4092374998</v>
      </c>
      <c r="BG71" s="27">
        <f t="shared" si="161"/>
        <v>2245812.6906040623</v>
      </c>
      <c r="BH71" s="27">
        <f t="shared" si="161"/>
        <v>1998754.9829597732</v>
      </c>
      <c r="BI71" s="27">
        <f t="shared" si="161"/>
        <v>1747629.6352277335</v>
      </c>
      <c r="BJ71" s="27">
        <f t="shared" si="161"/>
        <v>1493678.8498925865</v>
      </c>
      <c r="BK71" s="27">
        <f t="shared" si="161"/>
        <v>1238276.1638737889</v>
      </c>
      <c r="BL71" s="27">
        <f t="shared" si="161"/>
        <v>978456.73606420192</v>
      </c>
      <c r="BM71" s="27">
        <f t="shared" si="161"/>
        <v>714459.31825887505</v>
      </c>
      <c r="BN71" s="27">
        <f t="shared" si="161"/>
        <v>446472.47809846723</v>
      </c>
      <c r="BO71" s="27">
        <f t="shared" si="161"/>
        <v>174823.03974773848</v>
      </c>
      <c r="BP71" s="27">
        <f t="shared" si="161"/>
        <v>-100418.11446126064</v>
      </c>
      <c r="BQ71" s="27">
        <f t="shared" si="161"/>
        <v>-379385.08322318434</v>
      </c>
      <c r="BR71" s="27">
        <f t="shared" si="161"/>
        <v>-662475.80146515393</v>
      </c>
      <c r="BS71" s="27">
        <f t="shared" si="161"/>
        <v>-949638.99553279136</v>
      </c>
    </row>
    <row r="72" spans="1:71" ht="15" outlineLevel="2">
      <c r="B72" s="22"/>
      <c r="C72" s="21"/>
      <c r="D72" s="26" t="s">
        <v>203</v>
      </c>
      <c r="E72" s="18" t="s">
        <v>204</v>
      </c>
      <c r="F72" s="17"/>
      <c r="G72" s="15" t="str">
        <f>IFERROR(INDEX(PBC_ACCOUNT_LIST[Drivers Section],MATCH(Drivers!L72,PBC_ACCOUNT_LIST[Id],0)),"")</f>
        <v>Assets</v>
      </c>
      <c r="H72" s="15" t="str">
        <f>IFERROR(INDEX(PBC_ACCOUNT_LIST[Summary Grouping],MATCH(Drivers!L72,PBC_ACCOUNT_LIST[Id],0)),"")</f>
        <v>Accounts Receivable</v>
      </c>
      <c r="I72" s="15" t="str">
        <f>H72</f>
        <v>Accounts Receivable</v>
      </c>
      <c r="J72" s="15" t="str">
        <f>IFERROR(INDEX(PBC_ACCOUNT_LIST[Cash Flow Section],MATCH(Drivers!L72,PBC_ACCOUNT_LIST[Id],0)),"")</f>
        <v>Cash from Operating Activities</v>
      </c>
      <c r="K72" s="16" t="s">
        <v>159</v>
      </c>
      <c r="L72" s="15">
        <v>8</v>
      </c>
      <c r="M72" s="14"/>
      <c r="O72" s="9"/>
      <c r="P72" s="27">
        <f t="shared" si="159"/>
        <v>52314</v>
      </c>
      <c r="Q72" s="27">
        <f t="shared" si="159"/>
        <v>63923.66</v>
      </c>
      <c r="R72" s="27">
        <f t="shared" si="159"/>
        <v>63923.66</v>
      </c>
      <c r="S72" s="27"/>
      <c r="T72" s="27"/>
      <c r="U72" s="27">
        <f t="shared" si="160"/>
        <v>40987</v>
      </c>
      <c r="V72" s="27">
        <f t="shared" si="160"/>
        <v>44983</v>
      </c>
      <c r="W72" s="27">
        <f t="shared" si="160"/>
        <v>48580</v>
      </c>
      <c r="X72" s="27">
        <f t="shared" si="160"/>
        <v>52314</v>
      </c>
      <c r="Y72" s="27">
        <f t="shared" si="160"/>
        <v>56307.77</v>
      </c>
      <c r="Z72" s="27">
        <f t="shared" si="160"/>
        <v>69302.55</v>
      </c>
      <c r="AA72" s="27">
        <f t="shared" si="160"/>
        <v>73923.66</v>
      </c>
      <c r="AB72" s="27">
        <f t="shared" si="160"/>
        <v>63923.66</v>
      </c>
      <c r="AC72" s="27">
        <f t="shared" si="160"/>
        <v>63923.66</v>
      </c>
      <c r="AD72" s="27">
        <f t="shared" si="160"/>
        <v>63923.66</v>
      </c>
      <c r="AE72" s="27">
        <f t="shared" si="160"/>
        <v>63923.66</v>
      </c>
      <c r="AF72" s="27">
        <f t="shared" si="160"/>
        <v>63923.66</v>
      </c>
      <c r="AG72" s="112"/>
      <c r="AH72" s="113"/>
      <c r="AI72" s="27">
        <f>SUMIFS(PBC_BALANCE_SHEET[AccountBalance], PBC_BALANCE_SHEET[Id],$L72,PBC_BALANCE_SHEET[Date],AI$5)</f>
        <v>34169</v>
      </c>
      <c r="AJ72" s="27">
        <f>SUMIFS(PBC_BALANCE_SHEET[AccountBalance], PBC_BALANCE_SHEET[Id],$L72,PBC_BALANCE_SHEET[Date],AJ$5)</f>
        <v>41127</v>
      </c>
      <c r="AK72" s="27">
        <f>SUMIFS(PBC_BALANCE_SHEET[AccountBalance], PBC_BALANCE_SHEET[Id],$L72,PBC_BALANCE_SHEET[Date],AK$5)</f>
        <v>41812</v>
      </c>
      <c r="AL72" s="27">
        <f>SUMIFS(PBC_BALANCE_SHEET[AccountBalance], PBC_BALANCE_SHEET[Id],$L72,PBC_BALANCE_SHEET[Date],AL$5)</f>
        <v>40987</v>
      </c>
      <c r="AM72" s="27">
        <f>SUMIFS(PBC_BALANCE_SHEET[AccountBalance], PBC_BALANCE_SHEET[Id],$L72,PBC_BALANCE_SHEET[Date],AM$5)</f>
        <v>43374</v>
      </c>
      <c r="AN72" s="27">
        <f>SUMIFS(PBC_BALANCE_SHEET[AccountBalance], PBC_BALANCE_SHEET[Id],$L72,PBC_BALANCE_SHEET[Date],AN$5)</f>
        <v>44161</v>
      </c>
      <c r="AO72" s="27">
        <f>SUMIFS(PBC_BALANCE_SHEET[AccountBalance], PBC_BALANCE_SHEET[Id],$L72,PBC_BALANCE_SHEET[Date],AO$5)</f>
        <v>44983</v>
      </c>
      <c r="AP72" s="27">
        <f>SUMIFS(PBC_BALANCE_SHEET[AccountBalance], PBC_BALANCE_SHEET[Id],$L72,PBC_BALANCE_SHEET[Date],AP$5)</f>
        <v>46381</v>
      </c>
      <c r="AQ72" s="27">
        <f>SUMIFS(PBC_BALANCE_SHEET[AccountBalance], PBC_BALANCE_SHEET[Id],$L72,PBC_BALANCE_SHEET[Date],AQ$5)</f>
        <v>47434</v>
      </c>
      <c r="AR72" s="27">
        <f>SUMIFS(PBC_BALANCE_SHEET[AccountBalance], PBC_BALANCE_SHEET[Id],$L72,PBC_BALANCE_SHEET[Date],AR$5)</f>
        <v>48580</v>
      </c>
      <c r="AS72" s="27">
        <f>SUMIFS(PBC_BALANCE_SHEET[AccountBalance], PBC_BALANCE_SHEET[Id],$L72,PBC_BALANCE_SHEET[Date],AS$5)</f>
        <v>49839</v>
      </c>
      <c r="AT72" s="27">
        <f>SUMIFS(PBC_BALANCE_SHEET[AccountBalance], PBC_BALANCE_SHEET[Id],$L72,PBC_BALANCE_SHEET[Date],AT$5)</f>
        <v>51049</v>
      </c>
      <c r="AU72" s="27">
        <f>SUMIFS(PBC_BALANCE_SHEET[AccountBalance], PBC_BALANCE_SHEET[Id],$L72,PBC_BALANCE_SHEET[Date],AU$5)</f>
        <v>52314</v>
      </c>
      <c r="AV72" s="27">
        <f>SUMIFS(PBC_BALANCE_SHEET[AccountBalance], PBC_BALANCE_SHEET[Id],$L72,PBC_BALANCE_SHEET[Date],AV$5)</f>
        <v>53620.77</v>
      </c>
      <c r="AW72" s="27">
        <f>SUMIFS(PBC_BALANCE_SHEET[AccountBalance], PBC_BALANCE_SHEET[Id],$L72,PBC_BALANCE_SHEET[Date],AW$5)</f>
        <v>54944.77</v>
      </c>
      <c r="AX72" s="27">
        <f>SUMIFS(PBC_BALANCE_SHEET[AccountBalance], PBC_BALANCE_SHEET[Id],$L72,PBC_BALANCE_SHEET[Date],AX$5)</f>
        <v>56307.77</v>
      </c>
      <c r="AY72" s="27">
        <f>SUMIFS(PBC_BALANCE_SHEET[AccountBalance], PBC_BALANCE_SHEET[Id],$L72,PBC_BALANCE_SHEET[Date],AY$5)</f>
        <v>57705.77</v>
      </c>
      <c r="AZ72" s="27">
        <f>SUMIFS(PBC_BALANCE_SHEET[AccountBalance], PBC_BALANCE_SHEET[Id],$L72,PBC_BALANCE_SHEET[Date],AZ$5)</f>
        <v>59135.77</v>
      </c>
      <c r="BA72" s="27">
        <f>SUMIFS(PBC_BALANCE_SHEET[AccountBalance], PBC_BALANCE_SHEET[Id],$L72,PBC_BALANCE_SHEET[Date],BA$5)</f>
        <v>69302.55</v>
      </c>
      <c r="BB72" s="27">
        <f>SUMIFS(PBC_BALANCE_SHEET[AccountBalance], PBC_BALANCE_SHEET[Id],$L72,PBC_BALANCE_SHEET[Date],BB$5)</f>
        <v>70805.53</v>
      </c>
      <c r="BC72" s="27">
        <f>SUMIFS(PBC_BALANCE_SHEET[AccountBalance], PBC_BALANCE_SHEET[Id],$L72,PBC_BALANCE_SHEET[Date],BC$5)</f>
        <v>72345.320000000007</v>
      </c>
      <c r="BD72" s="27">
        <f>SUMIFS(PBC_BALANCE_SHEET[AccountBalance], PBC_BALANCE_SHEET[Id],$L72,PBC_BALANCE_SHEET[Date],BD$5)</f>
        <v>73923.66</v>
      </c>
      <c r="BE72" s="114">
        <f>BD72-10000</f>
        <v>63923.66</v>
      </c>
      <c r="BF72" s="114">
        <f t="shared" ref="BF72:BS72" si="162">BE72</f>
        <v>63923.66</v>
      </c>
      <c r="BG72" s="114">
        <f t="shared" si="162"/>
        <v>63923.66</v>
      </c>
      <c r="BH72" s="114">
        <f t="shared" si="162"/>
        <v>63923.66</v>
      </c>
      <c r="BI72" s="114">
        <f t="shared" si="162"/>
        <v>63923.66</v>
      </c>
      <c r="BJ72" s="114">
        <f t="shared" si="162"/>
        <v>63923.66</v>
      </c>
      <c r="BK72" s="114">
        <f t="shared" si="162"/>
        <v>63923.66</v>
      </c>
      <c r="BL72" s="114">
        <f t="shared" si="162"/>
        <v>63923.66</v>
      </c>
      <c r="BM72" s="114">
        <f t="shared" si="162"/>
        <v>63923.66</v>
      </c>
      <c r="BN72" s="114">
        <f t="shared" si="162"/>
        <v>63923.66</v>
      </c>
      <c r="BO72" s="114">
        <f t="shared" si="162"/>
        <v>63923.66</v>
      </c>
      <c r="BP72" s="114">
        <f t="shared" si="162"/>
        <v>63923.66</v>
      </c>
      <c r="BQ72" s="114">
        <f t="shared" si="162"/>
        <v>63923.66</v>
      </c>
      <c r="BR72" s="114">
        <f t="shared" si="162"/>
        <v>63923.66</v>
      </c>
      <c r="BS72" s="114">
        <f t="shared" si="162"/>
        <v>63923.66</v>
      </c>
    </row>
    <row r="73" spans="1:71" ht="15" outlineLevel="2">
      <c r="B73" s="22"/>
      <c r="C73" s="21"/>
      <c r="D73" s="26" t="s">
        <v>205</v>
      </c>
      <c r="E73" s="18" t="s">
        <v>204</v>
      </c>
      <c r="F73" s="17"/>
      <c r="G73" s="15" t="str">
        <f>IFERROR(INDEX(PBC_ACCOUNT_LIST[Drivers Section],MATCH(Drivers!L73,PBC_ACCOUNT_LIST[Id],0)),"")</f>
        <v>Assets</v>
      </c>
      <c r="H73" s="15" t="str">
        <f>IFERROR(INDEX(PBC_ACCOUNT_LIST[Summary Grouping],MATCH(Drivers!L73,PBC_ACCOUNT_LIST[Id],0)),"")</f>
        <v>Current Assets</v>
      </c>
      <c r="I73" s="15" t="str">
        <f t="shared" ref="I73:I82" si="163">H73</f>
        <v>Current Assets</v>
      </c>
      <c r="J73" s="15" t="str">
        <f>IFERROR(INDEX(PBC_ACCOUNT_LIST[Cash Flow Section],MATCH(Drivers!L73,PBC_ACCOUNT_LIST[Id],0)),"")</f>
        <v>Cash from Operating Activities</v>
      </c>
      <c r="K73" s="16" t="s">
        <v>159</v>
      </c>
      <c r="L73" s="15">
        <v>193</v>
      </c>
      <c r="M73" s="14"/>
      <c r="O73" s="9"/>
      <c r="P73" s="27">
        <f t="shared" si="159"/>
        <v>1119.5</v>
      </c>
      <c r="Q73" s="27">
        <f t="shared" si="159"/>
        <v>1119.5</v>
      </c>
      <c r="R73" s="27">
        <f t="shared" si="159"/>
        <v>1119.5</v>
      </c>
      <c r="S73" s="27"/>
      <c r="T73" s="27"/>
      <c r="U73" s="27">
        <f t="shared" si="160"/>
        <v>1119.5</v>
      </c>
      <c r="V73" s="27">
        <f t="shared" si="160"/>
        <v>1119.5</v>
      </c>
      <c r="W73" s="27">
        <f t="shared" si="160"/>
        <v>1119.5</v>
      </c>
      <c r="X73" s="27">
        <f t="shared" si="160"/>
        <v>1119.5</v>
      </c>
      <c r="Y73" s="27">
        <f t="shared" si="160"/>
        <v>1119.5</v>
      </c>
      <c r="Z73" s="27">
        <f t="shared" si="160"/>
        <v>1119.5</v>
      </c>
      <c r="AA73" s="27">
        <f t="shared" si="160"/>
        <v>1119.5</v>
      </c>
      <c r="AB73" s="27">
        <f t="shared" si="160"/>
        <v>1119.5</v>
      </c>
      <c r="AC73" s="27">
        <f t="shared" si="160"/>
        <v>1119.5</v>
      </c>
      <c r="AD73" s="27">
        <f t="shared" si="160"/>
        <v>1119.5</v>
      </c>
      <c r="AE73" s="27">
        <f t="shared" si="160"/>
        <v>1119.5</v>
      </c>
      <c r="AF73" s="27">
        <f t="shared" si="160"/>
        <v>1119.5</v>
      </c>
      <c r="AG73" s="112"/>
      <c r="AH73" s="113"/>
      <c r="AI73" s="27">
        <f>SUMIFS(PBC_BALANCE_SHEET[AccountBalance], PBC_BALANCE_SHEET[Id],$L73,PBC_BALANCE_SHEET[Date],AI$5)</f>
        <v>1119.5</v>
      </c>
      <c r="AJ73" s="27">
        <f>SUMIFS(PBC_BALANCE_SHEET[AccountBalance], PBC_BALANCE_SHEET[Id],$L73,PBC_BALANCE_SHEET[Date],AJ$5)</f>
        <v>1119.5</v>
      </c>
      <c r="AK73" s="27">
        <f>SUMIFS(PBC_BALANCE_SHEET[AccountBalance], PBC_BALANCE_SHEET[Id],$L73,PBC_BALANCE_SHEET[Date],AK$5)</f>
        <v>1119.5</v>
      </c>
      <c r="AL73" s="27">
        <f>SUMIFS(PBC_BALANCE_SHEET[AccountBalance], PBC_BALANCE_SHEET[Id],$L73,PBC_BALANCE_SHEET[Date],AL$5)</f>
        <v>1119.5</v>
      </c>
      <c r="AM73" s="27">
        <f>SUMIFS(PBC_BALANCE_SHEET[AccountBalance], PBC_BALANCE_SHEET[Id],$L73,PBC_BALANCE_SHEET[Date],AM$5)</f>
        <v>1119.5</v>
      </c>
      <c r="AN73" s="27">
        <f>SUMIFS(PBC_BALANCE_SHEET[AccountBalance], PBC_BALANCE_SHEET[Id],$L73,PBC_BALANCE_SHEET[Date],AN$5)</f>
        <v>1119.5</v>
      </c>
      <c r="AO73" s="27">
        <f>SUMIFS(PBC_BALANCE_SHEET[AccountBalance], PBC_BALANCE_SHEET[Id],$L73,PBC_BALANCE_SHEET[Date],AO$5)</f>
        <v>1119.5</v>
      </c>
      <c r="AP73" s="27">
        <f>SUMIFS(PBC_BALANCE_SHEET[AccountBalance], PBC_BALANCE_SHEET[Id],$L73,PBC_BALANCE_SHEET[Date],AP$5)</f>
        <v>1119.5</v>
      </c>
      <c r="AQ73" s="27">
        <f>SUMIFS(PBC_BALANCE_SHEET[AccountBalance], PBC_BALANCE_SHEET[Id],$L73,PBC_BALANCE_SHEET[Date],AQ$5)</f>
        <v>1119.5</v>
      </c>
      <c r="AR73" s="27">
        <f>SUMIFS(PBC_BALANCE_SHEET[AccountBalance], PBC_BALANCE_SHEET[Id],$L73,PBC_BALANCE_SHEET[Date],AR$5)</f>
        <v>1119.5</v>
      </c>
      <c r="AS73" s="27">
        <f>SUMIFS(PBC_BALANCE_SHEET[AccountBalance], PBC_BALANCE_SHEET[Id],$L73,PBC_BALANCE_SHEET[Date],AS$5)</f>
        <v>1119.5</v>
      </c>
      <c r="AT73" s="27">
        <f>SUMIFS(PBC_BALANCE_SHEET[AccountBalance], PBC_BALANCE_SHEET[Id],$L73,PBC_BALANCE_SHEET[Date],AT$5)</f>
        <v>1119.5</v>
      </c>
      <c r="AU73" s="27">
        <f>SUMIFS(PBC_BALANCE_SHEET[AccountBalance], PBC_BALANCE_SHEET[Id],$L73,PBC_BALANCE_SHEET[Date],AU$5)</f>
        <v>1119.5</v>
      </c>
      <c r="AV73" s="27">
        <f>SUMIFS(PBC_BALANCE_SHEET[AccountBalance], PBC_BALANCE_SHEET[Id],$L73,PBC_BALANCE_SHEET[Date],AV$5)</f>
        <v>1119.5</v>
      </c>
      <c r="AW73" s="27">
        <f>SUMIFS(PBC_BALANCE_SHEET[AccountBalance], PBC_BALANCE_SHEET[Id],$L73,PBC_BALANCE_SHEET[Date],AW$5)</f>
        <v>1119.5</v>
      </c>
      <c r="AX73" s="27">
        <f>SUMIFS(PBC_BALANCE_SHEET[AccountBalance], PBC_BALANCE_SHEET[Id],$L73,PBC_BALANCE_SHEET[Date],AX$5)</f>
        <v>1119.5</v>
      </c>
      <c r="AY73" s="27">
        <f>SUMIFS(PBC_BALANCE_SHEET[AccountBalance], PBC_BALANCE_SHEET[Id],$L73,PBC_BALANCE_SHEET[Date],AY$5)</f>
        <v>1119.5</v>
      </c>
      <c r="AZ73" s="27">
        <f>SUMIFS(PBC_BALANCE_SHEET[AccountBalance], PBC_BALANCE_SHEET[Id],$L73,PBC_BALANCE_SHEET[Date],AZ$5)</f>
        <v>1119.5</v>
      </c>
      <c r="BA73" s="27">
        <f>SUMIFS(PBC_BALANCE_SHEET[AccountBalance], PBC_BALANCE_SHEET[Id],$L73,PBC_BALANCE_SHEET[Date],BA$5)</f>
        <v>1119.5</v>
      </c>
      <c r="BB73" s="27">
        <f>SUMIFS(PBC_BALANCE_SHEET[AccountBalance], PBC_BALANCE_SHEET[Id],$L73,PBC_BALANCE_SHEET[Date],BB$5)</f>
        <v>1119.5</v>
      </c>
      <c r="BC73" s="27">
        <f>SUMIFS(PBC_BALANCE_SHEET[AccountBalance], PBC_BALANCE_SHEET[Id],$L73,PBC_BALANCE_SHEET[Date],BC$5)</f>
        <v>1119.5</v>
      </c>
      <c r="BD73" s="27">
        <f>SUMIFS(PBC_BALANCE_SHEET[AccountBalance], PBC_BALANCE_SHEET[Id],$L73,PBC_BALANCE_SHEET[Date],BD$5)</f>
        <v>1119.5</v>
      </c>
      <c r="BE73" s="114">
        <f t="shared" ref="BE73" si="164">BD73</f>
        <v>1119.5</v>
      </c>
      <c r="BF73" s="114">
        <f t="shared" ref="BF73:BS73" si="165">BE73</f>
        <v>1119.5</v>
      </c>
      <c r="BG73" s="114">
        <f t="shared" si="165"/>
        <v>1119.5</v>
      </c>
      <c r="BH73" s="114">
        <f t="shared" si="165"/>
        <v>1119.5</v>
      </c>
      <c r="BI73" s="114">
        <f t="shared" si="165"/>
        <v>1119.5</v>
      </c>
      <c r="BJ73" s="114">
        <f t="shared" si="165"/>
        <v>1119.5</v>
      </c>
      <c r="BK73" s="114">
        <f t="shared" si="165"/>
        <v>1119.5</v>
      </c>
      <c r="BL73" s="114">
        <f t="shared" si="165"/>
        <v>1119.5</v>
      </c>
      <c r="BM73" s="114">
        <f t="shared" si="165"/>
        <v>1119.5</v>
      </c>
      <c r="BN73" s="114">
        <f t="shared" si="165"/>
        <v>1119.5</v>
      </c>
      <c r="BO73" s="114">
        <f t="shared" si="165"/>
        <v>1119.5</v>
      </c>
      <c r="BP73" s="114">
        <f t="shared" si="165"/>
        <v>1119.5</v>
      </c>
      <c r="BQ73" s="114">
        <f t="shared" si="165"/>
        <v>1119.5</v>
      </c>
      <c r="BR73" s="114">
        <f t="shared" si="165"/>
        <v>1119.5</v>
      </c>
      <c r="BS73" s="114">
        <f t="shared" si="165"/>
        <v>1119.5</v>
      </c>
    </row>
    <row r="74" spans="1:71" ht="15" outlineLevel="2">
      <c r="B74" s="22"/>
      <c r="C74" s="21"/>
      <c r="D74" s="26" t="s">
        <v>206</v>
      </c>
      <c r="E74" s="18" t="s">
        <v>204</v>
      </c>
      <c r="F74" s="17"/>
      <c r="G74" s="15" t="str">
        <f>IFERROR(INDEX(PBC_ACCOUNT_LIST[Drivers Section],MATCH(Drivers!L74,PBC_ACCOUNT_LIST[Id],0)),"")</f>
        <v>Assets</v>
      </c>
      <c r="H74" s="15" t="str">
        <f>IFERROR(INDEX(PBC_ACCOUNT_LIST[Summary Grouping],MATCH(Drivers!L74,PBC_ACCOUNT_LIST[Id],0)),"")</f>
        <v>Current Assets</v>
      </c>
      <c r="I74" s="15" t="str">
        <f t="shared" si="163"/>
        <v>Current Assets</v>
      </c>
      <c r="J74" s="15" t="str">
        <f>IFERROR(INDEX(PBC_ACCOUNT_LIST[Cash Flow Section],MATCH(Drivers!L74,PBC_ACCOUNT_LIST[Id],0)),"")</f>
        <v>Cash from Operating Activities</v>
      </c>
      <c r="K74" s="16" t="s">
        <v>159</v>
      </c>
      <c r="L74" s="15">
        <v>150</v>
      </c>
      <c r="M74" s="14"/>
      <c r="O74" s="9"/>
      <c r="P74" s="27">
        <f t="shared" si="159"/>
        <v>25000</v>
      </c>
      <c r="Q74" s="27">
        <f t="shared" si="159"/>
        <v>25000</v>
      </c>
      <c r="R74" s="27">
        <f t="shared" si="159"/>
        <v>25000</v>
      </c>
      <c r="S74" s="27"/>
      <c r="T74" s="27"/>
      <c r="U74" s="27">
        <f t="shared" si="160"/>
        <v>25000</v>
      </c>
      <c r="V74" s="27">
        <f t="shared" si="160"/>
        <v>25000</v>
      </c>
      <c r="W74" s="27">
        <f t="shared" si="160"/>
        <v>25000</v>
      </c>
      <c r="X74" s="27">
        <f t="shared" si="160"/>
        <v>25000</v>
      </c>
      <c r="Y74" s="27">
        <f t="shared" si="160"/>
        <v>25000</v>
      </c>
      <c r="Z74" s="27">
        <f t="shared" si="160"/>
        <v>25000</v>
      </c>
      <c r="AA74" s="27">
        <f t="shared" si="160"/>
        <v>25000</v>
      </c>
      <c r="AB74" s="27">
        <f t="shared" si="160"/>
        <v>25000</v>
      </c>
      <c r="AC74" s="27">
        <f t="shared" si="160"/>
        <v>25000</v>
      </c>
      <c r="AD74" s="27">
        <f t="shared" si="160"/>
        <v>25000</v>
      </c>
      <c r="AE74" s="27">
        <f t="shared" si="160"/>
        <v>25000</v>
      </c>
      <c r="AF74" s="27">
        <f t="shared" si="160"/>
        <v>25000</v>
      </c>
      <c r="AG74" s="112"/>
      <c r="AH74" s="113"/>
      <c r="AI74" s="27">
        <f>SUMIFS(PBC_BALANCE_SHEET[AccountBalance], PBC_BALANCE_SHEET[Id],$L74,PBC_BALANCE_SHEET[Date],AI$5)</f>
        <v>25000</v>
      </c>
      <c r="AJ74" s="27">
        <f>SUMIFS(PBC_BALANCE_SHEET[AccountBalance], PBC_BALANCE_SHEET[Id],$L74,PBC_BALANCE_SHEET[Date],AJ$5)</f>
        <v>25000</v>
      </c>
      <c r="AK74" s="27">
        <f>SUMIFS(PBC_BALANCE_SHEET[AccountBalance], PBC_BALANCE_SHEET[Id],$L74,PBC_BALANCE_SHEET[Date],AK$5)</f>
        <v>25000</v>
      </c>
      <c r="AL74" s="27">
        <f>SUMIFS(PBC_BALANCE_SHEET[AccountBalance], PBC_BALANCE_SHEET[Id],$L74,PBC_BALANCE_SHEET[Date],AL$5)</f>
        <v>25000</v>
      </c>
      <c r="AM74" s="27">
        <f>SUMIFS(PBC_BALANCE_SHEET[AccountBalance], PBC_BALANCE_SHEET[Id],$L74,PBC_BALANCE_SHEET[Date],AM$5)</f>
        <v>25000</v>
      </c>
      <c r="AN74" s="27">
        <f>SUMIFS(PBC_BALANCE_SHEET[AccountBalance], PBC_BALANCE_SHEET[Id],$L74,PBC_BALANCE_SHEET[Date],AN$5)</f>
        <v>25000</v>
      </c>
      <c r="AO74" s="27">
        <f>SUMIFS(PBC_BALANCE_SHEET[AccountBalance], PBC_BALANCE_SHEET[Id],$L74,PBC_BALANCE_SHEET[Date],AO$5)</f>
        <v>25000</v>
      </c>
      <c r="AP74" s="27">
        <f>SUMIFS(PBC_BALANCE_SHEET[AccountBalance], PBC_BALANCE_SHEET[Id],$L74,PBC_BALANCE_SHEET[Date],AP$5)</f>
        <v>25000</v>
      </c>
      <c r="AQ74" s="27">
        <f>SUMIFS(PBC_BALANCE_SHEET[AccountBalance], PBC_BALANCE_SHEET[Id],$L74,PBC_BALANCE_SHEET[Date],AQ$5)</f>
        <v>25000</v>
      </c>
      <c r="AR74" s="27">
        <f>SUMIFS(PBC_BALANCE_SHEET[AccountBalance], PBC_BALANCE_SHEET[Id],$L74,PBC_BALANCE_SHEET[Date],AR$5)</f>
        <v>25000</v>
      </c>
      <c r="AS74" s="27">
        <f>SUMIFS(PBC_BALANCE_SHEET[AccountBalance], PBC_BALANCE_SHEET[Id],$L74,PBC_BALANCE_SHEET[Date],AS$5)</f>
        <v>25000</v>
      </c>
      <c r="AT74" s="27">
        <f>SUMIFS(PBC_BALANCE_SHEET[AccountBalance], PBC_BALANCE_SHEET[Id],$L74,PBC_BALANCE_SHEET[Date],AT$5)</f>
        <v>25000</v>
      </c>
      <c r="AU74" s="27">
        <f>SUMIFS(PBC_BALANCE_SHEET[AccountBalance], PBC_BALANCE_SHEET[Id],$L74,PBC_BALANCE_SHEET[Date],AU$5)</f>
        <v>25000</v>
      </c>
      <c r="AV74" s="27">
        <f>SUMIFS(PBC_BALANCE_SHEET[AccountBalance], PBC_BALANCE_SHEET[Id],$L74,PBC_BALANCE_SHEET[Date],AV$5)</f>
        <v>25000</v>
      </c>
      <c r="AW74" s="27">
        <f>SUMIFS(PBC_BALANCE_SHEET[AccountBalance], PBC_BALANCE_SHEET[Id],$L74,PBC_BALANCE_SHEET[Date],AW$5)</f>
        <v>25000</v>
      </c>
      <c r="AX74" s="27">
        <f>SUMIFS(PBC_BALANCE_SHEET[AccountBalance], PBC_BALANCE_SHEET[Id],$L74,PBC_BALANCE_SHEET[Date],AX$5)</f>
        <v>25000</v>
      </c>
      <c r="AY74" s="27">
        <f>SUMIFS(PBC_BALANCE_SHEET[AccountBalance], PBC_BALANCE_SHEET[Id],$L74,PBC_BALANCE_SHEET[Date],AY$5)</f>
        <v>25000</v>
      </c>
      <c r="AZ74" s="27">
        <f>SUMIFS(PBC_BALANCE_SHEET[AccountBalance], PBC_BALANCE_SHEET[Id],$L74,PBC_BALANCE_SHEET[Date],AZ$5)</f>
        <v>25000</v>
      </c>
      <c r="BA74" s="27">
        <f>SUMIFS(PBC_BALANCE_SHEET[AccountBalance], PBC_BALANCE_SHEET[Id],$L74,PBC_BALANCE_SHEET[Date],BA$5)</f>
        <v>25000</v>
      </c>
      <c r="BB74" s="27">
        <f>SUMIFS(PBC_BALANCE_SHEET[AccountBalance], PBC_BALANCE_SHEET[Id],$L74,PBC_BALANCE_SHEET[Date],BB$5)</f>
        <v>25000</v>
      </c>
      <c r="BC74" s="27">
        <f>SUMIFS(PBC_BALANCE_SHEET[AccountBalance], PBC_BALANCE_SHEET[Id],$L74,PBC_BALANCE_SHEET[Date],BC$5)</f>
        <v>25000</v>
      </c>
      <c r="BD74" s="27">
        <f>SUMIFS(PBC_BALANCE_SHEET[AccountBalance], PBC_BALANCE_SHEET[Id],$L74,PBC_BALANCE_SHEET[Date],BD$5)</f>
        <v>25000</v>
      </c>
      <c r="BE74" s="114">
        <f t="shared" ref="BE74" si="166">BD74</f>
        <v>25000</v>
      </c>
      <c r="BF74" s="114">
        <f t="shared" ref="BF74:BS74" si="167">BE74</f>
        <v>25000</v>
      </c>
      <c r="BG74" s="114">
        <f t="shared" si="167"/>
        <v>25000</v>
      </c>
      <c r="BH74" s="114">
        <f t="shared" si="167"/>
        <v>25000</v>
      </c>
      <c r="BI74" s="114">
        <f t="shared" si="167"/>
        <v>25000</v>
      </c>
      <c r="BJ74" s="114">
        <f t="shared" si="167"/>
        <v>25000</v>
      </c>
      <c r="BK74" s="114">
        <f t="shared" si="167"/>
        <v>25000</v>
      </c>
      <c r="BL74" s="114">
        <f t="shared" si="167"/>
        <v>25000</v>
      </c>
      <c r="BM74" s="114">
        <f t="shared" si="167"/>
        <v>25000</v>
      </c>
      <c r="BN74" s="114">
        <f t="shared" si="167"/>
        <v>25000</v>
      </c>
      <c r="BO74" s="114">
        <f t="shared" si="167"/>
        <v>25000</v>
      </c>
      <c r="BP74" s="114">
        <f t="shared" si="167"/>
        <v>25000</v>
      </c>
      <c r="BQ74" s="114">
        <f t="shared" si="167"/>
        <v>25000</v>
      </c>
      <c r="BR74" s="114">
        <f t="shared" si="167"/>
        <v>25000</v>
      </c>
      <c r="BS74" s="114">
        <f t="shared" si="167"/>
        <v>25000</v>
      </c>
    </row>
    <row r="75" spans="1:71" ht="15" outlineLevel="2">
      <c r="B75" s="22"/>
      <c r="C75" s="21"/>
      <c r="D75" s="26" t="s">
        <v>207</v>
      </c>
      <c r="E75" s="18" t="s">
        <v>204</v>
      </c>
      <c r="F75" s="17"/>
      <c r="G75" s="15" t="str">
        <f>IFERROR(INDEX(PBC_ACCOUNT_LIST[Drivers Section],MATCH(Drivers!L75,PBC_ACCOUNT_LIST[Id],0)),"")</f>
        <v>Assets</v>
      </c>
      <c r="H75" s="15" t="str">
        <f>IFERROR(INDEX(PBC_ACCOUNT_LIST[Summary Grouping],MATCH(Drivers!L75,PBC_ACCOUNT_LIST[Id],0)),"")</f>
        <v>Current Assets</v>
      </c>
      <c r="I75" s="15" t="str">
        <f t="shared" si="163"/>
        <v>Current Assets</v>
      </c>
      <c r="J75" s="15" t="str">
        <f>IFERROR(INDEX(PBC_ACCOUNT_LIST[Cash Flow Section],MATCH(Drivers!L75,PBC_ACCOUNT_LIST[Id],0)),"")</f>
        <v>Cash from Operating Activities</v>
      </c>
      <c r="K75" s="16" t="s">
        <v>159</v>
      </c>
      <c r="L75" s="15">
        <v>151</v>
      </c>
      <c r="M75" s="14"/>
      <c r="O75" s="9"/>
      <c r="P75" s="27">
        <f t="shared" si="159"/>
        <v>0</v>
      </c>
      <c r="Q75" s="27">
        <f t="shared" si="159"/>
        <v>0</v>
      </c>
      <c r="R75" s="27">
        <f t="shared" si="159"/>
        <v>0</v>
      </c>
      <c r="S75" s="27"/>
      <c r="T75" s="27"/>
      <c r="U75" s="27">
        <f t="shared" si="160"/>
        <v>0</v>
      </c>
      <c r="V75" s="27">
        <f t="shared" si="160"/>
        <v>0</v>
      </c>
      <c r="W75" s="27">
        <f t="shared" si="160"/>
        <v>0</v>
      </c>
      <c r="X75" s="27">
        <f t="shared" si="160"/>
        <v>0</v>
      </c>
      <c r="Y75" s="27">
        <f t="shared" si="160"/>
        <v>0</v>
      </c>
      <c r="Z75" s="27">
        <f t="shared" si="160"/>
        <v>0</v>
      </c>
      <c r="AA75" s="27">
        <f t="shared" si="160"/>
        <v>0</v>
      </c>
      <c r="AB75" s="27">
        <f t="shared" si="160"/>
        <v>0</v>
      </c>
      <c r="AC75" s="27">
        <f t="shared" si="160"/>
        <v>0</v>
      </c>
      <c r="AD75" s="27">
        <f t="shared" si="160"/>
        <v>0</v>
      </c>
      <c r="AE75" s="27">
        <f t="shared" si="160"/>
        <v>0</v>
      </c>
      <c r="AF75" s="27">
        <f t="shared" si="160"/>
        <v>0</v>
      </c>
      <c r="AG75" s="112"/>
      <c r="AH75" s="113"/>
      <c r="AI75" s="27">
        <f>SUMIFS(PBC_BALANCE_SHEET[AccountBalance], PBC_BALANCE_SHEET[Id],$L75,PBC_BALANCE_SHEET[Date],AI$5)</f>
        <v>0</v>
      </c>
      <c r="AJ75" s="27">
        <f>SUMIFS(PBC_BALANCE_SHEET[AccountBalance], PBC_BALANCE_SHEET[Id],$L75,PBC_BALANCE_SHEET[Date],AJ$5)</f>
        <v>0</v>
      </c>
      <c r="AK75" s="27">
        <f>SUMIFS(PBC_BALANCE_SHEET[AccountBalance], PBC_BALANCE_SHEET[Id],$L75,PBC_BALANCE_SHEET[Date],AK$5)</f>
        <v>0</v>
      </c>
      <c r="AL75" s="27">
        <f>SUMIFS(PBC_BALANCE_SHEET[AccountBalance], PBC_BALANCE_SHEET[Id],$L75,PBC_BALANCE_SHEET[Date],AL$5)</f>
        <v>0</v>
      </c>
      <c r="AM75" s="27">
        <f>SUMIFS(PBC_BALANCE_SHEET[AccountBalance], PBC_BALANCE_SHEET[Id],$L75,PBC_BALANCE_SHEET[Date],AM$5)</f>
        <v>0</v>
      </c>
      <c r="AN75" s="27">
        <f>SUMIFS(PBC_BALANCE_SHEET[AccountBalance], PBC_BALANCE_SHEET[Id],$L75,PBC_BALANCE_SHEET[Date],AN$5)</f>
        <v>0</v>
      </c>
      <c r="AO75" s="27">
        <f>SUMIFS(PBC_BALANCE_SHEET[AccountBalance], PBC_BALANCE_SHEET[Id],$L75,PBC_BALANCE_SHEET[Date],AO$5)</f>
        <v>0</v>
      </c>
      <c r="AP75" s="27">
        <f>SUMIFS(PBC_BALANCE_SHEET[AccountBalance], PBC_BALANCE_SHEET[Id],$L75,PBC_BALANCE_SHEET[Date],AP$5)</f>
        <v>0</v>
      </c>
      <c r="AQ75" s="27">
        <f>SUMIFS(PBC_BALANCE_SHEET[AccountBalance], PBC_BALANCE_SHEET[Id],$L75,PBC_BALANCE_SHEET[Date],AQ$5)</f>
        <v>0</v>
      </c>
      <c r="AR75" s="27">
        <f>SUMIFS(PBC_BALANCE_SHEET[AccountBalance], PBC_BALANCE_SHEET[Id],$L75,PBC_BALANCE_SHEET[Date],AR$5)</f>
        <v>0</v>
      </c>
      <c r="AS75" s="27">
        <f>SUMIFS(PBC_BALANCE_SHEET[AccountBalance], PBC_BALANCE_SHEET[Id],$L75,PBC_BALANCE_SHEET[Date],AS$5)</f>
        <v>0</v>
      </c>
      <c r="AT75" s="27">
        <f>SUMIFS(PBC_BALANCE_SHEET[AccountBalance], PBC_BALANCE_SHEET[Id],$L75,PBC_BALANCE_SHEET[Date],AT$5)</f>
        <v>0</v>
      </c>
      <c r="AU75" s="27">
        <f>SUMIFS(PBC_BALANCE_SHEET[AccountBalance], PBC_BALANCE_SHEET[Id],$L75,PBC_BALANCE_SHEET[Date],AU$5)</f>
        <v>0</v>
      </c>
      <c r="AV75" s="27">
        <f>SUMIFS(PBC_BALANCE_SHEET[AccountBalance], PBC_BALANCE_SHEET[Id],$L75,PBC_BALANCE_SHEET[Date],AV$5)</f>
        <v>0</v>
      </c>
      <c r="AW75" s="27">
        <f>SUMIFS(PBC_BALANCE_SHEET[AccountBalance], PBC_BALANCE_SHEET[Id],$L75,PBC_BALANCE_SHEET[Date],AW$5)</f>
        <v>0</v>
      </c>
      <c r="AX75" s="27">
        <f>SUMIFS(PBC_BALANCE_SHEET[AccountBalance], PBC_BALANCE_SHEET[Id],$L75,PBC_BALANCE_SHEET[Date],AX$5)</f>
        <v>0</v>
      </c>
      <c r="AY75" s="27">
        <f>SUMIFS(PBC_BALANCE_SHEET[AccountBalance], PBC_BALANCE_SHEET[Id],$L75,PBC_BALANCE_SHEET[Date],AY$5)</f>
        <v>0</v>
      </c>
      <c r="AZ75" s="27">
        <f>SUMIFS(PBC_BALANCE_SHEET[AccountBalance], PBC_BALANCE_SHEET[Id],$L75,PBC_BALANCE_SHEET[Date],AZ$5)</f>
        <v>0</v>
      </c>
      <c r="BA75" s="27">
        <f>SUMIFS(PBC_BALANCE_SHEET[AccountBalance], PBC_BALANCE_SHEET[Id],$L75,PBC_BALANCE_SHEET[Date],BA$5)</f>
        <v>0</v>
      </c>
      <c r="BB75" s="27">
        <f>SUMIFS(PBC_BALANCE_SHEET[AccountBalance], PBC_BALANCE_SHEET[Id],$L75,PBC_BALANCE_SHEET[Date],BB$5)</f>
        <v>0</v>
      </c>
      <c r="BC75" s="27">
        <f>SUMIFS(PBC_BALANCE_SHEET[AccountBalance], PBC_BALANCE_SHEET[Id],$L75,PBC_BALANCE_SHEET[Date],BC$5)</f>
        <v>0</v>
      </c>
      <c r="BD75" s="27">
        <f>SUMIFS(PBC_BALANCE_SHEET[AccountBalance], PBC_BALANCE_SHEET[Id],$L75,PBC_BALANCE_SHEET[Date],BD$5)</f>
        <v>0</v>
      </c>
      <c r="BE75" s="114">
        <f t="shared" ref="BE75" si="168">BD75</f>
        <v>0</v>
      </c>
      <c r="BF75" s="114">
        <f t="shared" ref="BF75:BS75" si="169">BE75</f>
        <v>0</v>
      </c>
      <c r="BG75" s="114">
        <f t="shared" si="169"/>
        <v>0</v>
      </c>
      <c r="BH75" s="114">
        <f t="shared" si="169"/>
        <v>0</v>
      </c>
      <c r="BI75" s="114">
        <f t="shared" si="169"/>
        <v>0</v>
      </c>
      <c r="BJ75" s="114">
        <f t="shared" si="169"/>
        <v>0</v>
      </c>
      <c r="BK75" s="114">
        <f t="shared" si="169"/>
        <v>0</v>
      </c>
      <c r="BL75" s="114">
        <f t="shared" si="169"/>
        <v>0</v>
      </c>
      <c r="BM75" s="114">
        <f t="shared" si="169"/>
        <v>0</v>
      </c>
      <c r="BN75" s="114">
        <f t="shared" si="169"/>
        <v>0</v>
      </c>
      <c r="BO75" s="114">
        <f t="shared" si="169"/>
        <v>0</v>
      </c>
      <c r="BP75" s="114">
        <f t="shared" si="169"/>
        <v>0</v>
      </c>
      <c r="BQ75" s="114">
        <f t="shared" si="169"/>
        <v>0</v>
      </c>
      <c r="BR75" s="114">
        <f t="shared" si="169"/>
        <v>0</v>
      </c>
      <c r="BS75" s="114">
        <f t="shared" si="169"/>
        <v>0</v>
      </c>
    </row>
    <row r="76" spans="1:71" ht="15" outlineLevel="2">
      <c r="B76" s="22"/>
      <c r="C76" s="21"/>
      <c r="D76" s="26" t="s">
        <v>208</v>
      </c>
      <c r="E76" s="18" t="s">
        <v>204</v>
      </c>
      <c r="F76" s="17"/>
      <c r="G76" s="15" t="str">
        <f>IFERROR(INDEX(PBC_ACCOUNT_LIST[Drivers Section],MATCH(Drivers!L76,PBC_ACCOUNT_LIST[Id],0)),"")</f>
        <v>Assets</v>
      </c>
      <c r="H76" s="15" t="str">
        <f>IFERROR(INDEX(PBC_ACCOUNT_LIST[Summary Grouping],MATCH(Drivers!L76,PBC_ACCOUNT_LIST[Id],0)),"")</f>
        <v>Current Assets</v>
      </c>
      <c r="I76" s="15" t="str">
        <f t="shared" si="163"/>
        <v>Current Assets</v>
      </c>
      <c r="J76" s="15" t="str">
        <f>IFERROR(INDEX(PBC_ACCOUNT_LIST[Cash Flow Section],MATCH(Drivers!L76,PBC_ACCOUNT_LIST[Id],0)),"")</f>
        <v>Cash from Operating Activities</v>
      </c>
      <c r="K76" s="16" t="s">
        <v>159</v>
      </c>
      <c r="L76" s="15">
        <v>42</v>
      </c>
      <c r="M76" s="14"/>
      <c r="O76" s="9"/>
      <c r="P76" s="27">
        <f t="shared" si="159"/>
        <v>0</v>
      </c>
      <c r="Q76" s="27">
        <f t="shared" si="159"/>
        <v>700</v>
      </c>
      <c r="R76" s="27">
        <f t="shared" si="159"/>
        <v>700</v>
      </c>
      <c r="S76" s="27"/>
      <c r="T76" s="27"/>
      <c r="U76" s="27">
        <f t="shared" si="160"/>
        <v>0</v>
      </c>
      <c r="V76" s="27">
        <f t="shared" si="160"/>
        <v>0</v>
      </c>
      <c r="W76" s="27">
        <f t="shared" si="160"/>
        <v>0</v>
      </c>
      <c r="X76" s="27">
        <f t="shared" si="160"/>
        <v>0</v>
      </c>
      <c r="Y76" s="27">
        <f t="shared" si="160"/>
        <v>0</v>
      </c>
      <c r="Z76" s="27">
        <f t="shared" si="160"/>
        <v>-300</v>
      </c>
      <c r="AA76" s="27">
        <f t="shared" si="160"/>
        <v>700</v>
      </c>
      <c r="AB76" s="27">
        <f t="shared" si="160"/>
        <v>700</v>
      </c>
      <c r="AC76" s="27">
        <f t="shared" si="160"/>
        <v>700</v>
      </c>
      <c r="AD76" s="27">
        <f t="shared" si="160"/>
        <v>700</v>
      </c>
      <c r="AE76" s="27">
        <f t="shared" si="160"/>
        <v>700</v>
      </c>
      <c r="AF76" s="27">
        <f t="shared" si="160"/>
        <v>700</v>
      </c>
      <c r="AG76" s="112"/>
      <c r="AH76" s="113"/>
      <c r="AI76" s="27">
        <f>SUMIFS(PBC_BALANCE_SHEET[AccountBalance], PBC_BALANCE_SHEET[Id],$L76,PBC_BALANCE_SHEET[Date],AI$5)</f>
        <v>0</v>
      </c>
      <c r="AJ76" s="27">
        <f>SUMIFS(PBC_BALANCE_SHEET[AccountBalance], PBC_BALANCE_SHEET[Id],$L76,PBC_BALANCE_SHEET[Date],AJ$5)</f>
        <v>0</v>
      </c>
      <c r="AK76" s="27">
        <f>SUMIFS(PBC_BALANCE_SHEET[AccountBalance], PBC_BALANCE_SHEET[Id],$L76,PBC_BALANCE_SHEET[Date],AK$5)</f>
        <v>0</v>
      </c>
      <c r="AL76" s="27">
        <f>SUMIFS(PBC_BALANCE_SHEET[AccountBalance], PBC_BALANCE_SHEET[Id],$L76,PBC_BALANCE_SHEET[Date],AL$5)</f>
        <v>0</v>
      </c>
      <c r="AM76" s="27">
        <f>SUMIFS(PBC_BALANCE_SHEET[AccountBalance], PBC_BALANCE_SHEET[Id],$L76,PBC_BALANCE_SHEET[Date],AM$5)</f>
        <v>0</v>
      </c>
      <c r="AN76" s="27">
        <f>SUMIFS(PBC_BALANCE_SHEET[AccountBalance], PBC_BALANCE_SHEET[Id],$L76,PBC_BALANCE_SHEET[Date],AN$5)</f>
        <v>0</v>
      </c>
      <c r="AO76" s="27">
        <f>SUMIFS(PBC_BALANCE_SHEET[AccountBalance], PBC_BALANCE_SHEET[Id],$L76,PBC_BALANCE_SHEET[Date],AO$5)</f>
        <v>0</v>
      </c>
      <c r="AP76" s="27">
        <f>SUMIFS(PBC_BALANCE_SHEET[AccountBalance], PBC_BALANCE_SHEET[Id],$L76,PBC_BALANCE_SHEET[Date],AP$5)</f>
        <v>0</v>
      </c>
      <c r="AQ76" s="27">
        <f>SUMIFS(PBC_BALANCE_SHEET[AccountBalance], PBC_BALANCE_SHEET[Id],$L76,PBC_BALANCE_SHEET[Date],AQ$5)</f>
        <v>0</v>
      </c>
      <c r="AR76" s="27">
        <f>SUMIFS(PBC_BALANCE_SHEET[AccountBalance], PBC_BALANCE_SHEET[Id],$L76,PBC_BALANCE_SHEET[Date],AR$5)</f>
        <v>0</v>
      </c>
      <c r="AS76" s="27">
        <f>SUMIFS(PBC_BALANCE_SHEET[AccountBalance], PBC_BALANCE_SHEET[Id],$L76,PBC_BALANCE_SHEET[Date],AS$5)</f>
        <v>0</v>
      </c>
      <c r="AT76" s="27">
        <f>SUMIFS(PBC_BALANCE_SHEET[AccountBalance], PBC_BALANCE_SHEET[Id],$L76,PBC_BALANCE_SHEET[Date],AT$5)</f>
        <v>0</v>
      </c>
      <c r="AU76" s="27">
        <f>SUMIFS(PBC_BALANCE_SHEET[AccountBalance], PBC_BALANCE_SHEET[Id],$L76,PBC_BALANCE_SHEET[Date],AU$5)</f>
        <v>0</v>
      </c>
      <c r="AV76" s="27">
        <f>SUMIFS(PBC_BALANCE_SHEET[AccountBalance], PBC_BALANCE_SHEET[Id],$L76,PBC_BALANCE_SHEET[Date],AV$5)</f>
        <v>0</v>
      </c>
      <c r="AW76" s="27">
        <f>SUMIFS(PBC_BALANCE_SHEET[AccountBalance], PBC_BALANCE_SHEET[Id],$L76,PBC_BALANCE_SHEET[Date],AW$5)</f>
        <v>0</v>
      </c>
      <c r="AX76" s="27">
        <f>SUMIFS(PBC_BALANCE_SHEET[AccountBalance], PBC_BALANCE_SHEET[Id],$L76,PBC_BALANCE_SHEET[Date],AX$5)</f>
        <v>0</v>
      </c>
      <c r="AY76" s="27">
        <f>SUMIFS(PBC_BALANCE_SHEET[AccountBalance], PBC_BALANCE_SHEET[Id],$L76,PBC_BALANCE_SHEET[Date],AY$5)</f>
        <v>0</v>
      </c>
      <c r="AZ76" s="27">
        <f>SUMIFS(PBC_BALANCE_SHEET[AccountBalance], PBC_BALANCE_SHEET[Id],$L76,PBC_BALANCE_SHEET[Date],AZ$5)</f>
        <v>0</v>
      </c>
      <c r="BA76" s="27">
        <f>SUMIFS(PBC_BALANCE_SHEET[AccountBalance], PBC_BALANCE_SHEET[Id],$L76,PBC_BALANCE_SHEET[Date],BA$5)</f>
        <v>-300</v>
      </c>
      <c r="BB76" s="27">
        <f>SUMIFS(PBC_BALANCE_SHEET[AccountBalance], PBC_BALANCE_SHEET[Id],$L76,PBC_BALANCE_SHEET[Date],BB$5)</f>
        <v>700</v>
      </c>
      <c r="BC76" s="27">
        <f>SUMIFS(PBC_BALANCE_SHEET[AccountBalance], PBC_BALANCE_SHEET[Id],$L76,PBC_BALANCE_SHEET[Date],BC$5)</f>
        <v>700</v>
      </c>
      <c r="BD76" s="27">
        <f>SUMIFS(PBC_BALANCE_SHEET[AccountBalance], PBC_BALANCE_SHEET[Id],$L76,PBC_BALANCE_SHEET[Date],BD$5)</f>
        <v>700</v>
      </c>
      <c r="BE76" s="114">
        <f t="shared" ref="BE76" si="170">BD76</f>
        <v>700</v>
      </c>
      <c r="BF76" s="114">
        <f t="shared" ref="BF76:BS76" si="171">BE76</f>
        <v>700</v>
      </c>
      <c r="BG76" s="114">
        <f t="shared" si="171"/>
        <v>700</v>
      </c>
      <c r="BH76" s="114">
        <f t="shared" si="171"/>
        <v>700</v>
      </c>
      <c r="BI76" s="114">
        <f t="shared" si="171"/>
        <v>700</v>
      </c>
      <c r="BJ76" s="114">
        <f t="shared" si="171"/>
        <v>700</v>
      </c>
      <c r="BK76" s="114">
        <f t="shared" si="171"/>
        <v>700</v>
      </c>
      <c r="BL76" s="114">
        <f t="shared" si="171"/>
        <v>700</v>
      </c>
      <c r="BM76" s="114">
        <f t="shared" si="171"/>
        <v>700</v>
      </c>
      <c r="BN76" s="114">
        <f t="shared" si="171"/>
        <v>700</v>
      </c>
      <c r="BO76" s="114">
        <f t="shared" si="171"/>
        <v>700</v>
      </c>
      <c r="BP76" s="114">
        <f t="shared" si="171"/>
        <v>700</v>
      </c>
      <c r="BQ76" s="114">
        <f t="shared" si="171"/>
        <v>700</v>
      </c>
      <c r="BR76" s="114">
        <f t="shared" si="171"/>
        <v>700</v>
      </c>
      <c r="BS76" s="114">
        <f t="shared" si="171"/>
        <v>700</v>
      </c>
    </row>
    <row r="77" spans="1:71" ht="15" outlineLevel="2">
      <c r="B77" s="22"/>
      <c r="C77" s="21"/>
      <c r="D77" s="26" t="s">
        <v>209</v>
      </c>
      <c r="E77" s="18" t="s">
        <v>204</v>
      </c>
      <c r="F77" s="17"/>
      <c r="G77" s="15" t="str">
        <f>IFERROR(INDEX(PBC_ACCOUNT_LIST[Drivers Section],MATCH(Drivers!L77,PBC_ACCOUNT_LIST[Id],0)),"")</f>
        <v>Assets</v>
      </c>
      <c r="H77" s="15" t="str">
        <f>IFERROR(INDEX(PBC_ACCOUNT_LIST[Summary Grouping],MATCH(Drivers!L77,PBC_ACCOUNT_LIST[Id],0)),"")</f>
        <v>Fixed Assets</v>
      </c>
      <c r="I77" s="15" t="str">
        <f t="shared" si="163"/>
        <v>Fixed Assets</v>
      </c>
      <c r="J77" s="15" t="str">
        <f>IFERROR(INDEX(PBC_ACCOUNT_LIST[Cash Flow Section],MATCH(Drivers!L77,PBC_ACCOUNT_LIST[Id],0)),"")</f>
        <v>Cash From Investing Activities</v>
      </c>
      <c r="K77" s="16" t="s">
        <v>159</v>
      </c>
      <c r="L77" s="15">
        <v>152</v>
      </c>
      <c r="M77" s="14"/>
      <c r="O77" s="9"/>
      <c r="P77" s="27">
        <f t="shared" si="159"/>
        <v>15000</v>
      </c>
      <c r="Q77" s="27">
        <f t="shared" si="159"/>
        <v>15000</v>
      </c>
      <c r="R77" s="27">
        <f t="shared" si="159"/>
        <v>15000</v>
      </c>
      <c r="S77" s="27"/>
      <c r="T77" s="27"/>
      <c r="U77" s="27">
        <f t="shared" si="160"/>
        <v>15000</v>
      </c>
      <c r="V77" s="27">
        <f t="shared" si="160"/>
        <v>15000</v>
      </c>
      <c r="W77" s="27">
        <f t="shared" si="160"/>
        <v>15000</v>
      </c>
      <c r="X77" s="27">
        <f t="shared" si="160"/>
        <v>15000</v>
      </c>
      <c r="Y77" s="27">
        <f t="shared" si="160"/>
        <v>15000</v>
      </c>
      <c r="Z77" s="27">
        <f t="shared" si="160"/>
        <v>15000</v>
      </c>
      <c r="AA77" s="27">
        <f t="shared" si="160"/>
        <v>15000</v>
      </c>
      <c r="AB77" s="27">
        <f t="shared" si="160"/>
        <v>15000</v>
      </c>
      <c r="AC77" s="27">
        <f t="shared" si="160"/>
        <v>15000</v>
      </c>
      <c r="AD77" s="27">
        <f t="shared" si="160"/>
        <v>15000</v>
      </c>
      <c r="AE77" s="27">
        <f t="shared" si="160"/>
        <v>15000</v>
      </c>
      <c r="AF77" s="27">
        <f t="shared" si="160"/>
        <v>15000</v>
      </c>
      <c r="AG77" s="112"/>
      <c r="AH77" s="113"/>
      <c r="AI77" s="27">
        <f>SUMIFS(PBC_BALANCE_SHEET[AccountBalance], PBC_BALANCE_SHEET[Id],$L77,PBC_BALANCE_SHEET[Date],AI$5)</f>
        <v>10000</v>
      </c>
      <c r="AJ77" s="27">
        <f>SUMIFS(PBC_BALANCE_SHEET[AccountBalance], PBC_BALANCE_SHEET[Id],$L77,PBC_BALANCE_SHEET[Date],AJ$5)</f>
        <v>15000</v>
      </c>
      <c r="AK77" s="27">
        <f>SUMIFS(PBC_BALANCE_SHEET[AccountBalance], PBC_BALANCE_SHEET[Id],$L77,PBC_BALANCE_SHEET[Date],AK$5)</f>
        <v>15000</v>
      </c>
      <c r="AL77" s="27">
        <f>SUMIFS(PBC_BALANCE_SHEET[AccountBalance], PBC_BALANCE_SHEET[Id],$L77,PBC_BALANCE_SHEET[Date],AL$5)</f>
        <v>15000</v>
      </c>
      <c r="AM77" s="27">
        <f>SUMIFS(PBC_BALANCE_SHEET[AccountBalance], PBC_BALANCE_SHEET[Id],$L77,PBC_BALANCE_SHEET[Date],AM$5)</f>
        <v>15000</v>
      </c>
      <c r="AN77" s="27">
        <f>SUMIFS(PBC_BALANCE_SHEET[AccountBalance], PBC_BALANCE_SHEET[Id],$L77,PBC_BALANCE_SHEET[Date],AN$5)</f>
        <v>15000</v>
      </c>
      <c r="AO77" s="27">
        <f>SUMIFS(PBC_BALANCE_SHEET[AccountBalance], PBC_BALANCE_SHEET[Id],$L77,PBC_BALANCE_SHEET[Date],AO$5)</f>
        <v>15000</v>
      </c>
      <c r="AP77" s="27">
        <f>SUMIFS(PBC_BALANCE_SHEET[AccountBalance], PBC_BALANCE_SHEET[Id],$L77,PBC_BALANCE_SHEET[Date],AP$5)</f>
        <v>15000</v>
      </c>
      <c r="AQ77" s="27">
        <f>SUMIFS(PBC_BALANCE_SHEET[AccountBalance], PBC_BALANCE_SHEET[Id],$L77,PBC_BALANCE_SHEET[Date],AQ$5)</f>
        <v>15000</v>
      </c>
      <c r="AR77" s="27">
        <f>SUMIFS(PBC_BALANCE_SHEET[AccountBalance], PBC_BALANCE_SHEET[Id],$L77,PBC_BALANCE_SHEET[Date],AR$5)</f>
        <v>15000</v>
      </c>
      <c r="AS77" s="27">
        <f>SUMIFS(PBC_BALANCE_SHEET[AccountBalance], PBC_BALANCE_SHEET[Id],$L77,PBC_BALANCE_SHEET[Date],AS$5)</f>
        <v>15000</v>
      </c>
      <c r="AT77" s="27">
        <f>SUMIFS(PBC_BALANCE_SHEET[AccountBalance], PBC_BALANCE_SHEET[Id],$L77,PBC_BALANCE_SHEET[Date],AT$5)</f>
        <v>15000</v>
      </c>
      <c r="AU77" s="27">
        <f>SUMIFS(PBC_BALANCE_SHEET[AccountBalance], PBC_BALANCE_SHEET[Id],$L77,PBC_BALANCE_SHEET[Date],AU$5)</f>
        <v>15000</v>
      </c>
      <c r="AV77" s="27">
        <f>SUMIFS(PBC_BALANCE_SHEET[AccountBalance], PBC_BALANCE_SHEET[Id],$L77,PBC_BALANCE_SHEET[Date],AV$5)</f>
        <v>15000</v>
      </c>
      <c r="AW77" s="27">
        <f>SUMIFS(PBC_BALANCE_SHEET[AccountBalance], PBC_BALANCE_SHEET[Id],$L77,PBC_BALANCE_SHEET[Date],AW$5)</f>
        <v>15000</v>
      </c>
      <c r="AX77" s="27">
        <f>SUMIFS(PBC_BALANCE_SHEET[AccountBalance], PBC_BALANCE_SHEET[Id],$L77,PBC_BALANCE_SHEET[Date],AX$5)</f>
        <v>15000</v>
      </c>
      <c r="AY77" s="27">
        <f>SUMIFS(PBC_BALANCE_SHEET[AccountBalance], PBC_BALANCE_SHEET[Id],$L77,PBC_BALANCE_SHEET[Date],AY$5)</f>
        <v>15000</v>
      </c>
      <c r="AZ77" s="27">
        <f>SUMIFS(PBC_BALANCE_SHEET[AccountBalance], PBC_BALANCE_SHEET[Id],$L77,PBC_BALANCE_SHEET[Date],AZ$5)</f>
        <v>15000</v>
      </c>
      <c r="BA77" s="27">
        <f>SUMIFS(PBC_BALANCE_SHEET[AccountBalance], PBC_BALANCE_SHEET[Id],$L77,PBC_BALANCE_SHEET[Date],BA$5)</f>
        <v>15000</v>
      </c>
      <c r="BB77" s="27">
        <f>SUMIFS(PBC_BALANCE_SHEET[AccountBalance], PBC_BALANCE_SHEET[Id],$L77,PBC_BALANCE_SHEET[Date],BB$5)</f>
        <v>15000</v>
      </c>
      <c r="BC77" s="27">
        <f>SUMIFS(PBC_BALANCE_SHEET[AccountBalance], PBC_BALANCE_SHEET[Id],$L77,PBC_BALANCE_SHEET[Date],BC$5)</f>
        <v>15000</v>
      </c>
      <c r="BD77" s="27">
        <f>SUMIFS(PBC_BALANCE_SHEET[AccountBalance], PBC_BALANCE_SHEET[Id],$L77,PBC_BALANCE_SHEET[Date],BD$5)</f>
        <v>15000</v>
      </c>
      <c r="BE77" s="114">
        <f t="shared" ref="BE77" si="172">BD77</f>
        <v>15000</v>
      </c>
      <c r="BF77" s="114">
        <f t="shared" ref="BF77:BS77" si="173">BE77</f>
        <v>15000</v>
      </c>
      <c r="BG77" s="114">
        <f t="shared" si="173"/>
        <v>15000</v>
      </c>
      <c r="BH77" s="114">
        <f t="shared" si="173"/>
        <v>15000</v>
      </c>
      <c r="BI77" s="114">
        <f t="shared" si="173"/>
        <v>15000</v>
      </c>
      <c r="BJ77" s="114">
        <f t="shared" si="173"/>
        <v>15000</v>
      </c>
      <c r="BK77" s="114">
        <f t="shared" si="173"/>
        <v>15000</v>
      </c>
      <c r="BL77" s="114">
        <f t="shared" si="173"/>
        <v>15000</v>
      </c>
      <c r="BM77" s="114">
        <f t="shared" si="173"/>
        <v>15000</v>
      </c>
      <c r="BN77" s="114">
        <f t="shared" si="173"/>
        <v>15000</v>
      </c>
      <c r="BO77" s="114">
        <f t="shared" si="173"/>
        <v>15000</v>
      </c>
      <c r="BP77" s="114">
        <f t="shared" si="173"/>
        <v>15000</v>
      </c>
      <c r="BQ77" s="114">
        <f t="shared" si="173"/>
        <v>15000</v>
      </c>
      <c r="BR77" s="114">
        <f t="shared" si="173"/>
        <v>15000</v>
      </c>
      <c r="BS77" s="114">
        <f t="shared" si="173"/>
        <v>15000</v>
      </c>
    </row>
    <row r="78" spans="1:71" ht="15" outlineLevel="2">
      <c r="B78" s="22"/>
      <c r="C78" s="21"/>
      <c r="D78" s="26" t="s">
        <v>210</v>
      </c>
      <c r="E78" s="18" t="s">
        <v>204</v>
      </c>
      <c r="F78" s="17"/>
      <c r="G78" s="15" t="str">
        <f>IFERROR(INDEX(PBC_ACCOUNT_LIST[Drivers Section],MATCH(Drivers!L78,PBC_ACCOUNT_LIST[Id],0)),"")</f>
        <v>Assets</v>
      </c>
      <c r="H78" s="15" t="str">
        <f>IFERROR(INDEX(PBC_ACCOUNT_LIST[Summary Grouping],MATCH(Drivers!L78,PBC_ACCOUNT_LIST[Id],0)),"")</f>
        <v>Fixed Assets</v>
      </c>
      <c r="I78" s="15" t="str">
        <f t="shared" si="163"/>
        <v>Fixed Assets</v>
      </c>
      <c r="J78" s="15" t="str">
        <f>IFERROR(INDEX(PBC_ACCOUNT_LIST[Cash Flow Section],MATCH(Drivers!L78,PBC_ACCOUNT_LIST[Id],0)),"")</f>
        <v>Cash From Investing Activities</v>
      </c>
      <c r="K78" s="16" t="s">
        <v>159</v>
      </c>
      <c r="L78" s="15">
        <v>153</v>
      </c>
      <c r="M78" s="14"/>
      <c r="O78" s="9"/>
      <c r="P78" s="27">
        <f t="shared" si="159"/>
        <v>35000</v>
      </c>
      <c r="Q78" s="27">
        <f t="shared" si="159"/>
        <v>35000</v>
      </c>
      <c r="R78" s="27">
        <f t="shared" si="159"/>
        <v>35000</v>
      </c>
      <c r="S78" s="27"/>
      <c r="T78" s="27"/>
      <c r="U78" s="27">
        <f t="shared" si="160"/>
        <v>35000</v>
      </c>
      <c r="V78" s="27">
        <f t="shared" si="160"/>
        <v>35000</v>
      </c>
      <c r="W78" s="27">
        <f t="shared" si="160"/>
        <v>35000</v>
      </c>
      <c r="X78" s="27">
        <f t="shared" si="160"/>
        <v>35000</v>
      </c>
      <c r="Y78" s="27">
        <f t="shared" si="160"/>
        <v>35000</v>
      </c>
      <c r="Z78" s="27">
        <f t="shared" si="160"/>
        <v>35000</v>
      </c>
      <c r="AA78" s="27">
        <f t="shared" si="160"/>
        <v>35000</v>
      </c>
      <c r="AB78" s="27">
        <f t="shared" si="160"/>
        <v>35000</v>
      </c>
      <c r="AC78" s="27">
        <f t="shared" si="160"/>
        <v>35000</v>
      </c>
      <c r="AD78" s="27">
        <f t="shared" si="160"/>
        <v>35000</v>
      </c>
      <c r="AE78" s="27">
        <f t="shared" si="160"/>
        <v>35000</v>
      </c>
      <c r="AF78" s="27">
        <f t="shared" si="160"/>
        <v>35000</v>
      </c>
      <c r="AG78" s="112"/>
      <c r="AH78" s="113"/>
      <c r="AI78" s="27">
        <f>SUMIFS(PBC_BALANCE_SHEET[AccountBalance], PBC_BALANCE_SHEET[Id],$L78,PBC_BALANCE_SHEET[Date],AI$5)</f>
        <v>35000</v>
      </c>
      <c r="AJ78" s="27">
        <f>SUMIFS(PBC_BALANCE_SHEET[AccountBalance], PBC_BALANCE_SHEET[Id],$L78,PBC_BALANCE_SHEET[Date],AJ$5)</f>
        <v>45000</v>
      </c>
      <c r="AK78" s="27">
        <f>SUMIFS(PBC_BALANCE_SHEET[AccountBalance], PBC_BALANCE_SHEET[Id],$L78,PBC_BALANCE_SHEET[Date],AK$5)</f>
        <v>35000</v>
      </c>
      <c r="AL78" s="27">
        <f>SUMIFS(PBC_BALANCE_SHEET[AccountBalance], PBC_BALANCE_SHEET[Id],$L78,PBC_BALANCE_SHEET[Date],AL$5)</f>
        <v>35000</v>
      </c>
      <c r="AM78" s="27">
        <f>SUMIFS(PBC_BALANCE_SHEET[AccountBalance], PBC_BALANCE_SHEET[Id],$L78,PBC_BALANCE_SHEET[Date],AM$5)</f>
        <v>35000</v>
      </c>
      <c r="AN78" s="27">
        <f>SUMIFS(PBC_BALANCE_SHEET[AccountBalance], PBC_BALANCE_SHEET[Id],$L78,PBC_BALANCE_SHEET[Date],AN$5)</f>
        <v>35000</v>
      </c>
      <c r="AO78" s="27">
        <f>SUMIFS(PBC_BALANCE_SHEET[AccountBalance], PBC_BALANCE_SHEET[Id],$L78,PBC_BALANCE_SHEET[Date],AO$5)</f>
        <v>35000</v>
      </c>
      <c r="AP78" s="27">
        <f>SUMIFS(PBC_BALANCE_SHEET[AccountBalance], PBC_BALANCE_SHEET[Id],$L78,PBC_BALANCE_SHEET[Date],AP$5)</f>
        <v>35000</v>
      </c>
      <c r="AQ78" s="27">
        <f>SUMIFS(PBC_BALANCE_SHEET[AccountBalance], PBC_BALANCE_SHEET[Id],$L78,PBC_BALANCE_SHEET[Date],AQ$5)</f>
        <v>35000</v>
      </c>
      <c r="AR78" s="27">
        <f>SUMIFS(PBC_BALANCE_SHEET[AccountBalance], PBC_BALANCE_SHEET[Id],$L78,PBC_BALANCE_SHEET[Date],AR$5)</f>
        <v>35000</v>
      </c>
      <c r="AS78" s="27">
        <f>SUMIFS(PBC_BALANCE_SHEET[AccountBalance], PBC_BALANCE_SHEET[Id],$L78,PBC_BALANCE_SHEET[Date],AS$5)</f>
        <v>35000</v>
      </c>
      <c r="AT78" s="27">
        <f>SUMIFS(PBC_BALANCE_SHEET[AccountBalance], PBC_BALANCE_SHEET[Id],$L78,PBC_BALANCE_SHEET[Date],AT$5)</f>
        <v>35000</v>
      </c>
      <c r="AU78" s="27">
        <f>SUMIFS(PBC_BALANCE_SHEET[AccountBalance], PBC_BALANCE_SHEET[Id],$L78,PBC_BALANCE_SHEET[Date],AU$5)</f>
        <v>35000</v>
      </c>
      <c r="AV78" s="27">
        <f>SUMIFS(PBC_BALANCE_SHEET[AccountBalance], PBC_BALANCE_SHEET[Id],$L78,PBC_BALANCE_SHEET[Date],AV$5)</f>
        <v>35000</v>
      </c>
      <c r="AW78" s="27">
        <f>SUMIFS(PBC_BALANCE_SHEET[AccountBalance], PBC_BALANCE_SHEET[Id],$L78,PBC_BALANCE_SHEET[Date],AW$5)</f>
        <v>35000</v>
      </c>
      <c r="AX78" s="27">
        <f>SUMIFS(PBC_BALANCE_SHEET[AccountBalance], PBC_BALANCE_SHEET[Id],$L78,PBC_BALANCE_SHEET[Date],AX$5)</f>
        <v>35000</v>
      </c>
      <c r="AY78" s="27">
        <f>SUMIFS(PBC_BALANCE_SHEET[AccountBalance], PBC_BALANCE_SHEET[Id],$L78,PBC_BALANCE_SHEET[Date],AY$5)</f>
        <v>35000</v>
      </c>
      <c r="AZ78" s="27">
        <f>SUMIFS(PBC_BALANCE_SHEET[AccountBalance], PBC_BALANCE_SHEET[Id],$L78,PBC_BALANCE_SHEET[Date],AZ$5)</f>
        <v>35000</v>
      </c>
      <c r="BA78" s="27">
        <f>SUMIFS(PBC_BALANCE_SHEET[AccountBalance], PBC_BALANCE_SHEET[Id],$L78,PBC_BALANCE_SHEET[Date],BA$5)</f>
        <v>35000</v>
      </c>
      <c r="BB78" s="27">
        <f>SUMIFS(PBC_BALANCE_SHEET[AccountBalance], PBC_BALANCE_SHEET[Id],$L78,PBC_BALANCE_SHEET[Date],BB$5)</f>
        <v>35000</v>
      </c>
      <c r="BC78" s="27">
        <f>SUMIFS(PBC_BALANCE_SHEET[AccountBalance], PBC_BALANCE_SHEET[Id],$L78,PBC_BALANCE_SHEET[Date],BC$5)</f>
        <v>35000</v>
      </c>
      <c r="BD78" s="27">
        <f>SUMIFS(PBC_BALANCE_SHEET[AccountBalance], PBC_BALANCE_SHEET[Id],$L78,PBC_BALANCE_SHEET[Date],BD$5)</f>
        <v>35000</v>
      </c>
      <c r="BE78" s="114">
        <f t="shared" ref="BE78" si="174">BD78</f>
        <v>35000</v>
      </c>
      <c r="BF78" s="114">
        <f t="shared" ref="BF78:BS78" si="175">BE78</f>
        <v>35000</v>
      </c>
      <c r="BG78" s="114">
        <f t="shared" si="175"/>
        <v>35000</v>
      </c>
      <c r="BH78" s="114">
        <f t="shared" si="175"/>
        <v>35000</v>
      </c>
      <c r="BI78" s="114">
        <f t="shared" si="175"/>
        <v>35000</v>
      </c>
      <c r="BJ78" s="114">
        <f t="shared" si="175"/>
        <v>35000</v>
      </c>
      <c r="BK78" s="114">
        <f t="shared" si="175"/>
        <v>35000</v>
      </c>
      <c r="BL78" s="114">
        <f t="shared" si="175"/>
        <v>35000</v>
      </c>
      <c r="BM78" s="114">
        <f t="shared" si="175"/>
        <v>35000</v>
      </c>
      <c r="BN78" s="114">
        <f t="shared" si="175"/>
        <v>35000</v>
      </c>
      <c r="BO78" s="114">
        <f t="shared" si="175"/>
        <v>35000</v>
      </c>
      <c r="BP78" s="114">
        <f t="shared" si="175"/>
        <v>35000</v>
      </c>
      <c r="BQ78" s="114">
        <f t="shared" si="175"/>
        <v>35000</v>
      </c>
      <c r="BR78" s="114">
        <f t="shared" si="175"/>
        <v>35000</v>
      </c>
      <c r="BS78" s="114">
        <f t="shared" si="175"/>
        <v>35000</v>
      </c>
    </row>
    <row r="79" spans="1:71" ht="15" outlineLevel="2">
      <c r="B79" s="22"/>
      <c r="C79" s="21"/>
      <c r="D79" s="26" t="s">
        <v>211</v>
      </c>
      <c r="E79" s="18" t="s">
        <v>204</v>
      </c>
      <c r="F79" s="17"/>
      <c r="G79" s="15" t="str">
        <f>IFERROR(INDEX(PBC_ACCOUNT_LIST[Drivers Section],MATCH(Drivers!L79,PBC_ACCOUNT_LIST[Id],0)),"")</f>
        <v>Assets</v>
      </c>
      <c r="H79" s="15" t="str">
        <f>IFERROR(INDEX(PBC_ACCOUNT_LIST[Summary Grouping],MATCH(Drivers!L79,PBC_ACCOUNT_LIST[Id],0)),"")</f>
        <v>Fixed Assets</v>
      </c>
      <c r="I79" s="15" t="str">
        <f t="shared" si="163"/>
        <v>Fixed Assets</v>
      </c>
      <c r="J79" s="15" t="str">
        <f>IFERROR(INDEX(PBC_ACCOUNT_LIST[Cash Flow Section],MATCH(Drivers!L79,PBC_ACCOUNT_LIST[Id],0)),"")</f>
        <v>Cash From Investing Activities</v>
      </c>
      <c r="K79" s="16" t="s">
        <v>159</v>
      </c>
      <c r="L79" s="15">
        <v>154</v>
      </c>
      <c r="M79" s="14"/>
      <c r="O79" s="9"/>
      <c r="P79" s="27">
        <f t="shared" si="159"/>
        <v>8000</v>
      </c>
      <c r="Q79" s="27">
        <f t="shared" si="159"/>
        <v>8000</v>
      </c>
      <c r="R79" s="27">
        <f t="shared" si="159"/>
        <v>8000</v>
      </c>
      <c r="S79" s="27"/>
      <c r="T79" s="27"/>
      <c r="U79" s="27">
        <f t="shared" si="160"/>
        <v>8000</v>
      </c>
      <c r="V79" s="27">
        <f t="shared" si="160"/>
        <v>8000</v>
      </c>
      <c r="W79" s="27">
        <f t="shared" si="160"/>
        <v>8000</v>
      </c>
      <c r="X79" s="27">
        <f t="shared" si="160"/>
        <v>8000</v>
      </c>
      <c r="Y79" s="27">
        <f t="shared" si="160"/>
        <v>8000</v>
      </c>
      <c r="Z79" s="27">
        <f t="shared" si="160"/>
        <v>8000</v>
      </c>
      <c r="AA79" s="27">
        <f t="shared" si="160"/>
        <v>8000</v>
      </c>
      <c r="AB79" s="27">
        <f t="shared" si="160"/>
        <v>8000</v>
      </c>
      <c r="AC79" s="27">
        <f t="shared" si="160"/>
        <v>8000</v>
      </c>
      <c r="AD79" s="27">
        <f t="shared" si="160"/>
        <v>8000</v>
      </c>
      <c r="AE79" s="27">
        <f t="shared" si="160"/>
        <v>8000</v>
      </c>
      <c r="AF79" s="27">
        <f t="shared" si="160"/>
        <v>8000</v>
      </c>
      <c r="AG79" s="112"/>
      <c r="AH79" s="113"/>
      <c r="AI79" s="27">
        <f>SUMIFS(PBC_BALANCE_SHEET[AccountBalance], PBC_BALANCE_SHEET[Id],$L79,PBC_BALANCE_SHEET[Date],AI$5)</f>
        <v>8000</v>
      </c>
      <c r="AJ79" s="27">
        <f>SUMIFS(PBC_BALANCE_SHEET[AccountBalance], PBC_BALANCE_SHEET[Id],$L79,PBC_BALANCE_SHEET[Date],AJ$5)</f>
        <v>10000</v>
      </c>
      <c r="AK79" s="27">
        <f>SUMIFS(PBC_BALANCE_SHEET[AccountBalance], PBC_BALANCE_SHEET[Id],$L79,PBC_BALANCE_SHEET[Date],AK$5)</f>
        <v>8000</v>
      </c>
      <c r="AL79" s="27">
        <f>SUMIFS(PBC_BALANCE_SHEET[AccountBalance], PBC_BALANCE_SHEET[Id],$L79,PBC_BALANCE_SHEET[Date],AL$5)</f>
        <v>8000</v>
      </c>
      <c r="AM79" s="27">
        <f>SUMIFS(PBC_BALANCE_SHEET[AccountBalance], PBC_BALANCE_SHEET[Id],$L79,PBC_BALANCE_SHEET[Date],AM$5)</f>
        <v>8000</v>
      </c>
      <c r="AN79" s="27">
        <f>SUMIFS(PBC_BALANCE_SHEET[AccountBalance], PBC_BALANCE_SHEET[Id],$L79,PBC_BALANCE_SHEET[Date],AN$5)</f>
        <v>8000</v>
      </c>
      <c r="AO79" s="27">
        <f>SUMIFS(PBC_BALANCE_SHEET[AccountBalance], PBC_BALANCE_SHEET[Id],$L79,PBC_BALANCE_SHEET[Date],AO$5)</f>
        <v>8000</v>
      </c>
      <c r="AP79" s="27">
        <f>SUMIFS(PBC_BALANCE_SHEET[AccountBalance], PBC_BALANCE_SHEET[Id],$L79,PBC_BALANCE_SHEET[Date],AP$5)</f>
        <v>8000</v>
      </c>
      <c r="AQ79" s="27">
        <f>SUMIFS(PBC_BALANCE_SHEET[AccountBalance], PBC_BALANCE_SHEET[Id],$L79,PBC_BALANCE_SHEET[Date],AQ$5)</f>
        <v>8000</v>
      </c>
      <c r="AR79" s="27">
        <f>SUMIFS(PBC_BALANCE_SHEET[AccountBalance], PBC_BALANCE_SHEET[Id],$L79,PBC_BALANCE_SHEET[Date],AR$5)</f>
        <v>8000</v>
      </c>
      <c r="AS79" s="27">
        <f>SUMIFS(PBC_BALANCE_SHEET[AccountBalance], PBC_BALANCE_SHEET[Id],$L79,PBC_BALANCE_SHEET[Date],AS$5)</f>
        <v>8000</v>
      </c>
      <c r="AT79" s="27">
        <f>SUMIFS(PBC_BALANCE_SHEET[AccountBalance], PBC_BALANCE_SHEET[Id],$L79,PBC_BALANCE_SHEET[Date],AT$5)</f>
        <v>8000</v>
      </c>
      <c r="AU79" s="27">
        <f>SUMIFS(PBC_BALANCE_SHEET[AccountBalance], PBC_BALANCE_SHEET[Id],$L79,PBC_BALANCE_SHEET[Date],AU$5)</f>
        <v>8000</v>
      </c>
      <c r="AV79" s="27">
        <f>SUMIFS(PBC_BALANCE_SHEET[AccountBalance], PBC_BALANCE_SHEET[Id],$L79,PBC_BALANCE_SHEET[Date],AV$5)</f>
        <v>8000</v>
      </c>
      <c r="AW79" s="27">
        <f>SUMIFS(PBC_BALANCE_SHEET[AccountBalance], PBC_BALANCE_SHEET[Id],$L79,PBC_BALANCE_SHEET[Date],AW$5)</f>
        <v>8000</v>
      </c>
      <c r="AX79" s="27">
        <f>SUMIFS(PBC_BALANCE_SHEET[AccountBalance], PBC_BALANCE_SHEET[Id],$L79,PBC_BALANCE_SHEET[Date],AX$5)</f>
        <v>8000</v>
      </c>
      <c r="AY79" s="27">
        <f>SUMIFS(PBC_BALANCE_SHEET[AccountBalance], PBC_BALANCE_SHEET[Id],$L79,PBC_BALANCE_SHEET[Date],AY$5)</f>
        <v>8000</v>
      </c>
      <c r="AZ79" s="27">
        <f>SUMIFS(PBC_BALANCE_SHEET[AccountBalance], PBC_BALANCE_SHEET[Id],$L79,PBC_BALANCE_SHEET[Date],AZ$5)</f>
        <v>8000</v>
      </c>
      <c r="BA79" s="27">
        <f>SUMIFS(PBC_BALANCE_SHEET[AccountBalance], PBC_BALANCE_SHEET[Id],$L79,PBC_BALANCE_SHEET[Date],BA$5)</f>
        <v>8000</v>
      </c>
      <c r="BB79" s="27">
        <f>SUMIFS(PBC_BALANCE_SHEET[AccountBalance], PBC_BALANCE_SHEET[Id],$L79,PBC_BALANCE_SHEET[Date],BB$5)</f>
        <v>8000</v>
      </c>
      <c r="BC79" s="27">
        <f>SUMIFS(PBC_BALANCE_SHEET[AccountBalance], PBC_BALANCE_SHEET[Id],$L79,PBC_BALANCE_SHEET[Date],BC$5)</f>
        <v>8000</v>
      </c>
      <c r="BD79" s="27">
        <f>SUMIFS(PBC_BALANCE_SHEET[AccountBalance], PBC_BALANCE_SHEET[Id],$L79,PBC_BALANCE_SHEET[Date],BD$5)</f>
        <v>8000</v>
      </c>
      <c r="BE79" s="114">
        <f t="shared" ref="BE79" si="176">BD79</f>
        <v>8000</v>
      </c>
      <c r="BF79" s="114">
        <f t="shared" ref="BF79:BS79" si="177">BE79</f>
        <v>8000</v>
      </c>
      <c r="BG79" s="114">
        <f t="shared" si="177"/>
        <v>8000</v>
      </c>
      <c r="BH79" s="114">
        <f t="shared" si="177"/>
        <v>8000</v>
      </c>
      <c r="BI79" s="114">
        <f t="shared" si="177"/>
        <v>8000</v>
      </c>
      <c r="BJ79" s="114">
        <f t="shared" si="177"/>
        <v>8000</v>
      </c>
      <c r="BK79" s="114">
        <f t="shared" si="177"/>
        <v>8000</v>
      </c>
      <c r="BL79" s="114">
        <f t="shared" si="177"/>
        <v>8000</v>
      </c>
      <c r="BM79" s="114">
        <f t="shared" si="177"/>
        <v>8000</v>
      </c>
      <c r="BN79" s="114">
        <f t="shared" si="177"/>
        <v>8000</v>
      </c>
      <c r="BO79" s="114">
        <f t="shared" si="177"/>
        <v>8000</v>
      </c>
      <c r="BP79" s="114">
        <f t="shared" si="177"/>
        <v>8000</v>
      </c>
      <c r="BQ79" s="114">
        <f t="shared" si="177"/>
        <v>8000</v>
      </c>
      <c r="BR79" s="114">
        <f t="shared" si="177"/>
        <v>8000</v>
      </c>
      <c r="BS79" s="114">
        <f t="shared" si="177"/>
        <v>8000</v>
      </c>
    </row>
    <row r="80" spans="1:71" ht="15" outlineLevel="2">
      <c r="B80" s="22"/>
      <c r="C80" s="21"/>
      <c r="D80" s="26" t="s">
        <v>212</v>
      </c>
      <c r="E80" s="18" t="s">
        <v>204</v>
      </c>
      <c r="F80" s="17"/>
      <c r="G80" s="15" t="str">
        <f>IFERROR(INDEX(PBC_ACCOUNT_LIST[Drivers Section],MATCH(Drivers!L80,PBC_ACCOUNT_LIST[Id],0)),"")</f>
        <v>Assets</v>
      </c>
      <c r="H80" s="15" t="str">
        <f>IFERROR(INDEX(PBC_ACCOUNT_LIST[Summary Grouping],MATCH(Drivers!L80,PBC_ACCOUNT_LIST[Id],0)),"")</f>
        <v>Fixed Assets</v>
      </c>
      <c r="I80" s="15" t="s">
        <v>45</v>
      </c>
      <c r="J80" s="15" t="str">
        <f>IFERROR(INDEX(PBC_ACCOUNT_LIST[Cash Flow Section],MATCH(Drivers!L80,PBC_ACCOUNT_LIST[Id],0)),"")</f>
        <v>Cash From Operating Activities</v>
      </c>
      <c r="K80" s="16" t="s">
        <v>159</v>
      </c>
      <c r="L80" s="15">
        <v>194</v>
      </c>
      <c r="M80" s="14"/>
      <c r="O80" s="9"/>
      <c r="P80" s="27">
        <f t="shared" si="159"/>
        <v>-51811.5</v>
      </c>
      <c r="Q80" s="27">
        <f t="shared" si="159"/>
        <v>-79267.44</v>
      </c>
      <c r="R80" s="27">
        <f t="shared" si="159"/>
        <v>-79267.44</v>
      </c>
      <c r="S80" s="27"/>
      <c r="T80" s="27"/>
      <c r="U80" s="27">
        <f t="shared" si="160"/>
        <v>-24354</v>
      </c>
      <c r="V80" s="27">
        <f t="shared" si="160"/>
        <v>-33506</v>
      </c>
      <c r="W80" s="27">
        <f t="shared" si="160"/>
        <v>-42659</v>
      </c>
      <c r="X80" s="27">
        <f t="shared" si="160"/>
        <v>-51811.5</v>
      </c>
      <c r="Y80" s="27">
        <f t="shared" si="160"/>
        <v>-60963.48</v>
      </c>
      <c r="Z80" s="27">
        <f t="shared" si="160"/>
        <v>-70115.460000000006</v>
      </c>
      <c r="AA80" s="27">
        <f t="shared" si="160"/>
        <v>-79267.44</v>
      </c>
      <c r="AB80" s="27">
        <f t="shared" si="160"/>
        <v>-79267.44</v>
      </c>
      <c r="AC80" s="27">
        <f t="shared" si="160"/>
        <v>-79267.44</v>
      </c>
      <c r="AD80" s="27">
        <f t="shared" si="160"/>
        <v>-79267.44</v>
      </c>
      <c r="AE80" s="27">
        <f t="shared" si="160"/>
        <v>-79267.44</v>
      </c>
      <c r="AF80" s="27">
        <f t="shared" si="160"/>
        <v>-79267.44</v>
      </c>
      <c r="AG80" s="112"/>
      <c r="AH80" s="113"/>
      <c r="AI80" s="27">
        <f>SUMIFS(PBC_BALANCE_SHEET[AccountBalance], PBC_BALANCE_SHEET[Id],$L80,PBC_BALANCE_SHEET[Date],AI$5)</f>
        <v>-15202</v>
      </c>
      <c r="AJ80" s="27">
        <f>SUMIFS(PBC_BALANCE_SHEET[AccountBalance], PBC_BALANCE_SHEET[Id],$L80,PBC_BALANCE_SHEET[Date],AJ$5)</f>
        <v>-18252.5</v>
      </c>
      <c r="AK80" s="27">
        <f>SUMIFS(PBC_BALANCE_SHEET[AccountBalance], PBC_BALANCE_SHEET[Id],$L80,PBC_BALANCE_SHEET[Date],AK$5)</f>
        <v>-21303.5</v>
      </c>
      <c r="AL80" s="27">
        <f>SUMIFS(PBC_BALANCE_SHEET[AccountBalance], PBC_BALANCE_SHEET[Id],$L80,PBC_BALANCE_SHEET[Date],AL$5)</f>
        <v>-24354</v>
      </c>
      <c r="AM80" s="27">
        <f>SUMIFS(PBC_BALANCE_SHEET[AccountBalance], PBC_BALANCE_SHEET[Id],$L80,PBC_BALANCE_SHEET[Date],AM$5)</f>
        <v>-27404.5</v>
      </c>
      <c r="AN80" s="27">
        <f>SUMIFS(PBC_BALANCE_SHEET[AccountBalance], PBC_BALANCE_SHEET[Id],$L80,PBC_BALANCE_SHEET[Date],AN$5)</f>
        <v>-30455</v>
      </c>
      <c r="AO80" s="27">
        <f>SUMIFS(PBC_BALANCE_SHEET[AccountBalance], PBC_BALANCE_SHEET[Id],$L80,PBC_BALANCE_SHEET[Date],AO$5)</f>
        <v>-33506</v>
      </c>
      <c r="AP80" s="27">
        <f>SUMIFS(PBC_BALANCE_SHEET[AccountBalance], PBC_BALANCE_SHEET[Id],$L80,PBC_BALANCE_SHEET[Date],AP$5)</f>
        <v>-36557</v>
      </c>
      <c r="AQ80" s="27">
        <f>SUMIFS(PBC_BALANCE_SHEET[AccountBalance], PBC_BALANCE_SHEET[Id],$L80,PBC_BALANCE_SHEET[Date],AQ$5)</f>
        <v>-39608</v>
      </c>
      <c r="AR80" s="27">
        <f>SUMIFS(PBC_BALANCE_SHEET[AccountBalance], PBC_BALANCE_SHEET[Id],$L80,PBC_BALANCE_SHEET[Date],AR$5)</f>
        <v>-42659</v>
      </c>
      <c r="AS80" s="27">
        <f>SUMIFS(PBC_BALANCE_SHEET[AccountBalance], PBC_BALANCE_SHEET[Id],$L80,PBC_BALANCE_SHEET[Date],AS$5)</f>
        <v>-45710</v>
      </c>
      <c r="AT80" s="27">
        <f>SUMIFS(PBC_BALANCE_SHEET[AccountBalance], PBC_BALANCE_SHEET[Id],$L80,PBC_BALANCE_SHEET[Date],AT$5)</f>
        <v>-48761</v>
      </c>
      <c r="AU80" s="27">
        <f>SUMIFS(PBC_BALANCE_SHEET[AccountBalance], PBC_BALANCE_SHEET[Id],$L80,PBC_BALANCE_SHEET[Date],AU$5)</f>
        <v>-51811.5</v>
      </c>
      <c r="AV80" s="27">
        <f>SUMIFS(PBC_BALANCE_SHEET[AccountBalance], PBC_BALANCE_SHEET[Id],$L80,PBC_BALANCE_SHEET[Date],AV$5)</f>
        <v>-54862.16</v>
      </c>
      <c r="AW80" s="27">
        <f>SUMIFS(PBC_BALANCE_SHEET[AccountBalance], PBC_BALANCE_SHEET[Id],$L80,PBC_BALANCE_SHEET[Date],AW$5)</f>
        <v>-57912.82</v>
      </c>
      <c r="AX80" s="27">
        <f>SUMIFS(PBC_BALANCE_SHEET[AccountBalance], PBC_BALANCE_SHEET[Id],$L80,PBC_BALANCE_SHEET[Date],AX$5)</f>
        <v>-60963.48</v>
      </c>
      <c r="AY80" s="27">
        <f>SUMIFS(PBC_BALANCE_SHEET[AccountBalance], PBC_BALANCE_SHEET[Id],$L80,PBC_BALANCE_SHEET[Date],AY$5)</f>
        <v>-64014.14</v>
      </c>
      <c r="AZ80" s="27">
        <f>SUMIFS(PBC_BALANCE_SHEET[AccountBalance], PBC_BALANCE_SHEET[Id],$L80,PBC_BALANCE_SHEET[Date],AZ$5)</f>
        <v>-67064.800000000003</v>
      </c>
      <c r="BA80" s="27">
        <f>SUMIFS(PBC_BALANCE_SHEET[AccountBalance], PBC_BALANCE_SHEET[Id],$L80,PBC_BALANCE_SHEET[Date],BA$5)</f>
        <v>-70115.460000000006</v>
      </c>
      <c r="BB80" s="27">
        <f>SUMIFS(PBC_BALANCE_SHEET[AccountBalance], PBC_BALANCE_SHEET[Id],$L80,PBC_BALANCE_SHEET[Date],BB$5)</f>
        <v>-73166.12</v>
      </c>
      <c r="BC80" s="27">
        <f>SUMIFS(PBC_BALANCE_SHEET[AccountBalance], PBC_BALANCE_SHEET[Id],$L80,PBC_BALANCE_SHEET[Date],BC$5)</f>
        <v>-76216.78</v>
      </c>
      <c r="BD80" s="27">
        <f>SUMIFS(PBC_BALANCE_SHEET[AccountBalance], PBC_BALANCE_SHEET[Id],$L80,PBC_BALANCE_SHEET[Date],BD$5)</f>
        <v>-79267.44</v>
      </c>
      <c r="BE80" s="114">
        <f t="shared" ref="BE80" si="178">BD80</f>
        <v>-79267.44</v>
      </c>
      <c r="BF80" s="114">
        <f t="shared" ref="BF80:BS80" si="179">BE80</f>
        <v>-79267.44</v>
      </c>
      <c r="BG80" s="114">
        <f t="shared" si="179"/>
        <v>-79267.44</v>
      </c>
      <c r="BH80" s="114">
        <f t="shared" si="179"/>
        <v>-79267.44</v>
      </c>
      <c r="BI80" s="114">
        <f t="shared" si="179"/>
        <v>-79267.44</v>
      </c>
      <c r="BJ80" s="114">
        <f t="shared" si="179"/>
        <v>-79267.44</v>
      </c>
      <c r="BK80" s="114">
        <f t="shared" si="179"/>
        <v>-79267.44</v>
      </c>
      <c r="BL80" s="114">
        <f t="shared" si="179"/>
        <v>-79267.44</v>
      </c>
      <c r="BM80" s="114">
        <f t="shared" si="179"/>
        <v>-79267.44</v>
      </c>
      <c r="BN80" s="114">
        <f t="shared" si="179"/>
        <v>-79267.44</v>
      </c>
      <c r="BO80" s="114">
        <f t="shared" si="179"/>
        <v>-79267.44</v>
      </c>
      <c r="BP80" s="114">
        <f t="shared" si="179"/>
        <v>-79267.44</v>
      </c>
      <c r="BQ80" s="114">
        <f t="shared" si="179"/>
        <v>-79267.44</v>
      </c>
      <c r="BR80" s="114">
        <f t="shared" si="179"/>
        <v>-79267.44</v>
      </c>
      <c r="BS80" s="114">
        <f t="shared" si="179"/>
        <v>-79267.44</v>
      </c>
    </row>
    <row r="81" spans="1:71" ht="15" outlineLevel="2">
      <c r="B81" s="22"/>
      <c r="C81" s="21"/>
      <c r="D81" s="26" t="s">
        <v>213</v>
      </c>
      <c r="E81" s="18" t="s">
        <v>204</v>
      </c>
      <c r="F81" s="17"/>
      <c r="G81" s="15" t="str">
        <f>IFERROR(INDEX(PBC_ACCOUNT_LIST[Drivers Section],MATCH(Drivers!L81,PBC_ACCOUNT_LIST[Id],0)),"")</f>
        <v>Assets</v>
      </c>
      <c r="H81" s="15" t="str">
        <f>IFERROR(INDEX(PBC_ACCOUNT_LIST[Summary Grouping],MATCH(Drivers!L81,PBC_ACCOUNT_LIST[Id],0)),"")</f>
        <v>Fixed Assets</v>
      </c>
      <c r="I81" s="15" t="str">
        <f t="shared" si="163"/>
        <v>Fixed Assets</v>
      </c>
      <c r="J81" s="15" t="str">
        <f>IFERROR(INDEX(PBC_ACCOUNT_LIST[Cash Flow Section],MATCH(Drivers!L81,PBC_ACCOUNT_LIST[Id],0)),"")</f>
        <v>Cash From Investing Activities</v>
      </c>
      <c r="K81" s="16" t="s">
        <v>159</v>
      </c>
      <c r="L81" s="15">
        <v>60</v>
      </c>
      <c r="M81" s="14"/>
      <c r="O81" s="9"/>
      <c r="P81" s="27">
        <f t="shared" si="159"/>
        <v>52718</v>
      </c>
      <c r="Q81" s="27">
        <f t="shared" si="159"/>
        <v>52718</v>
      </c>
      <c r="R81" s="27">
        <f t="shared" si="159"/>
        <v>52718</v>
      </c>
      <c r="S81" s="27"/>
      <c r="T81" s="27"/>
      <c r="U81" s="27">
        <f t="shared" si="160"/>
        <v>52718</v>
      </c>
      <c r="V81" s="27">
        <f t="shared" si="160"/>
        <v>52718</v>
      </c>
      <c r="W81" s="27">
        <f t="shared" si="160"/>
        <v>52718</v>
      </c>
      <c r="X81" s="27">
        <f t="shared" si="160"/>
        <v>52718</v>
      </c>
      <c r="Y81" s="27">
        <f t="shared" si="160"/>
        <v>52718</v>
      </c>
      <c r="Z81" s="27">
        <f t="shared" si="160"/>
        <v>52718</v>
      </c>
      <c r="AA81" s="27">
        <f t="shared" si="160"/>
        <v>52718</v>
      </c>
      <c r="AB81" s="27">
        <f t="shared" si="160"/>
        <v>52718</v>
      </c>
      <c r="AC81" s="27">
        <f t="shared" si="160"/>
        <v>52718</v>
      </c>
      <c r="AD81" s="27">
        <f t="shared" si="160"/>
        <v>52718</v>
      </c>
      <c r="AE81" s="27">
        <f t="shared" si="160"/>
        <v>52718</v>
      </c>
      <c r="AF81" s="27">
        <f t="shared" si="160"/>
        <v>52718</v>
      </c>
      <c r="AG81" s="112"/>
      <c r="AH81" s="113"/>
      <c r="AI81" s="27">
        <f>SUMIFS(PBC_BALANCE_SHEET[AccountBalance], PBC_BALANCE_SHEET[Id],$L81,PBC_BALANCE_SHEET[Date],AI$5)</f>
        <v>52718</v>
      </c>
      <c r="AJ81" s="27">
        <f>SUMIFS(PBC_BALANCE_SHEET[AccountBalance], PBC_BALANCE_SHEET[Id],$L81,PBC_BALANCE_SHEET[Date],AJ$5)</f>
        <v>52718</v>
      </c>
      <c r="AK81" s="27">
        <f>SUMIFS(PBC_BALANCE_SHEET[AccountBalance], PBC_BALANCE_SHEET[Id],$L81,PBC_BALANCE_SHEET[Date],AK$5)</f>
        <v>52718</v>
      </c>
      <c r="AL81" s="27">
        <f>SUMIFS(PBC_BALANCE_SHEET[AccountBalance], PBC_BALANCE_SHEET[Id],$L81,PBC_BALANCE_SHEET[Date],AL$5)</f>
        <v>52718</v>
      </c>
      <c r="AM81" s="27">
        <f>SUMIFS(PBC_BALANCE_SHEET[AccountBalance], PBC_BALANCE_SHEET[Id],$L81,PBC_BALANCE_SHEET[Date],AM$5)</f>
        <v>52718</v>
      </c>
      <c r="AN81" s="27">
        <f>SUMIFS(PBC_BALANCE_SHEET[AccountBalance], PBC_BALANCE_SHEET[Id],$L81,PBC_BALANCE_SHEET[Date],AN$5)</f>
        <v>52718</v>
      </c>
      <c r="AO81" s="27">
        <f>SUMIFS(PBC_BALANCE_SHEET[AccountBalance], PBC_BALANCE_SHEET[Id],$L81,PBC_BALANCE_SHEET[Date],AO$5)</f>
        <v>52718</v>
      </c>
      <c r="AP81" s="27">
        <f>SUMIFS(PBC_BALANCE_SHEET[AccountBalance], PBC_BALANCE_SHEET[Id],$L81,PBC_BALANCE_SHEET[Date],AP$5)</f>
        <v>52718</v>
      </c>
      <c r="AQ81" s="27">
        <f>SUMIFS(PBC_BALANCE_SHEET[AccountBalance], PBC_BALANCE_SHEET[Id],$L81,PBC_BALANCE_SHEET[Date],AQ$5)</f>
        <v>52718</v>
      </c>
      <c r="AR81" s="27">
        <f>SUMIFS(PBC_BALANCE_SHEET[AccountBalance], PBC_BALANCE_SHEET[Id],$L81,PBC_BALANCE_SHEET[Date],AR$5)</f>
        <v>52718</v>
      </c>
      <c r="AS81" s="27">
        <f>SUMIFS(PBC_BALANCE_SHEET[AccountBalance], PBC_BALANCE_SHEET[Id],$L81,PBC_BALANCE_SHEET[Date],AS$5)</f>
        <v>52718</v>
      </c>
      <c r="AT81" s="27">
        <f>SUMIFS(PBC_BALANCE_SHEET[AccountBalance], PBC_BALANCE_SHEET[Id],$L81,PBC_BALANCE_SHEET[Date],AT$5)</f>
        <v>52718</v>
      </c>
      <c r="AU81" s="27">
        <f>SUMIFS(PBC_BALANCE_SHEET[AccountBalance], PBC_BALANCE_SHEET[Id],$L81,PBC_BALANCE_SHEET[Date],AU$5)</f>
        <v>52718</v>
      </c>
      <c r="AV81" s="27">
        <f>SUMIFS(PBC_BALANCE_SHEET[AccountBalance], PBC_BALANCE_SHEET[Id],$L81,PBC_BALANCE_SHEET[Date],AV$5)</f>
        <v>52718</v>
      </c>
      <c r="AW81" s="27">
        <f>SUMIFS(PBC_BALANCE_SHEET[AccountBalance], PBC_BALANCE_SHEET[Id],$L81,PBC_BALANCE_SHEET[Date],AW$5)</f>
        <v>52718</v>
      </c>
      <c r="AX81" s="27">
        <f>SUMIFS(PBC_BALANCE_SHEET[AccountBalance], PBC_BALANCE_SHEET[Id],$L81,PBC_BALANCE_SHEET[Date],AX$5)</f>
        <v>52718</v>
      </c>
      <c r="AY81" s="27">
        <f>SUMIFS(PBC_BALANCE_SHEET[AccountBalance], PBC_BALANCE_SHEET[Id],$L81,PBC_BALANCE_SHEET[Date],AY$5)</f>
        <v>52718</v>
      </c>
      <c r="AZ81" s="27">
        <f>SUMIFS(PBC_BALANCE_SHEET[AccountBalance], PBC_BALANCE_SHEET[Id],$L81,PBC_BALANCE_SHEET[Date],AZ$5)</f>
        <v>52718</v>
      </c>
      <c r="BA81" s="27">
        <f>SUMIFS(PBC_BALANCE_SHEET[AccountBalance], PBC_BALANCE_SHEET[Id],$L81,PBC_BALANCE_SHEET[Date],BA$5)</f>
        <v>52718</v>
      </c>
      <c r="BB81" s="27">
        <f>SUMIFS(PBC_BALANCE_SHEET[AccountBalance], PBC_BALANCE_SHEET[Id],$L81,PBC_BALANCE_SHEET[Date],BB$5)</f>
        <v>52718</v>
      </c>
      <c r="BC81" s="27">
        <f>SUMIFS(PBC_BALANCE_SHEET[AccountBalance], PBC_BALANCE_SHEET[Id],$L81,PBC_BALANCE_SHEET[Date],BC$5)</f>
        <v>52718</v>
      </c>
      <c r="BD81" s="27">
        <f>SUMIFS(PBC_BALANCE_SHEET[AccountBalance], PBC_BALANCE_SHEET[Id],$L81,PBC_BALANCE_SHEET[Date],BD$5)</f>
        <v>52718</v>
      </c>
      <c r="BE81" s="114">
        <f t="shared" ref="BE81" si="180">BD81</f>
        <v>52718</v>
      </c>
      <c r="BF81" s="114">
        <f t="shared" ref="BF81:BS81" si="181">BE81</f>
        <v>52718</v>
      </c>
      <c r="BG81" s="114">
        <f t="shared" si="181"/>
        <v>52718</v>
      </c>
      <c r="BH81" s="114">
        <f t="shared" si="181"/>
        <v>52718</v>
      </c>
      <c r="BI81" s="114">
        <f t="shared" si="181"/>
        <v>52718</v>
      </c>
      <c r="BJ81" s="114">
        <f t="shared" si="181"/>
        <v>52718</v>
      </c>
      <c r="BK81" s="114">
        <f t="shared" si="181"/>
        <v>52718</v>
      </c>
      <c r="BL81" s="114">
        <f t="shared" si="181"/>
        <v>52718</v>
      </c>
      <c r="BM81" s="114">
        <f t="shared" si="181"/>
        <v>52718</v>
      </c>
      <c r="BN81" s="114">
        <f t="shared" si="181"/>
        <v>52718</v>
      </c>
      <c r="BO81" s="114">
        <f t="shared" si="181"/>
        <v>52718</v>
      </c>
      <c r="BP81" s="114">
        <f t="shared" si="181"/>
        <v>52718</v>
      </c>
      <c r="BQ81" s="114">
        <f t="shared" si="181"/>
        <v>52718</v>
      </c>
      <c r="BR81" s="114">
        <f t="shared" si="181"/>
        <v>52718</v>
      </c>
      <c r="BS81" s="114">
        <f t="shared" si="181"/>
        <v>52718</v>
      </c>
    </row>
    <row r="82" spans="1:71" ht="14.45" customHeight="1" outlineLevel="2">
      <c r="B82" s="22"/>
      <c r="C82" s="21"/>
      <c r="D82" s="26" t="s">
        <v>214</v>
      </c>
      <c r="E82" s="18" t="s">
        <v>204</v>
      </c>
      <c r="F82" s="17"/>
      <c r="G82" s="15" t="str">
        <f>IFERROR(INDEX(PBC_ACCOUNT_LIST[Drivers Section],MATCH(Drivers!L82,PBC_ACCOUNT_LIST[Id],0)),"")</f>
        <v>Assets</v>
      </c>
      <c r="H82" s="15" t="str">
        <f>IFERROR(INDEX(PBC_ACCOUNT_LIST[Summary Grouping],MATCH(Drivers!L82,PBC_ACCOUNT_LIST[Id],0)),"")</f>
        <v>Fixed Assets</v>
      </c>
      <c r="I82" s="15" t="str">
        <f t="shared" si="163"/>
        <v>Fixed Assets</v>
      </c>
      <c r="J82" s="15" t="str">
        <f>IFERROR(INDEX(PBC_ACCOUNT_LIST[Cash Flow Section],MATCH(Drivers!L82,PBC_ACCOUNT_LIST[Id],0)),"")</f>
        <v>Cash From Investing Activities</v>
      </c>
      <c r="K82" s="16" t="s">
        <v>159</v>
      </c>
      <c r="L82" s="15">
        <v>1150040001</v>
      </c>
      <c r="M82" s="14"/>
      <c r="O82" s="9"/>
      <c r="P82" s="27">
        <f t="shared" si="159"/>
        <v>7951</v>
      </c>
      <c r="Q82" s="27">
        <f t="shared" si="159"/>
        <v>7951</v>
      </c>
      <c r="R82" s="27">
        <f t="shared" si="159"/>
        <v>7951</v>
      </c>
      <c r="S82" s="27"/>
      <c r="T82" s="27"/>
      <c r="U82" s="27">
        <f t="shared" si="160"/>
        <v>7951</v>
      </c>
      <c r="V82" s="27">
        <f t="shared" si="160"/>
        <v>7951</v>
      </c>
      <c r="W82" s="27">
        <f t="shared" si="160"/>
        <v>7951</v>
      </c>
      <c r="X82" s="27">
        <f t="shared" si="160"/>
        <v>7951</v>
      </c>
      <c r="Y82" s="27">
        <f t="shared" si="160"/>
        <v>7951</v>
      </c>
      <c r="Z82" s="27">
        <f t="shared" si="160"/>
        <v>7951</v>
      </c>
      <c r="AA82" s="27">
        <f t="shared" si="160"/>
        <v>7951</v>
      </c>
      <c r="AB82" s="27">
        <f t="shared" si="160"/>
        <v>7951</v>
      </c>
      <c r="AC82" s="27">
        <f t="shared" si="160"/>
        <v>7951</v>
      </c>
      <c r="AD82" s="27">
        <f t="shared" si="160"/>
        <v>7951</v>
      </c>
      <c r="AE82" s="27">
        <f t="shared" si="160"/>
        <v>7951</v>
      </c>
      <c r="AF82" s="27">
        <f t="shared" si="160"/>
        <v>7951</v>
      </c>
      <c r="AG82" s="112"/>
      <c r="AH82" s="113"/>
      <c r="AI82" s="27">
        <f>SUMIFS(PBC_BALANCE_SHEET[AccountBalance], PBC_BALANCE_SHEET[Id],$L82,PBC_BALANCE_SHEET[Date],AI$5)</f>
        <v>7951</v>
      </c>
      <c r="AJ82" s="27">
        <f>SUMIFS(PBC_BALANCE_SHEET[AccountBalance], PBC_BALANCE_SHEET[Id],$L82,PBC_BALANCE_SHEET[Date],AJ$5)</f>
        <v>7951</v>
      </c>
      <c r="AK82" s="27">
        <f>SUMIFS(PBC_BALANCE_SHEET[AccountBalance], PBC_BALANCE_SHEET[Id],$L82,PBC_BALANCE_SHEET[Date],AK$5)</f>
        <v>7951</v>
      </c>
      <c r="AL82" s="27">
        <f>SUMIFS(PBC_BALANCE_SHEET[AccountBalance], PBC_BALANCE_SHEET[Id],$L82,PBC_BALANCE_SHEET[Date],AL$5)</f>
        <v>7951</v>
      </c>
      <c r="AM82" s="27">
        <f>SUMIFS(PBC_BALANCE_SHEET[AccountBalance], PBC_BALANCE_SHEET[Id],$L82,PBC_BALANCE_SHEET[Date],AM$5)</f>
        <v>7951</v>
      </c>
      <c r="AN82" s="27">
        <f>SUMIFS(PBC_BALANCE_SHEET[AccountBalance], PBC_BALANCE_SHEET[Id],$L82,PBC_BALANCE_SHEET[Date],AN$5)</f>
        <v>7951</v>
      </c>
      <c r="AO82" s="27">
        <f>SUMIFS(PBC_BALANCE_SHEET[AccountBalance], PBC_BALANCE_SHEET[Id],$L82,PBC_BALANCE_SHEET[Date],AO$5)</f>
        <v>7951</v>
      </c>
      <c r="AP82" s="27">
        <f>SUMIFS(PBC_BALANCE_SHEET[AccountBalance], PBC_BALANCE_SHEET[Id],$L82,PBC_BALANCE_SHEET[Date],AP$5)</f>
        <v>7951</v>
      </c>
      <c r="AQ82" s="27">
        <f>SUMIFS(PBC_BALANCE_SHEET[AccountBalance], PBC_BALANCE_SHEET[Id],$L82,PBC_BALANCE_SHEET[Date],AQ$5)</f>
        <v>7951</v>
      </c>
      <c r="AR82" s="27">
        <f>SUMIFS(PBC_BALANCE_SHEET[AccountBalance], PBC_BALANCE_SHEET[Id],$L82,PBC_BALANCE_SHEET[Date],AR$5)</f>
        <v>7951</v>
      </c>
      <c r="AS82" s="27">
        <f>SUMIFS(PBC_BALANCE_SHEET[AccountBalance], PBC_BALANCE_SHEET[Id],$L82,PBC_BALANCE_SHEET[Date],AS$5)</f>
        <v>7951</v>
      </c>
      <c r="AT82" s="27">
        <f>SUMIFS(PBC_BALANCE_SHEET[AccountBalance], PBC_BALANCE_SHEET[Id],$L82,PBC_BALANCE_SHEET[Date],AT$5)</f>
        <v>7951</v>
      </c>
      <c r="AU82" s="27">
        <f>SUMIFS(PBC_BALANCE_SHEET[AccountBalance], PBC_BALANCE_SHEET[Id],$L82,PBC_BALANCE_SHEET[Date],AU$5)</f>
        <v>7951</v>
      </c>
      <c r="AV82" s="27">
        <f>SUMIFS(PBC_BALANCE_SHEET[AccountBalance], PBC_BALANCE_SHEET[Id],$L82,PBC_BALANCE_SHEET[Date],AV$5)</f>
        <v>7951</v>
      </c>
      <c r="AW82" s="27">
        <f>SUMIFS(PBC_BALANCE_SHEET[AccountBalance], PBC_BALANCE_SHEET[Id],$L82,PBC_BALANCE_SHEET[Date],AW$5)</f>
        <v>7951</v>
      </c>
      <c r="AX82" s="27">
        <f>SUMIFS(PBC_BALANCE_SHEET[AccountBalance], PBC_BALANCE_SHEET[Id],$L82,PBC_BALANCE_SHEET[Date],AX$5)</f>
        <v>7951</v>
      </c>
      <c r="AY82" s="27">
        <f>SUMIFS(PBC_BALANCE_SHEET[AccountBalance], PBC_BALANCE_SHEET[Id],$L82,PBC_BALANCE_SHEET[Date],AY$5)</f>
        <v>7951</v>
      </c>
      <c r="AZ82" s="27">
        <f>SUMIFS(PBC_BALANCE_SHEET[AccountBalance], PBC_BALANCE_SHEET[Id],$L82,PBC_BALANCE_SHEET[Date],AZ$5)</f>
        <v>7951</v>
      </c>
      <c r="BA82" s="27">
        <f>SUMIFS(PBC_BALANCE_SHEET[AccountBalance], PBC_BALANCE_SHEET[Id],$L82,PBC_BALANCE_SHEET[Date],BA$5)</f>
        <v>7951</v>
      </c>
      <c r="BB82" s="27">
        <f>SUMIFS(PBC_BALANCE_SHEET[AccountBalance], PBC_BALANCE_SHEET[Id],$L82,PBC_BALANCE_SHEET[Date],BB$5)</f>
        <v>7951</v>
      </c>
      <c r="BC82" s="27">
        <f>SUMIFS(PBC_BALANCE_SHEET[AccountBalance], PBC_BALANCE_SHEET[Id],$L82,PBC_BALANCE_SHEET[Date],BC$5)</f>
        <v>7951</v>
      </c>
      <c r="BD82" s="27">
        <f>SUMIFS(PBC_BALANCE_SHEET[AccountBalance], PBC_BALANCE_SHEET[Id],$L82,PBC_BALANCE_SHEET[Date],BD$5)</f>
        <v>7951</v>
      </c>
      <c r="BE82" s="114">
        <f t="shared" ref="BE82" si="182">BD82</f>
        <v>7951</v>
      </c>
      <c r="BF82" s="114">
        <f t="shared" ref="BF82:BS82" si="183">BE82</f>
        <v>7951</v>
      </c>
      <c r="BG82" s="114">
        <f t="shared" si="183"/>
        <v>7951</v>
      </c>
      <c r="BH82" s="114">
        <f t="shared" si="183"/>
        <v>7951</v>
      </c>
      <c r="BI82" s="114">
        <f t="shared" si="183"/>
        <v>7951</v>
      </c>
      <c r="BJ82" s="114">
        <f t="shared" si="183"/>
        <v>7951</v>
      </c>
      <c r="BK82" s="114">
        <f t="shared" si="183"/>
        <v>7951</v>
      </c>
      <c r="BL82" s="114">
        <f t="shared" si="183"/>
        <v>7951</v>
      </c>
      <c r="BM82" s="114">
        <f t="shared" si="183"/>
        <v>7951</v>
      </c>
      <c r="BN82" s="114">
        <f t="shared" si="183"/>
        <v>7951</v>
      </c>
      <c r="BO82" s="114">
        <f t="shared" si="183"/>
        <v>7951</v>
      </c>
      <c r="BP82" s="114">
        <f t="shared" si="183"/>
        <v>7951</v>
      </c>
      <c r="BQ82" s="114">
        <f t="shared" si="183"/>
        <v>7951</v>
      </c>
      <c r="BR82" s="114">
        <f t="shared" si="183"/>
        <v>7951</v>
      </c>
      <c r="BS82" s="114">
        <f t="shared" si="183"/>
        <v>7951</v>
      </c>
    </row>
    <row r="83" spans="1:71" ht="15" outlineLevel="1">
      <c r="B83" s="22"/>
      <c r="C83" s="21"/>
      <c r="D83" s="26"/>
      <c r="E83" s="18"/>
      <c r="F83" s="17"/>
      <c r="G83" s="15"/>
      <c r="H83" s="15"/>
      <c r="I83" s="15"/>
      <c r="J83" s="15"/>
      <c r="K83" s="16"/>
      <c r="L83" s="15"/>
      <c r="M83" s="14"/>
      <c r="O83" s="9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5"/>
      <c r="AH83" s="9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>
        <f>BD80-AU80</f>
        <v>-27455.940000000002</v>
      </c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</row>
    <row r="84" spans="1:71" ht="15" outlineLevel="1">
      <c r="A84" s="23"/>
      <c r="B84" s="22"/>
      <c r="C84" s="21" t="s">
        <v>56</v>
      </c>
      <c r="D84" s="20"/>
      <c r="E84" s="18"/>
      <c r="F84" s="17"/>
      <c r="G84" s="15"/>
      <c r="H84" s="15"/>
      <c r="I84" s="15"/>
      <c r="J84" s="15"/>
      <c r="K84" s="16"/>
      <c r="L84" s="15"/>
      <c r="M84" s="14"/>
      <c r="O84" s="9"/>
      <c r="P84" s="19">
        <f>SUM(P85:P95)</f>
        <v>1603677.5</v>
      </c>
      <c r="Q84" s="19">
        <f>SUM(Q85:Q95)</f>
        <v>2654677.5</v>
      </c>
      <c r="R84" s="19">
        <f>SUM(R85:R95)</f>
        <v>2654677.5</v>
      </c>
      <c r="S84" s="9"/>
      <c r="T84" s="9"/>
      <c r="U84" s="19">
        <f t="shared" ref="U84:AF84" si="184">SUM(U85:U95)</f>
        <v>1603677.5</v>
      </c>
      <c r="V84" s="19">
        <f t="shared" si="184"/>
        <v>1603677.5</v>
      </c>
      <c r="W84" s="19">
        <f t="shared" si="184"/>
        <v>1603677.5</v>
      </c>
      <c r="X84" s="19">
        <f t="shared" si="184"/>
        <v>1603677.5</v>
      </c>
      <c r="Y84" s="19">
        <f t="shared" si="184"/>
        <v>1603677.5</v>
      </c>
      <c r="Z84" s="19">
        <f t="shared" si="184"/>
        <v>1604677.5</v>
      </c>
      <c r="AA84" s="19">
        <f t="shared" si="184"/>
        <v>1604677.5</v>
      </c>
      <c r="AB84" s="19">
        <f t="shared" si="184"/>
        <v>2654677.5</v>
      </c>
      <c r="AC84" s="19">
        <f t="shared" si="184"/>
        <v>2654677.5</v>
      </c>
      <c r="AD84" s="19">
        <f t="shared" si="184"/>
        <v>2654677.5</v>
      </c>
      <c r="AE84" s="19">
        <f t="shared" si="184"/>
        <v>2654677.5</v>
      </c>
      <c r="AF84" s="19">
        <f t="shared" si="184"/>
        <v>2654677.5</v>
      </c>
      <c r="AH84" s="9"/>
      <c r="AI84" s="19">
        <f t="shared" ref="AI84:BD84" si="185">IF(AI$5&lt;=LatestMonthOfActuals,SUMIFS(AI85:AI95,$K85:$K95,"Account"),SUMIFS(AI85:AI95,$K85:$K95,"&lt;&gt;Sub-Account"))</f>
        <v>1603677.5</v>
      </c>
      <c r="AJ84" s="19">
        <f t="shared" si="185"/>
        <v>1603677.5</v>
      </c>
      <c r="AK84" s="19">
        <f t="shared" si="185"/>
        <v>1603677.5</v>
      </c>
      <c r="AL84" s="19">
        <f t="shared" si="185"/>
        <v>1603677.5</v>
      </c>
      <c r="AM84" s="19">
        <f t="shared" si="185"/>
        <v>1603677.5</v>
      </c>
      <c r="AN84" s="19">
        <f t="shared" si="185"/>
        <v>1603677.5</v>
      </c>
      <c r="AO84" s="19">
        <f t="shared" si="185"/>
        <v>1603677.5</v>
      </c>
      <c r="AP84" s="19">
        <f t="shared" si="185"/>
        <v>1603677.5</v>
      </c>
      <c r="AQ84" s="19">
        <f t="shared" si="185"/>
        <v>1603677.5</v>
      </c>
      <c r="AR84" s="19">
        <f t="shared" si="185"/>
        <v>1603677.5</v>
      </c>
      <c r="AS84" s="19">
        <f t="shared" si="185"/>
        <v>1603677.5</v>
      </c>
      <c r="AT84" s="19">
        <f t="shared" si="185"/>
        <v>1603677.5</v>
      </c>
      <c r="AU84" s="19">
        <f t="shared" si="185"/>
        <v>1603677.5</v>
      </c>
      <c r="AV84" s="19">
        <f t="shared" si="185"/>
        <v>1603677.5</v>
      </c>
      <c r="AW84" s="19">
        <f t="shared" si="185"/>
        <v>1603677.5</v>
      </c>
      <c r="AX84" s="19">
        <f t="shared" si="185"/>
        <v>1603677.5</v>
      </c>
      <c r="AY84" s="19">
        <f t="shared" si="185"/>
        <v>1603677.5</v>
      </c>
      <c r="AZ84" s="19">
        <f t="shared" si="185"/>
        <v>1603677.5</v>
      </c>
      <c r="BA84" s="19">
        <f t="shared" si="185"/>
        <v>1604677.5</v>
      </c>
      <c r="BB84" s="19">
        <f t="shared" si="185"/>
        <v>1604677.5</v>
      </c>
      <c r="BC84" s="19">
        <f t="shared" si="185"/>
        <v>1604677.5</v>
      </c>
      <c r="BD84" s="19">
        <f t="shared" si="185"/>
        <v>1604677.5</v>
      </c>
      <c r="BE84" s="19">
        <f t="shared" ref="BE84" si="186">IF(BE$5&lt;=LatestMonthOfActuals,SUMIFS(BE85:BE95,$K85:$K95,"Account"),SUMIFS(BE85:BE95,$K85:$K95,"&lt;&gt;Sub-Account"))</f>
        <v>1654677.5</v>
      </c>
      <c r="BF84" s="19">
        <f t="shared" ref="BF84:BS84" si="187">IF(BF$5&lt;=LatestMonthOfActuals,SUMIFS(BF85:BF95,$K85:$K95,"Account"),SUMIFS(BF85:BF95,$K85:$K95,"&lt;&gt;Sub-Account"))</f>
        <v>1654677.5</v>
      </c>
      <c r="BG84" s="19">
        <f t="shared" si="187"/>
        <v>2654677.5</v>
      </c>
      <c r="BH84" s="19">
        <f t="shared" si="187"/>
        <v>2654677.5</v>
      </c>
      <c r="BI84" s="19">
        <f t="shared" si="187"/>
        <v>2654677.5</v>
      </c>
      <c r="BJ84" s="19">
        <f t="shared" si="187"/>
        <v>2654677.5</v>
      </c>
      <c r="BK84" s="19">
        <f t="shared" si="187"/>
        <v>2654677.5</v>
      </c>
      <c r="BL84" s="19">
        <f t="shared" si="187"/>
        <v>2654677.5</v>
      </c>
      <c r="BM84" s="19">
        <f t="shared" si="187"/>
        <v>2654677.5</v>
      </c>
      <c r="BN84" s="19">
        <f t="shared" si="187"/>
        <v>2654677.5</v>
      </c>
      <c r="BO84" s="19">
        <f t="shared" si="187"/>
        <v>2654677.5</v>
      </c>
      <c r="BP84" s="19">
        <f t="shared" si="187"/>
        <v>2654677.5</v>
      </c>
      <c r="BQ84" s="19">
        <f t="shared" si="187"/>
        <v>2654677.5</v>
      </c>
      <c r="BR84" s="19">
        <f t="shared" si="187"/>
        <v>2654677.5</v>
      </c>
      <c r="BS84" s="19">
        <f t="shared" si="187"/>
        <v>2654677.5</v>
      </c>
    </row>
    <row r="85" spans="1:71" ht="6" customHeight="1" outlineLevel="2">
      <c r="A85" s="2" t="s">
        <v>215</v>
      </c>
      <c r="B85" s="22"/>
      <c r="C85" s="21"/>
      <c r="D85" s="26"/>
      <c r="E85" s="18"/>
      <c r="F85" s="17"/>
      <c r="G85" s="15"/>
      <c r="H85" s="15"/>
      <c r="I85" s="15"/>
      <c r="J85" s="15"/>
      <c r="K85" s="16"/>
      <c r="L85" s="15"/>
      <c r="M85" s="14"/>
      <c r="O85" s="9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5"/>
      <c r="AH85" s="9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</row>
    <row r="86" spans="1:71" ht="15" outlineLevel="2">
      <c r="B86" s="22"/>
      <c r="C86" s="21"/>
      <c r="D86" s="26" t="s">
        <v>216</v>
      </c>
      <c r="E86" s="18" t="s">
        <v>204</v>
      </c>
      <c r="F86" s="17"/>
      <c r="G86" s="15" t="str">
        <f>IFERROR(INDEX(PBC_ACCOUNT_LIST[Drivers Section],MATCH(Drivers!L86,PBC_ACCOUNT_LIST[Id],0)),"")</f>
        <v>Liabilities</v>
      </c>
      <c r="H86" s="15" t="str">
        <f>IFERROR(INDEX(PBC_ACCOUNT_LIST[Summary Grouping],MATCH(Drivers!L86,PBC_ACCOUNT_LIST[Id],0)),"")</f>
        <v>Accounts Payable</v>
      </c>
      <c r="I86" s="15" t="str">
        <f t="shared" ref="I86:I94" si="188">H86</f>
        <v>Accounts Payable</v>
      </c>
      <c r="J86" s="15" t="str">
        <f>IFERROR(INDEX(PBC_ACCOUNT_LIST[Cash Flow Section],MATCH(Drivers!L86,PBC_ACCOUNT_LIST[Id],0)),"")</f>
        <v>Cash from Operating Activities</v>
      </c>
      <c r="K86" s="16" t="s">
        <v>159</v>
      </c>
      <c r="L86" s="15">
        <v>155</v>
      </c>
      <c r="M86" s="14"/>
      <c r="O86" s="9"/>
      <c r="P86" s="27">
        <f t="shared" ref="P86:R94" si="189">INDEX($AI86:$BS86,MATCH(P$5,$AI$5:$BS$5,0))</f>
        <v>55349.5</v>
      </c>
      <c r="Q86" s="27">
        <f t="shared" si="189"/>
        <v>55349.5</v>
      </c>
      <c r="R86" s="27">
        <f t="shared" si="189"/>
        <v>55349.5</v>
      </c>
      <c r="S86" s="27"/>
      <c r="T86" s="27"/>
      <c r="U86" s="27">
        <f t="shared" ref="U86:AF94" si="190">INDEX($AI86:$BS86,MATCH(U$5,$AI$5:$BS$5,0))</f>
        <v>55349.5</v>
      </c>
      <c r="V86" s="27">
        <f t="shared" si="190"/>
        <v>55349.5</v>
      </c>
      <c r="W86" s="27">
        <f t="shared" si="190"/>
        <v>55349.5</v>
      </c>
      <c r="X86" s="27">
        <f t="shared" si="190"/>
        <v>55349.5</v>
      </c>
      <c r="Y86" s="27">
        <f t="shared" si="190"/>
        <v>55349.5</v>
      </c>
      <c r="Z86" s="27">
        <f t="shared" si="190"/>
        <v>55349.5</v>
      </c>
      <c r="AA86" s="27">
        <f t="shared" si="190"/>
        <v>55349.5</v>
      </c>
      <c r="AB86" s="27">
        <f t="shared" si="190"/>
        <v>55349.5</v>
      </c>
      <c r="AC86" s="27">
        <f t="shared" si="190"/>
        <v>55349.5</v>
      </c>
      <c r="AD86" s="27">
        <f t="shared" si="190"/>
        <v>55349.5</v>
      </c>
      <c r="AE86" s="27">
        <f t="shared" si="190"/>
        <v>55349.5</v>
      </c>
      <c r="AF86" s="27">
        <f t="shared" si="190"/>
        <v>55349.5</v>
      </c>
      <c r="AG86" s="112"/>
      <c r="AH86" s="113"/>
      <c r="AI86" s="27">
        <f>SUMIFS(PBC_BALANCE_SHEET[AccountBalance], PBC_BALANCE_SHEET[Id],$L86,PBC_BALANCE_SHEET[Date],AI$5)</f>
        <v>55349.5</v>
      </c>
      <c r="AJ86" s="27">
        <f>SUMIFS(PBC_BALANCE_SHEET[AccountBalance], PBC_BALANCE_SHEET[Id],$L86,PBC_BALANCE_SHEET[Date],AJ$5)</f>
        <v>55349.5</v>
      </c>
      <c r="AK86" s="27">
        <f>SUMIFS(PBC_BALANCE_SHEET[AccountBalance], PBC_BALANCE_SHEET[Id],$L86,PBC_BALANCE_SHEET[Date],AK$5)</f>
        <v>55349.5</v>
      </c>
      <c r="AL86" s="27">
        <f>SUMIFS(PBC_BALANCE_SHEET[AccountBalance], PBC_BALANCE_SHEET[Id],$L86,PBC_BALANCE_SHEET[Date],AL$5)</f>
        <v>55349.5</v>
      </c>
      <c r="AM86" s="27">
        <f>SUMIFS(PBC_BALANCE_SHEET[AccountBalance], PBC_BALANCE_SHEET[Id],$L86,PBC_BALANCE_SHEET[Date],AM$5)</f>
        <v>55349.5</v>
      </c>
      <c r="AN86" s="27">
        <f>SUMIFS(PBC_BALANCE_SHEET[AccountBalance], PBC_BALANCE_SHEET[Id],$L86,PBC_BALANCE_SHEET[Date],AN$5)</f>
        <v>55349.5</v>
      </c>
      <c r="AO86" s="27">
        <f>SUMIFS(PBC_BALANCE_SHEET[AccountBalance], PBC_BALANCE_SHEET[Id],$L86,PBC_BALANCE_SHEET[Date],AO$5)</f>
        <v>55349.5</v>
      </c>
      <c r="AP86" s="27">
        <f>SUMIFS(PBC_BALANCE_SHEET[AccountBalance], PBC_BALANCE_SHEET[Id],$L86,PBC_BALANCE_SHEET[Date],AP$5)</f>
        <v>55349.5</v>
      </c>
      <c r="AQ86" s="27">
        <f>SUMIFS(PBC_BALANCE_SHEET[AccountBalance], PBC_BALANCE_SHEET[Id],$L86,PBC_BALANCE_SHEET[Date],AQ$5)</f>
        <v>55349.5</v>
      </c>
      <c r="AR86" s="27">
        <f>SUMIFS(PBC_BALANCE_SHEET[AccountBalance], PBC_BALANCE_SHEET[Id],$L86,PBC_BALANCE_SHEET[Date],AR$5)</f>
        <v>55349.5</v>
      </c>
      <c r="AS86" s="27">
        <f>SUMIFS(PBC_BALANCE_SHEET[AccountBalance], PBC_BALANCE_SHEET[Id],$L86,PBC_BALANCE_SHEET[Date],AS$5)</f>
        <v>55349.5</v>
      </c>
      <c r="AT86" s="27">
        <f>SUMIFS(PBC_BALANCE_SHEET[AccountBalance], PBC_BALANCE_SHEET[Id],$L86,PBC_BALANCE_SHEET[Date],AT$5)</f>
        <v>55349.5</v>
      </c>
      <c r="AU86" s="27">
        <f>SUMIFS(PBC_BALANCE_SHEET[AccountBalance], PBC_BALANCE_SHEET[Id],$L86,PBC_BALANCE_SHEET[Date],AU$5)</f>
        <v>55349.5</v>
      </c>
      <c r="AV86" s="27">
        <f>SUMIFS(PBC_BALANCE_SHEET[AccountBalance], PBC_BALANCE_SHEET[Id],$L86,PBC_BALANCE_SHEET[Date],AV$5)</f>
        <v>55349.5</v>
      </c>
      <c r="AW86" s="27">
        <f>SUMIFS(PBC_BALANCE_SHEET[AccountBalance], PBC_BALANCE_SHEET[Id],$L86,PBC_BALANCE_SHEET[Date],AW$5)</f>
        <v>55349.5</v>
      </c>
      <c r="AX86" s="27">
        <f>SUMIFS(PBC_BALANCE_SHEET[AccountBalance], PBC_BALANCE_SHEET[Id],$L86,PBC_BALANCE_SHEET[Date],AX$5)</f>
        <v>55349.5</v>
      </c>
      <c r="AY86" s="27">
        <f>SUMIFS(PBC_BALANCE_SHEET[AccountBalance], PBC_BALANCE_SHEET[Id],$L86,PBC_BALANCE_SHEET[Date],AY$5)</f>
        <v>55349.5</v>
      </c>
      <c r="AZ86" s="27">
        <f>SUMIFS(PBC_BALANCE_SHEET[AccountBalance], PBC_BALANCE_SHEET[Id],$L86,PBC_BALANCE_SHEET[Date],AZ$5)</f>
        <v>55349.5</v>
      </c>
      <c r="BA86" s="27">
        <f>SUMIFS(PBC_BALANCE_SHEET[AccountBalance], PBC_BALANCE_SHEET[Id],$L86,PBC_BALANCE_SHEET[Date],BA$5)</f>
        <v>55349.5</v>
      </c>
      <c r="BB86" s="27">
        <f>SUMIFS(PBC_BALANCE_SHEET[AccountBalance], PBC_BALANCE_SHEET[Id],$L86,PBC_BALANCE_SHEET[Date],BB$5)</f>
        <v>55349.5</v>
      </c>
      <c r="BC86" s="27">
        <f>SUMIFS(PBC_BALANCE_SHEET[AccountBalance], PBC_BALANCE_SHEET[Id],$L86,PBC_BALANCE_SHEET[Date],BC$5)</f>
        <v>55349.5</v>
      </c>
      <c r="BD86" s="27">
        <f>SUMIFS(PBC_BALANCE_SHEET[AccountBalance], PBC_BALANCE_SHEET[Id],$L86,PBC_BALANCE_SHEET[Date],BD$5)</f>
        <v>55349.5</v>
      </c>
      <c r="BE86" s="114">
        <f t="shared" ref="BE86" si="191">BD86</f>
        <v>55349.5</v>
      </c>
      <c r="BF86" s="114">
        <f>BE86</f>
        <v>55349.5</v>
      </c>
      <c r="BG86" s="114">
        <f t="shared" ref="BG86:BS86" si="192">BF86</f>
        <v>55349.5</v>
      </c>
      <c r="BH86" s="114">
        <f t="shared" si="192"/>
        <v>55349.5</v>
      </c>
      <c r="BI86" s="114">
        <f t="shared" si="192"/>
        <v>55349.5</v>
      </c>
      <c r="BJ86" s="114">
        <f t="shared" si="192"/>
        <v>55349.5</v>
      </c>
      <c r="BK86" s="114">
        <f t="shared" si="192"/>
        <v>55349.5</v>
      </c>
      <c r="BL86" s="114">
        <f t="shared" si="192"/>
        <v>55349.5</v>
      </c>
      <c r="BM86" s="114">
        <f t="shared" si="192"/>
        <v>55349.5</v>
      </c>
      <c r="BN86" s="114">
        <f t="shared" si="192"/>
        <v>55349.5</v>
      </c>
      <c r="BO86" s="114">
        <f t="shared" si="192"/>
        <v>55349.5</v>
      </c>
      <c r="BP86" s="114">
        <f t="shared" si="192"/>
        <v>55349.5</v>
      </c>
      <c r="BQ86" s="114">
        <f t="shared" si="192"/>
        <v>55349.5</v>
      </c>
      <c r="BR86" s="114">
        <f t="shared" si="192"/>
        <v>55349.5</v>
      </c>
      <c r="BS86" s="114">
        <f t="shared" si="192"/>
        <v>55349.5</v>
      </c>
    </row>
    <row r="87" spans="1:71" ht="15" outlineLevel="2">
      <c r="B87" s="22"/>
      <c r="C87" s="21"/>
      <c r="D87" s="26" t="s">
        <v>217</v>
      </c>
      <c r="E87" s="18" t="s">
        <v>204</v>
      </c>
      <c r="F87" s="17"/>
      <c r="G87" s="15" t="str">
        <f>IFERROR(INDEX(PBC_ACCOUNT_LIST[Drivers Section],MATCH(Drivers!L87,PBC_ACCOUNT_LIST[Id],0)),"")</f>
        <v>Liabilities</v>
      </c>
      <c r="H87" s="15" t="str">
        <f>IFERROR(INDEX(PBC_ACCOUNT_LIST[Summary Grouping],MATCH(Drivers!L87,PBC_ACCOUNT_LIST[Id],0)),"")</f>
        <v>Current Liabilities</v>
      </c>
      <c r="I87" s="15" t="str">
        <f t="shared" si="188"/>
        <v>Current Liabilities</v>
      </c>
      <c r="J87" s="15" t="str">
        <f>IFERROR(INDEX(PBC_ACCOUNT_LIST[Cash Flow Section],MATCH(Drivers!L87,PBC_ACCOUNT_LIST[Id],0)),"")</f>
        <v>Cash from Operating Activities</v>
      </c>
      <c r="K87" s="16" t="s">
        <v>159</v>
      </c>
      <c r="L87" s="15">
        <v>156</v>
      </c>
      <c r="M87" s="14"/>
      <c r="O87" s="9"/>
      <c r="P87" s="27">
        <f t="shared" si="189"/>
        <v>1624.5</v>
      </c>
      <c r="Q87" s="27">
        <f t="shared" si="189"/>
        <v>1624.5</v>
      </c>
      <c r="R87" s="27">
        <f t="shared" si="189"/>
        <v>1624.5</v>
      </c>
      <c r="S87" s="27"/>
      <c r="T87" s="27"/>
      <c r="U87" s="27">
        <f t="shared" si="190"/>
        <v>1624.5</v>
      </c>
      <c r="V87" s="27">
        <f t="shared" si="190"/>
        <v>1624.5</v>
      </c>
      <c r="W87" s="27">
        <f t="shared" si="190"/>
        <v>1624.5</v>
      </c>
      <c r="X87" s="27">
        <f t="shared" si="190"/>
        <v>1624.5</v>
      </c>
      <c r="Y87" s="27">
        <f t="shared" si="190"/>
        <v>1624.5</v>
      </c>
      <c r="Z87" s="27">
        <f t="shared" si="190"/>
        <v>1624.5</v>
      </c>
      <c r="AA87" s="27">
        <f t="shared" si="190"/>
        <v>1624.5</v>
      </c>
      <c r="AB87" s="27">
        <f t="shared" si="190"/>
        <v>1624.5</v>
      </c>
      <c r="AC87" s="27">
        <f t="shared" si="190"/>
        <v>1624.5</v>
      </c>
      <c r="AD87" s="27">
        <f t="shared" si="190"/>
        <v>1624.5</v>
      </c>
      <c r="AE87" s="27">
        <f t="shared" si="190"/>
        <v>1624.5</v>
      </c>
      <c r="AF87" s="27">
        <f t="shared" si="190"/>
        <v>1624.5</v>
      </c>
      <c r="AG87" s="112"/>
      <c r="AH87" s="113"/>
      <c r="AI87" s="27">
        <f>SUMIFS(PBC_BALANCE_SHEET[AccountBalance], PBC_BALANCE_SHEET[Id],$L87,PBC_BALANCE_SHEET[Date],AI$5)</f>
        <v>1624.5</v>
      </c>
      <c r="AJ87" s="27">
        <f>SUMIFS(PBC_BALANCE_SHEET[AccountBalance], PBC_BALANCE_SHEET[Id],$L87,PBC_BALANCE_SHEET[Date],AJ$5)</f>
        <v>1624.5</v>
      </c>
      <c r="AK87" s="27">
        <f>SUMIFS(PBC_BALANCE_SHEET[AccountBalance], PBC_BALANCE_SHEET[Id],$L87,PBC_BALANCE_SHEET[Date],AK$5)</f>
        <v>1624.5</v>
      </c>
      <c r="AL87" s="27">
        <f>SUMIFS(PBC_BALANCE_SHEET[AccountBalance], PBC_BALANCE_SHEET[Id],$L87,PBC_BALANCE_SHEET[Date],AL$5)</f>
        <v>1624.5</v>
      </c>
      <c r="AM87" s="27">
        <f>SUMIFS(PBC_BALANCE_SHEET[AccountBalance], PBC_BALANCE_SHEET[Id],$L87,PBC_BALANCE_SHEET[Date],AM$5)</f>
        <v>1624.5</v>
      </c>
      <c r="AN87" s="27">
        <f>SUMIFS(PBC_BALANCE_SHEET[AccountBalance], PBC_BALANCE_SHEET[Id],$L87,PBC_BALANCE_SHEET[Date],AN$5)</f>
        <v>1624.5</v>
      </c>
      <c r="AO87" s="27">
        <f>SUMIFS(PBC_BALANCE_SHEET[AccountBalance], PBC_BALANCE_SHEET[Id],$L87,PBC_BALANCE_SHEET[Date],AO$5)</f>
        <v>1624.5</v>
      </c>
      <c r="AP87" s="27">
        <f>SUMIFS(PBC_BALANCE_SHEET[AccountBalance], PBC_BALANCE_SHEET[Id],$L87,PBC_BALANCE_SHEET[Date],AP$5)</f>
        <v>1624.5</v>
      </c>
      <c r="AQ87" s="27">
        <f>SUMIFS(PBC_BALANCE_SHEET[AccountBalance], PBC_BALANCE_SHEET[Id],$L87,PBC_BALANCE_SHEET[Date],AQ$5)</f>
        <v>1624.5</v>
      </c>
      <c r="AR87" s="27">
        <f>SUMIFS(PBC_BALANCE_SHEET[AccountBalance], PBC_BALANCE_SHEET[Id],$L87,PBC_BALANCE_SHEET[Date],AR$5)</f>
        <v>1624.5</v>
      </c>
      <c r="AS87" s="27">
        <f>SUMIFS(PBC_BALANCE_SHEET[AccountBalance], PBC_BALANCE_SHEET[Id],$L87,PBC_BALANCE_SHEET[Date],AS$5)</f>
        <v>1624.5</v>
      </c>
      <c r="AT87" s="27">
        <f>SUMIFS(PBC_BALANCE_SHEET[AccountBalance], PBC_BALANCE_SHEET[Id],$L87,PBC_BALANCE_SHEET[Date],AT$5)</f>
        <v>1624.5</v>
      </c>
      <c r="AU87" s="27">
        <f>SUMIFS(PBC_BALANCE_SHEET[AccountBalance], PBC_BALANCE_SHEET[Id],$L87,PBC_BALANCE_SHEET[Date],AU$5)</f>
        <v>1624.5</v>
      </c>
      <c r="AV87" s="27">
        <f>SUMIFS(PBC_BALANCE_SHEET[AccountBalance], PBC_BALANCE_SHEET[Id],$L87,PBC_BALANCE_SHEET[Date],AV$5)</f>
        <v>1624.5</v>
      </c>
      <c r="AW87" s="27">
        <f>SUMIFS(PBC_BALANCE_SHEET[AccountBalance], PBC_BALANCE_SHEET[Id],$L87,PBC_BALANCE_SHEET[Date],AW$5)</f>
        <v>1624.5</v>
      </c>
      <c r="AX87" s="27">
        <f>SUMIFS(PBC_BALANCE_SHEET[AccountBalance], PBC_BALANCE_SHEET[Id],$L87,PBC_BALANCE_SHEET[Date],AX$5)</f>
        <v>1624.5</v>
      </c>
      <c r="AY87" s="27">
        <f>SUMIFS(PBC_BALANCE_SHEET[AccountBalance], PBC_BALANCE_SHEET[Id],$L87,PBC_BALANCE_SHEET[Date],AY$5)</f>
        <v>1624.5</v>
      </c>
      <c r="AZ87" s="27">
        <f>SUMIFS(PBC_BALANCE_SHEET[AccountBalance], PBC_BALANCE_SHEET[Id],$L87,PBC_BALANCE_SHEET[Date],AZ$5)</f>
        <v>1624.5</v>
      </c>
      <c r="BA87" s="27">
        <f>SUMIFS(PBC_BALANCE_SHEET[AccountBalance], PBC_BALANCE_SHEET[Id],$L87,PBC_BALANCE_SHEET[Date],BA$5)</f>
        <v>1624.5</v>
      </c>
      <c r="BB87" s="27">
        <f>SUMIFS(PBC_BALANCE_SHEET[AccountBalance], PBC_BALANCE_SHEET[Id],$L87,PBC_BALANCE_SHEET[Date],BB$5)</f>
        <v>1624.5</v>
      </c>
      <c r="BC87" s="27">
        <f>SUMIFS(PBC_BALANCE_SHEET[AccountBalance], PBC_BALANCE_SHEET[Id],$L87,PBC_BALANCE_SHEET[Date],BC$5)</f>
        <v>1624.5</v>
      </c>
      <c r="BD87" s="27">
        <f>SUMIFS(PBC_BALANCE_SHEET[AccountBalance], PBC_BALANCE_SHEET[Id],$L87,PBC_BALANCE_SHEET[Date],BD$5)</f>
        <v>1624.5</v>
      </c>
      <c r="BE87" s="114">
        <f t="shared" ref="BE87" si="193">BD87</f>
        <v>1624.5</v>
      </c>
      <c r="BF87" s="114">
        <f t="shared" ref="BF87:BS87" si="194">BE87</f>
        <v>1624.5</v>
      </c>
      <c r="BG87" s="114">
        <f t="shared" si="194"/>
        <v>1624.5</v>
      </c>
      <c r="BH87" s="114">
        <f t="shared" si="194"/>
        <v>1624.5</v>
      </c>
      <c r="BI87" s="114">
        <f t="shared" si="194"/>
        <v>1624.5</v>
      </c>
      <c r="BJ87" s="114">
        <f t="shared" si="194"/>
        <v>1624.5</v>
      </c>
      <c r="BK87" s="114">
        <f t="shared" si="194"/>
        <v>1624.5</v>
      </c>
      <c r="BL87" s="114">
        <f t="shared" si="194"/>
        <v>1624.5</v>
      </c>
      <c r="BM87" s="114">
        <f t="shared" si="194"/>
        <v>1624.5</v>
      </c>
      <c r="BN87" s="114">
        <f t="shared" si="194"/>
        <v>1624.5</v>
      </c>
      <c r="BO87" s="114">
        <f t="shared" si="194"/>
        <v>1624.5</v>
      </c>
      <c r="BP87" s="114">
        <f t="shared" si="194"/>
        <v>1624.5</v>
      </c>
      <c r="BQ87" s="114">
        <f t="shared" si="194"/>
        <v>1624.5</v>
      </c>
      <c r="BR87" s="114">
        <f t="shared" si="194"/>
        <v>1624.5</v>
      </c>
      <c r="BS87" s="114">
        <f t="shared" si="194"/>
        <v>1624.5</v>
      </c>
    </row>
    <row r="88" spans="1:71" ht="15" outlineLevel="2">
      <c r="B88" s="22"/>
      <c r="C88" s="21"/>
      <c r="D88" s="26" t="s">
        <v>218</v>
      </c>
      <c r="E88" s="18" t="s">
        <v>204</v>
      </c>
      <c r="F88" s="17"/>
      <c r="G88" s="15" t="str">
        <f>IFERROR(INDEX(PBC_ACCOUNT_LIST[Drivers Section],MATCH(Drivers!L88,PBC_ACCOUNT_LIST[Id],0)),"")</f>
        <v>Liabilities</v>
      </c>
      <c r="H88" s="15" t="str">
        <f>IFERROR(INDEX(PBC_ACCOUNT_LIST[Summary Grouping],MATCH(Drivers!L88,PBC_ACCOUNT_LIST[Id],0)),"")</f>
        <v>Current Liabilities</v>
      </c>
      <c r="I88" s="15" t="str">
        <f t="shared" si="188"/>
        <v>Current Liabilities</v>
      </c>
      <c r="J88" s="15" t="str">
        <f>IFERROR(INDEX(PBC_ACCOUNT_LIST[Cash Flow Section],MATCH(Drivers!L88,PBC_ACCOUNT_LIST[Id],0)),"")</f>
        <v>Cash from Operating Activities</v>
      </c>
      <c r="K88" s="16" t="s">
        <v>159</v>
      </c>
      <c r="L88" s="15">
        <v>157</v>
      </c>
      <c r="M88" s="14"/>
      <c r="O88" s="9"/>
      <c r="P88" s="27">
        <f t="shared" si="189"/>
        <v>1353.5</v>
      </c>
      <c r="Q88" s="27">
        <f t="shared" si="189"/>
        <v>1353.5</v>
      </c>
      <c r="R88" s="27">
        <f t="shared" si="189"/>
        <v>1353.5</v>
      </c>
      <c r="S88" s="27"/>
      <c r="T88" s="27"/>
      <c r="U88" s="27">
        <f t="shared" si="190"/>
        <v>1353.5</v>
      </c>
      <c r="V88" s="27">
        <f t="shared" si="190"/>
        <v>1353.5</v>
      </c>
      <c r="W88" s="27">
        <f t="shared" si="190"/>
        <v>1353.5</v>
      </c>
      <c r="X88" s="27">
        <f t="shared" si="190"/>
        <v>1353.5</v>
      </c>
      <c r="Y88" s="27">
        <f t="shared" si="190"/>
        <v>1353.5</v>
      </c>
      <c r="Z88" s="27">
        <f t="shared" si="190"/>
        <v>1353.5</v>
      </c>
      <c r="AA88" s="27">
        <f t="shared" si="190"/>
        <v>1353.5</v>
      </c>
      <c r="AB88" s="27">
        <f t="shared" si="190"/>
        <v>1353.5</v>
      </c>
      <c r="AC88" s="27">
        <f t="shared" si="190"/>
        <v>1353.5</v>
      </c>
      <c r="AD88" s="27">
        <f t="shared" si="190"/>
        <v>1353.5</v>
      </c>
      <c r="AE88" s="27">
        <f t="shared" si="190"/>
        <v>1353.5</v>
      </c>
      <c r="AF88" s="27">
        <f t="shared" si="190"/>
        <v>1353.5</v>
      </c>
      <c r="AG88" s="112"/>
      <c r="AH88" s="113"/>
      <c r="AI88" s="27">
        <f>SUMIFS(PBC_BALANCE_SHEET[AccountBalance], PBC_BALANCE_SHEET[Id],$L88,PBC_BALANCE_SHEET[Date],AI$5)</f>
        <v>1353.5</v>
      </c>
      <c r="AJ88" s="27">
        <f>SUMIFS(PBC_BALANCE_SHEET[AccountBalance], PBC_BALANCE_SHEET[Id],$L88,PBC_BALANCE_SHEET[Date],AJ$5)</f>
        <v>1353.5</v>
      </c>
      <c r="AK88" s="27">
        <f>SUMIFS(PBC_BALANCE_SHEET[AccountBalance], PBC_BALANCE_SHEET[Id],$L88,PBC_BALANCE_SHEET[Date],AK$5)</f>
        <v>1353.5</v>
      </c>
      <c r="AL88" s="27">
        <f>SUMIFS(PBC_BALANCE_SHEET[AccountBalance], PBC_BALANCE_SHEET[Id],$L88,PBC_BALANCE_SHEET[Date],AL$5)</f>
        <v>1353.5</v>
      </c>
      <c r="AM88" s="27">
        <f>SUMIFS(PBC_BALANCE_SHEET[AccountBalance], PBC_BALANCE_SHEET[Id],$L88,PBC_BALANCE_SHEET[Date],AM$5)</f>
        <v>1353.5</v>
      </c>
      <c r="AN88" s="27">
        <f>SUMIFS(PBC_BALANCE_SHEET[AccountBalance], PBC_BALANCE_SHEET[Id],$L88,PBC_BALANCE_SHEET[Date],AN$5)</f>
        <v>1353.5</v>
      </c>
      <c r="AO88" s="27">
        <f>SUMIFS(PBC_BALANCE_SHEET[AccountBalance], PBC_BALANCE_SHEET[Id],$L88,PBC_BALANCE_SHEET[Date],AO$5)</f>
        <v>1353.5</v>
      </c>
      <c r="AP88" s="27">
        <f>SUMIFS(PBC_BALANCE_SHEET[AccountBalance], PBC_BALANCE_SHEET[Id],$L88,PBC_BALANCE_SHEET[Date],AP$5)</f>
        <v>1353.5</v>
      </c>
      <c r="AQ88" s="27">
        <f>SUMIFS(PBC_BALANCE_SHEET[AccountBalance], PBC_BALANCE_SHEET[Id],$L88,PBC_BALANCE_SHEET[Date],AQ$5)</f>
        <v>1353.5</v>
      </c>
      <c r="AR88" s="27">
        <f>SUMIFS(PBC_BALANCE_SHEET[AccountBalance], PBC_BALANCE_SHEET[Id],$L88,PBC_BALANCE_SHEET[Date],AR$5)</f>
        <v>1353.5</v>
      </c>
      <c r="AS88" s="27">
        <f>SUMIFS(PBC_BALANCE_SHEET[AccountBalance], PBC_BALANCE_SHEET[Id],$L88,PBC_BALANCE_SHEET[Date],AS$5)</f>
        <v>1353.5</v>
      </c>
      <c r="AT88" s="27">
        <f>SUMIFS(PBC_BALANCE_SHEET[AccountBalance], PBC_BALANCE_SHEET[Id],$L88,PBC_BALANCE_SHEET[Date],AT$5)</f>
        <v>1353.5</v>
      </c>
      <c r="AU88" s="27">
        <f>SUMIFS(PBC_BALANCE_SHEET[AccountBalance], PBC_BALANCE_SHEET[Id],$L88,PBC_BALANCE_SHEET[Date],AU$5)</f>
        <v>1353.5</v>
      </c>
      <c r="AV88" s="27">
        <f>SUMIFS(PBC_BALANCE_SHEET[AccountBalance], PBC_BALANCE_SHEET[Id],$L88,PBC_BALANCE_SHEET[Date],AV$5)</f>
        <v>1353.5</v>
      </c>
      <c r="AW88" s="27">
        <f>SUMIFS(PBC_BALANCE_SHEET[AccountBalance], PBC_BALANCE_SHEET[Id],$L88,PBC_BALANCE_SHEET[Date],AW$5)</f>
        <v>1353.5</v>
      </c>
      <c r="AX88" s="27">
        <f>SUMIFS(PBC_BALANCE_SHEET[AccountBalance], PBC_BALANCE_SHEET[Id],$L88,PBC_BALANCE_SHEET[Date],AX$5)</f>
        <v>1353.5</v>
      </c>
      <c r="AY88" s="27">
        <f>SUMIFS(PBC_BALANCE_SHEET[AccountBalance], PBC_BALANCE_SHEET[Id],$L88,PBC_BALANCE_SHEET[Date],AY$5)</f>
        <v>1353.5</v>
      </c>
      <c r="AZ88" s="27">
        <f>SUMIFS(PBC_BALANCE_SHEET[AccountBalance], PBC_BALANCE_SHEET[Id],$L88,PBC_BALANCE_SHEET[Date],AZ$5)</f>
        <v>1353.5</v>
      </c>
      <c r="BA88" s="27">
        <f>SUMIFS(PBC_BALANCE_SHEET[AccountBalance], PBC_BALANCE_SHEET[Id],$L88,PBC_BALANCE_SHEET[Date],BA$5)</f>
        <v>1353.5</v>
      </c>
      <c r="BB88" s="27">
        <f>SUMIFS(PBC_BALANCE_SHEET[AccountBalance], PBC_BALANCE_SHEET[Id],$L88,PBC_BALANCE_SHEET[Date],BB$5)</f>
        <v>1353.5</v>
      </c>
      <c r="BC88" s="27">
        <f>SUMIFS(PBC_BALANCE_SHEET[AccountBalance], PBC_BALANCE_SHEET[Id],$L88,PBC_BALANCE_SHEET[Date],BC$5)</f>
        <v>1353.5</v>
      </c>
      <c r="BD88" s="27">
        <f>SUMIFS(PBC_BALANCE_SHEET[AccountBalance], PBC_BALANCE_SHEET[Id],$L88,PBC_BALANCE_SHEET[Date],BD$5)</f>
        <v>1353.5</v>
      </c>
      <c r="BE88" s="114">
        <f t="shared" ref="BE88" si="195">BD88</f>
        <v>1353.5</v>
      </c>
      <c r="BF88" s="114">
        <f t="shared" ref="BF88:BS88" si="196">BE88</f>
        <v>1353.5</v>
      </c>
      <c r="BG88" s="114">
        <f t="shared" si="196"/>
        <v>1353.5</v>
      </c>
      <c r="BH88" s="114">
        <f t="shared" si="196"/>
        <v>1353.5</v>
      </c>
      <c r="BI88" s="114">
        <f t="shared" si="196"/>
        <v>1353.5</v>
      </c>
      <c r="BJ88" s="114">
        <f t="shared" si="196"/>
        <v>1353.5</v>
      </c>
      <c r="BK88" s="114">
        <f t="shared" si="196"/>
        <v>1353.5</v>
      </c>
      <c r="BL88" s="114">
        <f t="shared" si="196"/>
        <v>1353.5</v>
      </c>
      <c r="BM88" s="114">
        <f t="shared" si="196"/>
        <v>1353.5</v>
      </c>
      <c r="BN88" s="114">
        <f t="shared" si="196"/>
        <v>1353.5</v>
      </c>
      <c r="BO88" s="114">
        <f t="shared" si="196"/>
        <v>1353.5</v>
      </c>
      <c r="BP88" s="114">
        <f t="shared" si="196"/>
        <v>1353.5</v>
      </c>
      <c r="BQ88" s="114">
        <f t="shared" si="196"/>
        <v>1353.5</v>
      </c>
      <c r="BR88" s="114">
        <f t="shared" si="196"/>
        <v>1353.5</v>
      </c>
      <c r="BS88" s="114">
        <f t="shared" si="196"/>
        <v>1353.5</v>
      </c>
    </row>
    <row r="89" spans="1:71" ht="15" outlineLevel="2">
      <c r="B89" s="22"/>
      <c r="C89" s="21"/>
      <c r="D89" s="26" t="s">
        <v>219</v>
      </c>
      <c r="E89" s="18" t="s">
        <v>204</v>
      </c>
      <c r="F89" s="17"/>
      <c r="G89" s="15" t="str">
        <f>IFERROR(INDEX(PBC_ACCOUNT_LIST[Drivers Section],MATCH(Drivers!L89,PBC_ACCOUNT_LIST[Id],0)),"")</f>
        <v>Liabilities</v>
      </c>
      <c r="H89" s="15" t="str">
        <f>IFERROR(INDEX(PBC_ACCOUNT_LIST[Summary Grouping],MATCH(Drivers!L89,PBC_ACCOUNT_LIST[Id],0)),"")</f>
        <v>Deferred Revenue</v>
      </c>
      <c r="I89" s="15" t="str">
        <f t="shared" si="188"/>
        <v>Deferred Revenue</v>
      </c>
      <c r="J89" s="15" t="str">
        <f>IFERROR(INDEX(PBC_ACCOUNT_LIST[Cash Flow Section],MATCH(Drivers!L89,PBC_ACCOUNT_LIST[Id],0)),"")</f>
        <v>Cash from Operating Activities</v>
      </c>
      <c r="K89" s="16" t="s">
        <v>159</v>
      </c>
      <c r="L89" s="15">
        <v>158</v>
      </c>
      <c r="M89" s="14"/>
      <c r="O89" s="9"/>
      <c r="P89" s="27">
        <f t="shared" si="189"/>
        <v>23270</v>
      </c>
      <c r="Q89" s="27">
        <f t="shared" si="189"/>
        <v>73270</v>
      </c>
      <c r="R89" s="27">
        <f t="shared" si="189"/>
        <v>73270</v>
      </c>
      <c r="S89" s="27"/>
      <c r="T89" s="27"/>
      <c r="U89" s="27">
        <f t="shared" si="190"/>
        <v>23270</v>
      </c>
      <c r="V89" s="27">
        <f t="shared" si="190"/>
        <v>23270</v>
      </c>
      <c r="W89" s="27">
        <f t="shared" si="190"/>
        <v>23270</v>
      </c>
      <c r="X89" s="27">
        <f t="shared" si="190"/>
        <v>23270</v>
      </c>
      <c r="Y89" s="27">
        <f t="shared" si="190"/>
        <v>23270</v>
      </c>
      <c r="Z89" s="27">
        <f t="shared" si="190"/>
        <v>23270</v>
      </c>
      <c r="AA89" s="27">
        <f t="shared" si="190"/>
        <v>23270</v>
      </c>
      <c r="AB89" s="27">
        <f t="shared" si="190"/>
        <v>73270</v>
      </c>
      <c r="AC89" s="27">
        <f t="shared" si="190"/>
        <v>73270</v>
      </c>
      <c r="AD89" s="27">
        <f t="shared" si="190"/>
        <v>73270</v>
      </c>
      <c r="AE89" s="27">
        <f t="shared" si="190"/>
        <v>73270</v>
      </c>
      <c r="AF89" s="27">
        <f t="shared" si="190"/>
        <v>73270</v>
      </c>
      <c r="AG89" s="112"/>
      <c r="AH89" s="113"/>
      <c r="AI89" s="27">
        <f>SUMIFS(PBC_BALANCE_SHEET[AccountBalance], PBC_BALANCE_SHEET[Id],$L89,PBC_BALANCE_SHEET[Date],AI$5)</f>
        <v>23270</v>
      </c>
      <c r="AJ89" s="27">
        <f>SUMIFS(PBC_BALANCE_SHEET[AccountBalance], PBC_BALANCE_SHEET[Id],$L89,PBC_BALANCE_SHEET[Date],AJ$5)</f>
        <v>23270</v>
      </c>
      <c r="AK89" s="27">
        <f>SUMIFS(PBC_BALANCE_SHEET[AccountBalance], PBC_BALANCE_SHEET[Id],$L89,PBC_BALANCE_SHEET[Date],AK$5)</f>
        <v>23270</v>
      </c>
      <c r="AL89" s="27">
        <f>SUMIFS(PBC_BALANCE_SHEET[AccountBalance], PBC_BALANCE_SHEET[Id],$L89,PBC_BALANCE_SHEET[Date],AL$5)</f>
        <v>23270</v>
      </c>
      <c r="AM89" s="27">
        <f>SUMIFS(PBC_BALANCE_SHEET[AccountBalance], PBC_BALANCE_SHEET[Id],$L89,PBC_BALANCE_SHEET[Date],AM$5)</f>
        <v>23270</v>
      </c>
      <c r="AN89" s="27">
        <f>SUMIFS(PBC_BALANCE_SHEET[AccountBalance], PBC_BALANCE_SHEET[Id],$L89,PBC_BALANCE_SHEET[Date],AN$5)</f>
        <v>23270</v>
      </c>
      <c r="AO89" s="27">
        <f>SUMIFS(PBC_BALANCE_SHEET[AccountBalance], PBC_BALANCE_SHEET[Id],$L89,PBC_BALANCE_SHEET[Date],AO$5)</f>
        <v>23270</v>
      </c>
      <c r="AP89" s="27">
        <f>SUMIFS(PBC_BALANCE_SHEET[AccountBalance], PBC_BALANCE_SHEET[Id],$L89,PBC_BALANCE_SHEET[Date],AP$5)</f>
        <v>23270</v>
      </c>
      <c r="AQ89" s="27">
        <f>SUMIFS(PBC_BALANCE_SHEET[AccountBalance], PBC_BALANCE_SHEET[Id],$L89,PBC_BALANCE_SHEET[Date],AQ$5)</f>
        <v>23270</v>
      </c>
      <c r="AR89" s="27">
        <f>SUMIFS(PBC_BALANCE_SHEET[AccountBalance], PBC_BALANCE_SHEET[Id],$L89,PBC_BALANCE_SHEET[Date],AR$5)</f>
        <v>23270</v>
      </c>
      <c r="AS89" s="27">
        <f>SUMIFS(PBC_BALANCE_SHEET[AccountBalance], PBC_BALANCE_SHEET[Id],$L89,PBC_BALANCE_SHEET[Date],AS$5)</f>
        <v>23270</v>
      </c>
      <c r="AT89" s="27">
        <f>SUMIFS(PBC_BALANCE_SHEET[AccountBalance], PBC_BALANCE_SHEET[Id],$L89,PBC_BALANCE_SHEET[Date],AT$5)</f>
        <v>23270</v>
      </c>
      <c r="AU89" s="27">
        <f>SUMIFS(PBC_BALANCE_SHEET[AccountBalance], PBC_BALANCE_SHEET[Id],$L89,PBC_BALANCE_SHEET[Date],AU$5)</f>
        <v>23270</v>
      </c>
      <c r="AV89" s="27">
        <f>SUMIFS(PBC_BALANCE_SHEET[AccountBalance], PBC_BALANCE_SHEET[Id],$L89,PBC_BALANCE_SHEET[Date],AV$5)</f>
        <v>23270</v>
      </c>
      <c r="AW89" s="27">
        <f>SUMIFS(PBC_BALANCE_SHEET[AccountBalance], PBC_BALANCE_SHEET[Id],$L89,PBC_BALANCE_SHEET[Date],AW$5)</f>
        <v>23270</v>
      </c>
      <c r="AX89" s="27">
        <f>SUMIFS(PBC_BALANCE_SHEET[AccountBalance], PBC_BALANCE_SHEET[Id],$L89,PBC_BALANCE_SHEET[Date],AX$5)</f>
        <v>23270</v>
      </c>
      <c r="AY89" s="27">
        <f>SUMIFS(PBC_BALANCE_SHEET[AccountBalance], PBC_BALANCE_SHEET[Id],$L89,PBC_BALANCE_SHEET[Date],AY$5)</f>
        <v>23270</v>
      </c>
      <c r="AZ89" s="27">
        <f>SUMIFS(PBC_BALANCE_SHEET[AccountBalance], PBC_BALANCE_SHEET[Id],$L89,PBC_BALANCE_SHEET[Date],AZ$5)</f>
        <v>23270</v>
      </c>
      <c r="BA89" s="27">
        <f>SUMIFS(PBC_BALANCE_SHEET[AccountBalance], PBC_BALANCE_SHEET[Id],$L89,PBC_BALANCE_SHEET[Date],BA$5)</f>
        <v>23270</v>
      </c>
      <c r="BB89" s="27">
        <f>SUMIFS(PBC_BALANCE_SHEET[AccountBalance], PBC_BALANCE_SHEET[Id],$L89,PBC_BALANCE_SHEET[Date],BB$5)</f>
        <v>23270</v>
      </c>
      <c r="BC89" s="27">
        <f>SUMIFS(PBC_BALANCE_SHEET[AccountBalance], PBC_BALANCE_SHEET[Id],$L89,PBC_BALANCE_SHEET[Date],BC$5)</f>
        <v>23270</v>
      </c>
      <c r="BD89" s="27">
        <f>SUMIFS(PBC_BALANCE_SHEET[AccountBalance], PBC_BALANCE_SHEET[Id],$L89,PBC_BALANCE_SHEET[Date],BD$5)</f>
        <v>23270</v>
      </c>
      <c r="BE89" s="114">
        <f>BD89+50000</f>
        <v>73270</v>
      </c>
      <c r="BF89" s="114">
        <f t="shared" ref="BF89:BS89" si="197">BE89</f>
        <v>73270</v>
      </c>
      <c r="BG89" s="114">
        <f t="shared" si="197"/>
        <v>73270</v>
      </c>
      <c r="BH89" s="114">
        <f t="shared" si="197"/>
        <v>73270</v>
      </c>
      <c r="BI89" s="114">
        <f t="shared" si="197"/>
        <v>73270</v>
      </c>
      <c r="BJ89" s="114">
        <f t="shared" si="197"/>
        <v>73270</v>
      </c>
      <c r="BK89" s="114">
        <f t="shared" si="197"/>
        <v>73270</v>
      </c>
      <c r="BL89" s="114">
        <f t="shared" si="197"/>
        <v>73270</v>
      </c>
      <c r="BM89" s="114">
        <f t="shared" si="197"/>
        <v>73270</v>
      </c>
      <c r="BN89" s="114">
        <f t="shared" si="197"/>
        <v>73270</v>
      </c>
      <c r="BO89" s="114">
        <f t="shared" si="197"/>
        <v>73270</v>
      </c>
      <c r="BP89" s="114">
        <f t="shared" si="197"/>
        <v>73270</v>
      </c>
      <c r="BQ89" s="114">
        <f t="shared" si="197"/>
        <v>73270</v>
      </c>
      <c r="BR89" s="114">
        <f t="shared" si="197"/>
        <v>73270</v>
      </c>
      <c r="BS89" s="114">
        <f t="shared" si="197"/>
        <v>73270</v>
      </c>
    </row>
    <row r="90" spans="1:71" ht="15" outlineLevel="2">
      <c r="B90" s="22"/>
      <c r="C90" s="21"/>
      <c r="D90" s="26" t="s">
        <v>220</v>
      </c>
      <c r="E90" s="18" t="s">
        <v>204</v>
      </c>
      <c r="F90" s="17"/>
      <c r="G90" s="15" t="str">
        <f>IFERROR(INDEX(PBC_ACCOUNT_LIST[Drivers Section],MATCH(Drivers!L90,PBC_ACCOUNT_LIST[Id],0)),"")</f>
        <v>Liabilities</v>
      </c>
      <c r="H90" s="15" t="str">
        <f>IFERROR(INDEX(PBC_ACCOUNT_LIST[Summary Grouping],MATCH(Drivers!L90,PBC_ACCOUNT_LIST[Id],0)),"")</f>
        <v>Current Liabilities</v>
      </c>
      <c r="I90" s="15" t="str">
        <f t="shared" si="188"/>
        <v>Current Liabilities</v>
      </c>
      <c r="J90" s="15" t="str">
        <f>IFERROR(INDEX(PBC_ACCOUNT_LIST[Cash Flow Section],MATCH(Drivers!L90,PBC_ACCOUNT_LIST[Id],0)),"")</f>
        <v>Cash from Operating Activities</v>
      </c>
      <c r="K90" s="16" t="s">
        <v>159</v>
      </c>
      <c r="L90" s="15">
        <v>159</v>
      </c>
      <c r="M90" s="14"/>
      <c r="O90" s="9"/>
      <c r="P90" s="27">
        <f t="shared" si="189"/>
        <v>1260.5</v>
      </c>
      <c r="Q90" s="27">
        <f t="shared" si="189"/>
        <v>1260.5</v>
      </c>
      <c r="R90" s="27">
        <f t="shared" si="189"/>
        <v>1260.5</v>
      </c>
      <c r="S90" s="27"/>
      <c r="T90" s="27"/>
      <c r="U90" s="27">
        <f t="shared" si="190"/>
        <v>1260.5</v>
      </c>
      <c r="V90" s="27">
        <f t="shared" si="190"/>
        <v>1260.5</v>
      </c>
      <c r="W90" s="27">
        <f t="shared" si="190"/>
        <v>1260.5</v>
      </c>
      <c r="X90" s="27">
        <f t="shared" si="190"/>
        <v>1260.5</v>
      </c>
      <c r="Y90" s="27">
        <f t="shared" si="190"/>
        <v>1260.5</v>
      </c>
      <c r="Z90" s="27">
        <f t="shared" si="190"/>
        <v>1260.5</v>
      </c>
      <c r="AA90" s="27">
        <f t="shared" si="190"/>
        <v>1260.5</v>
      </c>
      <c r="AB90" s="27">
        <f t="shared" si="190"/>
        <v>1260.5</v>
      </c>
      <c r="AC90" s="27">
        <f t="shared" si="190"/>
        <v>1260.5</v>
      </c>
      <c r="AD90" s="27">
        <f t="shared" si="190"/>
        <v>1260.5</v>
      </c>
      <c r="AE90" s="27">
        <f t="shared" si="190"/>
        <v>1260.5</v>
      </c>
      <c r="AF90" s="27">
        <f t="shared" si="190"/>
        <v>1260.5</v>
      </c>
      <c r="AG90" s="112"/>
      <c r="AH90" s="113"/>
      <c r="AI90" s="27">
        <f>SUMIFS(PBC_BALANCE_SHEET[AccountBalance], PBC_BALANCE_SHEET[Id],$L90,PBC_BALANCE_SHEET[Date],AI$5)</f>
        <v>1260.5</v>
      </c>
      <c r="AJ90" s="27">
        <f>SUMIFS(PBC_BALANCE_SHEET[AccountBalance], PBC_BALANCE_SHEET[Id],$L90,PBC_BALANCE_SHEET[Date],AJ$5)</f>
        <v>1260.5</v>
      </c>
      <c r="AK90" s="27">
        <f>SUMIFS(PBC_BALANCE_SHEET[AccountBalance], PBC_BALANCE_SHEET[Id],$L90,PBC_BALANCE_SHEET[Date],AK$5)</f>
        <v>1260.5</v>
      </c>
      <c r="AL90" s="27">
        <f>SUMIFS(PBC_BALANCE_SHEET[AccountBalance], PBC_BALANCE_SHEET[Id],$L90,PBC_BALANCE_SHEET[Date],AL$5)</f>
        <v>1260.5</v>
      </c>
      <c r="AM90" s="27">
        <f>SUMIFS(PBC_BALANCE_SHEET[AccountBalance], PBC_BALANCE_SHEET[Id],$L90,PBC_BALANCE_SHEET[Date],AM$5)</f>
        <v>1260.5</v>
      </c>
      <c r="AN90" s="27">
        <f>SUMIFS(PBC_BALANCE_SHEET[AccountBalance], PBC_BALANCE_SHEET[Id],$L90,PBC_BALANCE_SHEET[Date],AN$5)</f>
        <v>1260.5</v>
      </c>
      <c r="AO90" s="27">
        <f>SUMIFS(PBC_BALANCE_SHEET[AccountBalance], PBC_BALANCE_SHEET[Id],$L90,PBC_BALANCE_SHEET[Date],AO$5)</f>
        <v>1260.5</v>
      </c>
      <c r="AP90" s="27">
        <f>SUMIFS(PBC_BALANCE_SHEET[AccountBalance], PBC_BALANCE_SHEET[Id],$L90,PBC_BALANCE_SHEET[Date],AP$5)</f>
        <v>1260.5</v>
      </c>
      <c r="AQ90" s="27">
        <f>SUMIFS(PBC_BALANCE_SHEET[AccountBalance], PBC_BALANCE_SHEET[Id],$L90,PBC_BALANCE_SHEET[Date],AQ$5)</f>
        <v>1260.5</v>
      </c>
      <c r="AR90" s="27">
        <f>SUMIFS(PBC_BALANCE_SHEET[AccountBalance], PBC_BALANCE_SHEET[Id],$L90,PBC_BALANCE_SHEET[Date],AR$5)</f>
        <v>1260.5</v>
      </c>
      <c r="AS90" s="27">
        <f>SUMIFS(PBC_BALANCE_SHEET[AccountBalance], PBC_BALANCE_SHEET[Id],$L90,PBC_BALANCE_SHEET[Date],AS$5)</f>
        <v>1260.5</v>
      </c>
      <c r="AT90" s="27">
        <f>SUMIFS(PBC_BALANCE_SHEET[AccountBalance], PBC_BALANCE_SHEET[Id],$L90,PBC_BALANCE_SHEET[Date],AT$5)</f>
        <v>1260.5</v>
      </c>
      <c r="AU90" s="27">
        <f>SUMIFS(PBC_BALANCE_SHEET[AccountBalance], PBC_BALANCE_SHEET[Id],$L90,PBC_BALANCE_SHEET[Date],AU$5)</f>
        <v>1260.5</v>
      </c>
      <c r="AV90" s="27">
        <f>SUMIFS(PBC_BALANCE_SHEET[AccountBalance], PBC_BALANCE_SHEET[Id],$L90,PBC_BALANCE_SHEET[Date],AV$5)</f>
        <v>1260.5</v>
      </c>
      <c r="AW90" s="27">
        <f>SUMIFS(PBC_BALANCE_SHEET[AccountBalance], PBC_BALANCE_SHEET[Id],$L90,PBC_BALANCE_SHEET[Date],AW$5)</f>
        <v>1260.5</v>
      </c>
      <c r="AX90" s="27">
        <f>SUMIFS(PBC_BALANCE_SHEET[AccountBalance], PBC_BALANCE_SHEET[Id],$L90,PBC_BALANCE_SHEET[Date],AX$5)</f>
        <v>1260.5</v>
      </c>
      <c r="AY90" s="27">
        <f>SUMIFS(PBC_BALANCE_SHEET[AccountBalance], PBC_BALANCE_SHEET[Id],$L90,PBC_BALANCE_SHEET[Date],AY$5)</f>
        <v>1260.5</v>
      </c>
      <c r="AZ90" s="27">
        <f>SUMIFS(PBC_BALANCE_SHEET[AccountBalance], PBC_BALANCE_SHEET[Id],$L90,PBC_BALANCE_SHEET[Date],AZ$5)</f>
        <v>1260.5</v>
      </c>
      <c r="BA90" s="27">
        <f>SUMIFS(PBC_BALANCE_SHEET[AccountBalance], PBC_BALANCE_SHEET[Id],$L90,PBC_BALANCE_SHEET[Date],BA$5)</f>
        <v>1260.5</v>
      </c>
      <c r="BB90" s="27">
        <f>SUMIFS(PBC_BALANCE_SHEET[AccountBalance], PBC_BALANCE_SHEET[Id],$L90,PBC_BALANCE_SHEET[Date],BB$5)</f>
        <v>1260.5</v>
      </c>
      <c r="BC90" s="27">
        <f>SUMIFS(PBC_BALANCE_SHEET[AccountBalance], PBC_BALANCE_SHEET[Id],$L90,PBC_BALANCE_SHEET[Date],BC$5)</f>
        <v>1260.5</v>
      </c>
      <c r="BD90" s="27">
        <f>SUMIFS(PBC_BALANCE_SHEET[AccountBalance], PBC_BALANCE_SHEET[Id],$L90,PBC_BALANCE_SHEET[Date],BD$5)</f>
        <v>1260.5</v>
      </c>
      <c r="BE90" s="114">
        <f t="shared" ref="BE90" si="198">BD90</f>
        <v>1260.5</v>
      </c>
      <c r="BF90" s="114">
        <f t="shared" ref="BF90:BS90" si="199">BE90</f>
        <v>1260.5</v>
      </c>
      <c r="BG90" s="114">
        <f t="shared" si="199"/>
        <v>1260.5</v>
      </c>
      <c r="BH90" s="114">
        <f t="shared" si="199"/>
        <v>1260.5</v>
      </c>
      <c r="BI90" s="114">
        <f t="shared" si="199"/>
        <v>1260.5</v>
      </c>
      <c r="BJ90" s="114">
        <f t="shared" si="199"/>
        <v>1260.5</v>
      </c>
      <c r="BK90" s="114">
        <f t="shared" si="199"/>
        <v>1260.5</v>
      </c>
      <c r="BL90" s="114">
        <f t="shared" si="199"/>
        <v>1260.5</v>
      </c>
      <c r="BM90" s="114">
        <f t="shared" si="199"/>
        <v>1260.5</v>
      </c>
      <c r="BN90" s="114">
        <f t="shared" si="199"/>
        <v>1260.5</v>
      </c>
      <c r="BO90" s="114">
        <f t="shared" si="199"/>
        <v>1260.5</v>
      </c>
      <c r="BP90" s="114">
        <f t="shared" si="199"/>
        <v>1260.5</v>
      </c>
      <c r="BQ90" s="114">
        <f t="shared" si="199"/>
        <v>1260.5</v>
      </c>
      <c r="BR90" s="114">
        <f t="shared" si="199"/>
        <v>1260.5</v>
      </c>
      <c r="BS90" s="114">
        <f t="shared" si="199"/>
        <v>1260.5</v>
      </c>
    </row>
    <row r="91" spans="1:71" ht="15" outlineLevel="2">
      <c r="B91" s="22"/>
      <c r="C91" s="21"/>
      <c r="D91" s="26" t="s">
        <v>221</v>
      </c>
      <c r="E91" s="18" t="s">
        <v>204</v>
      </c>
      <c r="F91" s="17"/>
      <c r="G91" s="15" t="str">
        <f>IFERROR(INDEX(PBC_ACCOUNT_LIST[Drivers Section],MATCH(Drivers!L91,PBC_ACCOUNT_LIST[Id],0)),"")</f>
        <v>Liabilities</v>
      </c>
      <c r="H91" s="15" t="str">
        <f>IFERROR(INDEX(PBC_ACCOUNT_LIST[Summary Grouping],MATCH(Drivers!L91,PBC_ACCOUNT_LIST[Id],0)),"")</f>
        <v>Accounts Payable</v>
      </c>
      <c r="I91" s="15" t="str">
        <f t="shared" si="188"/>
        <v>Accounts Payable</v>
      </c>
      <c r="J91" s="15" t="str">
        <f>IFERROR(INDEX(PBC_ACCOUNT_LIST[Cash Flow Section],MATCH(Drivers!L91,PBC_ACCOUNT_LIST[Id],0)),"")</f>
        <v>Cash from Operating Activities</v>
      </c>
      <c r="K91" s="16" t="s">
        <v>159</v>
      </c>
      <c r="L91" s="15">
        <v>7</v>
      </c>
      <c r="M91" s="14"/>
      <c r="O91" s="9"/>
      <c r="P91" s="27">
        <f t="shared" si="189"/>
        <v>0</v>
      </c>
      <c r="Q91" s="27">
        <f t="shared" si="189"/>
        <v>1000</v>
      </c>
      <c r="R91" s="27">
        <f t="shared" si="189"/>
        <v>1000</v>
      </c>
      <c r="S91" s="27"/>
      <c r="T91" s="27"/>
      <c r="U91" s="27">
        <f t="shared" si="190"/>
        <v>0</v>
      </c>
      <c r="V91" s="27">
        <f t="shared" si="190"/>
        <v>0</v>
      </c>
      <c r="W91" s="27">
        <f t="shared" si="190"/>
        <v>0</v>
      </c>
      <c r="X91" s="27">
        <f t="shared" si="190"/>
        <v>0</v>
      </c>
      <c r="Y91" s="27">
        <f t="shared" si="190"/>
        <v>0</v>
      </c>
      <c r="Z91" s="27">
        <f t="shared" si="190"/>
        <v>1000</v>
      </c>
      <c r="AA91" s="27">
        <f t="shared" si="190"/>
        <v>1000</v>
      </c>
      <c r="AB91" s="27">
        <f t="shared" si="190"/>
        <v>1000</v>
      </c>
      <c r="AC91" s="27">
        <f t="shared" si="190"/>
        <v>1000</v>
      </c>
      <c r="AD91" s="27">
        <f t="shared" si="190"/>
        <v>1000</v>
      </c>
      <c r="AE91" s="27">
        <f t="shared" si="190"/>
        <v>1000</v>
      </c>
      <c r="AF91" s="27">
        <f t="shared" si="190"/>
        <v>1000</v>
      </c>
      <c r="AG91" s="112"/>
      <c r="AH91" s="113"/>
      <c r="AI91" s="27">
        <f>SUMIFS(PBC_BALANCE_SHEET[AccountBalance], PBC_BALANCE_SHEET[Id],$L91,PBC_BALANCE_SHEET[Date],AI$5)</f>
        <v>0</v>
      </c>
      <c r="AJ91" s="27">
        <f>SUMIFS(PBC_BALANCE_SHEET[AccountBalance], PBC_BALANCE_SHEET[Id],$L91,PBC_BALANCE_SHEET[Date],AJ$5)</f>
        <v>0</v>
      </c>
      <c r="AK91" s="27">
        <f>SUMIFS(PBC_BALANCE_SHEET[AccountBalance], PBC_BALANCE_SHEET[Id],$L91,PBC_BALANCE_SHEET[Date],AK$5)</f>
        <v>0</v>
      </c>
      <c r="AL91" s="27">
        <f>SUMIFS(PBC_BALANCE_SHEET[AccountBalance], PBC_BALANCE_SHEET[Id],$L91,PBC_BALANCE_SHEET[Date],AL$5)</f>
        <v>0</v>
      </c>
      <c r="AM91" s="27">
        <f>SUMIFS(PBC_BALANCE_SHEET[AccountBalance], PBC_BALANCE_SHEET[Id],$L91,PBC_BALANCE_SHEET[Date],AM$5)</f>
        <v>0</v>
      </c>
      <c r="AN91" s="27">
        <f>SUMIFS(PBC_BALANCE_SHEET[AccountBalance], PBC_BALANCE_SHEET[Id],$L91,PBC_BALANCE_SHEET[Date],AN$5)</f>
        <v>0</v>
      </c>
      <c r="AO91" s="27">
        <f>SUMIFS(PBC_BALANCE_SHEET[AccountBalance], PBC_BALANCE_SHEET[Id],$L91,PBC_BALANCE_SHEET[Date],AO$5)</f>
        <v>0</v>
      </c>
      <c r="AP91" s="27">
        <f>SUMIFS(PBC_BALANCE_SHEET[AccountBalance], PBC_BALANCE_SHEET[Id],$L91,PBC_BALANCE_SHEET[Date],AP$5)</f>
        <v>0</v>
      </c>
      <c r="AQ91" s="27">
        <f>SUMIFS(PBC_BALANCE_SHEET[AccountBalance], PBC_BALANCE_SHEET[Id],$L91,PBC_BALANCE_SHEET[Date],AQ$5)</f>
        <v>0</v>
      </c>
      <c r="AR91" s="27">
        <f>SUMIFS(PBC_BALANCE_SHEET[AccountBalance], PBC_BALANCE_SHEET[Id],$L91,PBC_BALANCE_SHEET[Date],AR$5)</f>
        <v>0</v>
      </c>
      <c r="AS91" s="27">
        <f>SUMIFS(PBC_BALANCE_SHEET[AccountBalance], PBC_BALANCE_SHEET[Id],$L91,PBC_BALANCE_SHEET[Date],AS$5)</f>
        <v>0</v>
      </c>
      <c r="AT91" s="27">
        <f>SUMIFS(PBC_BALANCE_SHEET[AccountBalance], PBC_BALANCE_SHEET[Id],$L91,PBC_BALANCE_SHEET[Date],AT$5)</f>
        <v>0</v>
      </c>
      <c r="AU91" s="27">
        <f>SUMIFS(PBC_BALANCE_SHEET[AccountBalance], PBC_BALANCE_SHEET[Id],$L91,PBC_BALANCE_SHEET[Date],AU$5)</f>
        <v>0</v>
      </c>
      <c r="AV91" s="27">
        <f>SUMIFS(PBC_BALANCE_SHEET[AccountBalance], PBC_BALANCE_SHEET[Id],$L91,PBC_BALANCE_SHEET[Date],AV$5)</f>
        <v>0</v>
      </c>
      <c r="AW91" s="27">
        <f>SUMIFS(PBC_BALANCE_SHEET[AccountBalance], PBC_BALANCE_SHEET[Id],$L91,PBC_BALANCE_SHEET[Date],AW$5)</f>
        <v>0</v>
      </c>
      <c r="AX91" s="27">
        <f>SUMIFS(PBC_BALANCE_SHEET[AccountBalance], PBC_BALANCE_SHEET[Id],$L91,PBC_BALANCE_SHEET[Date],AX$5)</f>
        <v>0</v>
      </c>
      <c r="AY91" s="27">
        <f>SUMIFS(PBC_BALANCE_SHEET[AccountBalance], PBC_BALANCE_SHEET[Id],$L91,PBC_BALANCE_SHEET[Date],AY$5)</f>
        <v>0</v>
      </c>
      <c r="AZ91" s="27">
        <f>SUMIFS(PBC_BALANCE_SHEET[AccountBalance], PBC_BALANCE_SHEET[Id],$L91,PBC_BALANCE_SHEET[Date],AZ$5)</f>
        <v>0</v>
      </c>
      <c r="BA91" s="27">
        <f>SUMIFS(PBC_BALANCE_SHEET[AccountBalance], PBC_BALANCE_SHEET[Id],$L91,PBC_BALANCE_SHEET[Date],BA$5)</f>
        <v>1000</v>
      </c>
      <c r="BB91" s="27">
        <f>SUMIFS(PBC_BALANCE_SHEET[AccountBalance], PBC_BALANCE_SHEET[Id],$L91,PBC_BALANCE_SHEET[Date],BB$5)</f>
        <v>1000</v>
      </c>
      <c r="BC91" s="27">
        <f>SUMIFS(PBC_BALANCE_SHEET[AccountBalance], PBC_BALANCE_SHEET[Id],$L91,PBC_BALANCE_SHEET[Date],BC$5)</f>
        <v>1000</v>
      </c>
      <c r="BD91" s="27">
        <f>SUMIFS(PBC_BALANCE_SHEET[AccountBalance], PBC_BALANCE_SHEET[Id],$L91,PBC_BALANCE_SHEET[Date],BD$5)</f>
        <v>1000</v>
      </c>
      <c r="BE91" s="114">
        <f t="shared" ref="BE91" si="200">BD91</f>
        <v>1000</v>
      </c>
      <c r="BF91" s="114">
        <f t="shared" ref="BF91:BS91" si="201">BE91</f>
        <v>1000</v>
      </c>
      <c r="BG91" s="114">
        <f t="shared" si="201"/>
        <v>1000</v>
      </c>
      <c r="BH91" s="114">
        <f t="shared" si="201"/>
        <v>1000</v>
      </c>
      <c r="BI91" s="114">
        <f t="shared" si="201"/>
        <v>1000</v>
      </c>
      <c r="BJ91" s="114">
        <f t="shared" si="201"/>
        <v>1000</v>
      </c>
      <c r="BK91" s="114">
        <f t="shared" si="201"/>
        <v>1000</v>
      </c>
      <c r="BL91" s="114">
        <f t="shared" si="201"/>
        <v>1000</v>
      </c>
      <c r="BM91" s="114">
        <f t="shared" si="201"/>
        <v>1000</v>
      </c>
      <c r="BN91" s="114">
        <f t="shared" si="201"/>
        <v>1000</v>
      </c>
      <c r="BO91" s="114">
        <f t="shared" si="201"/>
        <v>1000</v>
      </c>
      <c r="BP91" s="114">
        <f t="shared" si="201"/>
        <v>1000</v>
      </c>
      <c r="BQ91" s="114">
        <f t="shared" si="201"/>
        <v>1000</v>
      </c>
      <c r="BR91" s="114">
        <f t="shared" si="201"/>
        <v>1000</v>
      </c>
      <c r="BS91" s="114">
        <f t="shared" si="201"/>
        <v>1000</v>
      </c>
    </row>
    <row r="92" spans="1:71" ht="15" outlineLevel="2">
      <c r="B92" s="22"/>
      <c r="C92" s="21"/>
      <c r="D92" s="26" t="s">
        <v>222</v>
      </c>
      <c r="E92" s="18" t="s">
        <v>204</v>
      </c>
      <c r="F92" s="17"/>
      <c r="G92" s="15" t="str">
        <f>IFERROR(INDEX(PBC_ACCOUNT_LIST[Drivers Section],MATCH(Drivers!L92,PBC_ACCOUNT_LIST[Id],0)),"")</f>
        <v>Liabilities</v>
      </c>
      <c r="H92" s="15" t="str">
        <f>IFERROR(INDEX(PBC_ACCOUNT_LIST[Summary Grouping],MATCH(Drivers!L92,PBC_ACCOUNT_LIST[Id],0)),"")</f>
        <v>Current Liabilities</v>
      </c>
      <c r="I92" s="15" t="str">
        <f t="shared" si="188"/>
        <v>Current Liabilities</v>
      </c>
      <c r="J92" s="15" t="str">
        <f>IFERROR(INDEX(PBC_ACCOUNT_LIST[Cash Flow Section],MATCH(Drivers!L92,PBC_ACCOUNT_LIST[Id],0)),"")</f>
        <v>Cash from Operating Activities</v>
      </c>
      <c r="K92" s="16" t="s">
        <v>159</v>
      </c>
      <c r="L92" s="15">
        <v>63</v>
      </c>
      <c r="M92" s="14"/>
      <c r="O92" s="9"/>
      <c r="P92" s="27">
        <f t="shared" si="189"/>
        <v>-9180.5</v>
      </c>
      <c r="Q92" s="27">
        <f t="shared" si="189"/>
        <v>-9180.5</v>
      </c>
      <c r="R92" s="27">
        <f t="shared" si="189"/>
        <v>-9180.5</v>
      </c>
      <c r="S92" s="27"/>
      <c r="T92" s="27"/>
      <c r="U92" s="27">
        <f t="shared" si="190"/>
        <v>-9180.5</v>
      </c>
      <c r="V92" s="27">
        <f t="shared" si="190"/>
        <v>-9180.5</v>
      </c>
      <c r="W92" s="27">
        <f t="shared" si="190"/>
        <v>-9180.5</v>
      </c>
      <c r="X92" s="27">
        <f t="shared" si="190"/>
        <v>-9180.5</v>
      </c>
      <c r="Y92" s="27">
        <f t="shared" si="190"/>
        <v>-9180.5</v>
      </c>
      <c r="Z92" s="27">
        <f t="shared" si="190"/>
        <v>-9180.5</v>
      </c>
      <c r="AA92" s="27">
        <f t="shared" si="190"/>
        <v>-9180.5</v>
      </c>
      <c r="AB92" s="27">
        <f t="shared" si="190"/>
        <v>-9180.5</v>
      </c>
      <c r="AC92" s="27">
        <f t="shared" si="190"/>
        <v>-9180.5</v>
      </c>
      <c r="AD92" s="27">
        <f t="shared" si="190"/>
        <v>-9180.5</v>
      </c>
      <c r="AE92" s="27">
        <f t="shared" si="190"/>
        <v>-9180.5</v>
      </c>
      <c r="AF92" s="27">
        <f t="shared" si="190"/>
        <v>-9180.5</v>
      </c>
      <c r="AG92" s="112"/>
      <c r="AH92" s="113"/>
      <c r="AI92" s="27">
        <f>SUMIFS(PBC_BALANCE_SHEET[AccountBalance], PBC_BALANCE_SHEET[Id],$L92,PBC_BALANCE_SHEET[Date],AI$5)</f>
        <v>-9180.5</v>
      </c>
      <c r="AJ92" s="27">
        <f>SUMIFS(PBC_BALANCE_SHEET[AccountBalance], PBC_BALANCE_SHEET[Id],$L92,PBC_BALANCE_SHEET[Date],AJ$5)</f>
        <v>-9180.5</v>
      </c>
      <c r="AK92" s="27">
        <f>SUMIFS(PBC_BALANCE_SHEET[AccountBalance], PBC_BALANCE_SHEET[Id],$L92,PBC_BALANCE_SHEET[Date],AK$5)</f>
        <v>-9180.5</v>
      </c>
      <c r="AL92" s="27">
        <f>SUMIFS(PBC_BALANCE_SHEET[AccountBalance], PBC_BALANCE_SHEET[Id],$L92,PBC_BALANCE_SHEET[Date],AL$5)</f>
        <v>-9180.5</v>
      </c>
      <c r="AM92" s="27">
        <f>SUMIFS(PBC_BALANCE_SHEET[AccountBalance], PBC_BALANCE_SHEET[Id],$L92,PBC_BALANCE_SHEET[Date],AM$5)</f>
        <v>-9180.5</v>
      </c>
      <c r="AN92" s="27">
        <f>SUMIFS(PBC_BALANCE_SHEET[AccountBalance], PBC_BALANCE_SHEET[Id],$L92,PBC_BALANCE_SHEET[Date],AN$5)</f>
        <v>-9180.5</v>
      </c>
      <c r="AO92" s="27">
        <f>SUMIFS(PBC_BALANCE_SHEET[AccountBalance], PBC_BALANCE_SHEET[Id],$L92,PBC_BALANCE_SHEET[Date],AO$5)</f>
        <v>-9180.5</v>
      </c>
      <c r="AP92" s="27">
        <f>SUMIFS(PBC_BALANCE_SHEET[AccountBalance], PBC_BALANCE_SHEET[Id],$L92,PBC_BALANCE_SHEET[Date],AP$5)</f>
        <v>-9180.5</v>
      </c>
      <c r="AQ92" s="27">
        <f>SUMIFS(PBC_BALANCE_SHEET[AccountBalance], PBC_BALANCE_SHEET[Id],$L92,PBC_BALANCE_SHEET[Date],AQ$5)</f>
        <v>-9180.5</v>
      </c>
      <c r="AR92" s="27">
        <f>SUMIFS(PBC_BALANCE_SHEET[AccountBalance], PBC_BALANCE_SHEET[Id],$L92,PBC_BALANCE_SHEET[Date],AR$5)</f>
        <v>-9180.5</v>
      </c>
      <c r="AS92" s="27">
        <f>SUMIFS(PBC_BALANCE_SHEET[AccountBalance], PBC_BALANCE_SHEET[Id],$L92,PBC_BALANCE_SHEET[Date],AS$5)</f>
        <v>-9180.5</v>
      </c>
      <c r="AT92" s="27">
        <f>SUMIFS(PBC_BALANCE_SHEET[AccountBalance], PBC_BALANCE_SHEET[Id],$L92,PBC_BALANCE_SHEET[Date],AT$5)</f>
        <v>-9180.5</v>
      </c>
      <c r="AU92" s="27">
        <f>SUMIFS(PBC_BALANCE_SHEET[AccountBalance], PBC_BALANCE_SHEET[Id],$L92,PBC_BALANCE_SHEET[Date],AU$5)</f>
        <v>-9180.5</v>
      </c>
      <c r="AV92" s="27">
        <f>SUMIFS(PBC_BALANCE_SHEET[AccountBalance], PBC_BALANCE_SHEET[Id],$L92,PBC_BALANCE_SHEET[Date],AV$5)</f>
        <v>-9180.5</v>
      </c>
      <c r="AW92" s="27">
        <f>SUMIFS(PBC_BALANCE_SHEET[AccountBalance], PBC_BALANCE_SHEET[Id],$L92,PBC_BALANCE_SHEET[Date],AW$5)</f>
        <v>-9180.5</v>
      </c>
      <c r="AX92" s="27">
        <f>SUMIFS(PBC_BALANCE_SHEET[AccountBalance], PBC_BALANCE_SHEET[Id],$L92,PBC_BALANCE_SHEET[Date],AX$5)</f>
        <v>-9180.5</v>
      </c>
      <c r="AY92" s="27">
        <f>SUMIFS(PBC_BALANCE_SHEET[AccountBalance], PBC_BALANCE_SHEET[Id],$L92,PBC_BALANCE_SHEET[Date],AY$5)</f>
        <v>-9180.5</v>
      </c>
      <c r="AZ92" s="27">
        <f>SUMIFS(PBC_BALANCE_SHEET[AccountBalance], PBC_BALANCE_SHEET[Id],$L92,PBC_BALANCE_SHEET[Date],AZ$5)</f>
        <v>-9180.5</v>
      </c>
      <c r="BA92" s="27">
        <f>SUMIFS(PBC_BALANCE_SHEET[AccountBalance], PBC_BALANCE_SHEET[Id],$L92,PBC_BALANCE_SHEET[Date],BA$5)</f>
        <v>-9180.5</v>
      </c>
      <c r="BB92" s="27">
        <f>SUMIFS(PBC_BALANCE_SHEET[AccountBalance], PBC_BALANCE_SHEET[Id],$L92,PBC_BALANCE_SHEET[Date],BB$5)</f>
        <v>-9180.5</v>
      </c>
      <c r="BC92" s="27">
        <f>SUMIFS(PBC_BALANCE_SHEET[AccountBalance], PBC_BALANCE_SHEET[Id],$L92,PBC_BALANCE_SHEET[Date],BC$5)</f>
        <v>-9180.5</v>
      </c>
      <c r="BD92" s="27">
        <f>SUMIFS(PBC_BALANCE_SHEET[AccountBalance], PBC_BALANCE_SHEET[Id],$L92,PBC_BALANCE_SHEET[Date],BD$5)</f>
        <v>-9180.5</v>
      </c>
      <c r="BE92" s="114">
        <f t="shared" ref="BE92" si="202">BD92</f>
        <v>-9180.5</v>
      </c>
      <c r="BF92" s="114">
        <f t="shared" ref="BF92:BS92" si="203">BE92</f>
        <v>-9180.5</v>
      </c>
      <c r="BG92" s="114">
        <f t="shared" si="203"/>
        <v>-9180.5</v>
      </c>
      <c r="BH92" s="114">
        <f t="shared" si="203"/>
        <v>-9180.5</v>
      </c>
      <c r="BI92" s="114">
        <f t="shared" si="203"/>
        <v>-9180.5</v>
      </c>
      <c r="BJ92" s="114">
        <f t="shared" si="203"/>
        <v>-9180.5</v>
      </c>
      <c r="BK92" s="114">
        <f t="shared" si="203"/>
        <v>-9180.5</v>
      </c>
      <c r="BL92" s="114">
        <f t="shared" si="203"/>
        <v>-9180.5</v>
      </c>
      <c r="BM92" s="114">
        <f t="shared" si="203"/>
        <v>-9180.5</v>
      </c>
      <c r="BN92" s="114">
        <f t="shared" si="203"/>
        <v>-9180.5</v>
      </c>
      <c r="BO92" s="114">
        <f t="shared" si="203"/>
        <v>-9180.5</v>
      </c>
      <c r="BP92" s="114">
        <f t="shared" si="203"/>
        <v>-9180.5</v>
      </c>
      <c r="BQ92" s="114">
        <f t="shared" si="203"/>
        <v>-9180.5</v>
      </c>
      <c r="BR92" s="114">
        <f t="shared" si="203"/>
        <v>-9180.5</v>
      </c>
      <c r="BS92" s="114">
        <f t="shared" si="203"/>
        <v>-9180.5</v>
      </c>
    </row>
    <row r="93" spans="1:71" ht="15" outlineLevel="2">
      <c r="B93" s="22"/>
      <c r="C93" s="21"/>
      <c r="D93" s="26" t="s">
        <v>223</v>
      </c>
      <c r="E93" s="18" t="s">
        <v>204</v>
      </c>
      <c r="F93" s="17"/>
      <c r="G93" s="15" t="str">
        <f>IFERROR(INDEX(PBC_ACCOUNT_LIST[Drivers Section],MATCH(Drivers!L93,PBC_ACCOUNT_LIST[Id],0)),"")</f>
        <v>Liabilities</v>
      </c>
      <c r="H93" s="15" t="str">
        <f>IFERROR(INDEX(PBC_ACCOUNT_LIST[Summary Grouping],MATCH(Drivers!L93,PBC_ACCOUNT_LIST[Id],0)),"")</f>
        <v>Debt</v>
      </c>
      <c r="I93" s="15" t="str">
        <f t="shared" si="188"/>
        <v>Debt</v>
      </c>
      <c r="J93" s="15" t="str">
        <f>IFERROR(INDEX(PBC_ACCOUNT_LIST[Cash Flow Section],MATCH(Drivers!L93,PBC_ACCOUNT_LIST[Id],0)),"")</f>
        <v>Cash From Financing Activities</v>
      </c>
      <c r="K93" s="16" t="s">
        <v>159</v>
      </c>
      <c r="L93" s="15">
        <v>162</v>
      </c>
      <c r="M93" s="14"/>
      <c r="O93" s="9"/>
      <c r="P93" s="27">
        <f t="shared" si="189"/>
        <v>1500000</v>
      </c>
      <c r="Q93" s="27">
        <f t="shared" si="189"/>
        <v>2500000</v>
      </c>
      <c r="R93" s="27">
        <f t="shared" si="189"/>
        <v>2500000</v>
      </c>
      <c r="S93" s="27"/>
      <c r="T93" s="27"/>
      <c r="U93" s="27">
        <f t="shared" si="190"/>
        <v>1500000</v>
      </c>
      <c r="V93" s="27">
        <f t="shared" si="190"/>
        <v>1500000</v>
      </c>
      <c r="W93" s="27">
        <f t="shared" si="190"/>
        <v>1500000</v>
      </c>
      <c r="X93" s="27">
        <f t="shared" si="190"/>
        <v>1500000</v>
      </c>
      <c r="Y93" s="27">
        <f t="shared" si="190"/>
        <v>1500000</v>
      </c>
      <c r="Z93" s="27">
        <f t="shared" si="190"/>
        <v>1500000</v>
      </c>
      <c r="AA93" s="27">
        <f t="shared" si="190"/>
        <v>1500000</v>
      </c>
      <c r="AB93" s="27">
        <f t="shared" si="190"/>
        <v>2500000</v>
      </c>
      <c r="AC93" s="27">
        <f t="shared" si="190"/>
        <v>2500000</v>
      </c>
      <c r="AD93" s="27">
        <f t="shared" si="190"/>
        <v>2500000</v>
      </c>
      <c r="AE93" s="27">
        <f t="shared" si="190"/>
        <v>2500000</v>
      </c>
      <c r="AF93" s="27">
        <f t="shared" si="190"/>
        <v>2500000</v>
      </c>
      <c r="AG93" s="112"/>
      <c r="AH93" s="113"/>
      <c r="AI93" s="27">
        <f>SUMIFS(PBC_BALANCE_SHEET[AccountBalance], PBC_BALANCE_SHEET[Id],$L93,PBC_BALANCE_SHEET[Date],AI$5)</f>
        <v>1500000</v>
      </c>
      <c r="AJ93" s="27">
        <f>SUMIFS(PBC_BALANCE_SHEET[AccountBalance], PBC_BALANCE_SHEET[Id],$L93,PBC_BALANCE_SHEET[Date],AJ$5)</f>
        <v>1500000</v>
      </c>
      <c r="AK93" s="27">
        <f>SUMIFS(PBC_BALANCE_SHEET[AccountBalance], PBC_BALANCE_SHEET[Id],$L93,PBC_BALANCE_SHEET[Date],AK$5)</f>
        <v>1500000</v>
      </c>
      <c r="AL93" s="27">
        <f>SUMIFS(PBC_BALANCE_SHEET[AccountBalance], PBC_BALANCE_SHEET[Id],$L93,PBC_BALANCE_SHEET[Date],AL$5)</f>
        <v>1500000</v>
      </c>
      <c r="AM93" s="27">
        <f>SUMIFS(PBC_BALANCE_SHEET[AccountBalance], PBC_BALANCE_SHEET[Id],$L93,PBC_BALANCE_SHEET[Date],AM$5)</f>
        <v>1500000</v>
      </c>
      <c r="AN93" s="27">
        <f>SUMIFS(PBC_BALANCE_SHEET[AccountBalance], PBC_BALANCE_SHEET[Id],$L93,PBC_BALANCE_SHEET[Date],AN$5)</f>
        <v>1500000</v>
      </c>
      <c r="AO93" s="27">
        <f>SUMIFS(PBC_BALANCE_SHEET[AccountBalance], PBC_BALANCE_SHEET[Id],$L93,PBC_BALANCE_SHEET[Date],AO$5)</f>
        <v>1500000</v>
      </c>
      <c r="AP93" s="27">
        <f>SUMIFS(PBC_BALANCE_SHEET[AccountBalance], PBC_BALANCE_SHEET[Id],$L93,PBC_BALANCE_SHEET[Date],AP$5)</f>
        <v>1500000</v>
      </c>
      <c r="AQ93" s="27">
        <f>SUMIFS(PBC_BALANCE_SHEET[AccountBalance], PBC_BALANCE_SHEET[Id],$L93,PBC_BALANCE_SHEET[Date],AQ$5)</f>
        <v>1500000</v>
      </c>
      <c r="AR93" s="27">
        <f>SUMIFS(PBC_BALANCE_SHEET[AccountBalance], PBC_BALANCE_SHEET[Id],$L93,PBC_BALANCE_SHEET[Date],AR$5)</f>
        <v>1500000</v>
      </c>
      <c r="AS93" s="27">
        <f>SUMIFS(PBC_BALANCE_SHEET[AccountBalance], PBC_BALANCE_SHEET[Id],$L93,PBC_BALANCE_SHEET[Date],AS$5)</f>
        <v>1500000</v>
      </c>
      <c r="AT93" s="27">
        <f>SUMIFS(PBC_BALANCE_SHEET[AccountBalance], PBC_BALANCE_SHEET[Id],$L93,PBC_BALANCE_SHEET[Date],AT$5)</f>
        <v>1500000</v>
      </c>
      <c r="AU93" s="27">
        <f>SUMIFS(PBC_BALANCE_SHEET[AccountBalance], PBC_BALANCE_SHEET[Id],$L93,PBC_BALANCE_SHEET[Date],AU$5)</f>
        <v>1500000</v>
      </c>
      <c r="AV93" s="27">
        <f>SUMIFS(PBC_BALANCE_SHEET[AccountBalance], PBC_BALANCE_SHEET[Id],$L93,PBC_BALANCE_SHEET[Date],AV$5)</f>
        <v>1500000</v>
      </c>
      <c r="AW93" s="27">
        <f>SUMIFS(PBC_BALANCE_SHEET[AccountBalance], PBC_BALANCE_SHEET[Id],$L93,PBC_BALANCE_SHEET[Date],AW$5)</f>
        <v>1500000</v>
      </c>
      <c r="AX93" s="27">
        <f>SUMIFS(PBC_BALANCE_SHEET[AccountBalance], PBC_BALANCE_SHEET[Id],$L93,PBC_BALANCE_SHEET[Date],AX$5)</f>
        <v>1500000</v>
      </c>
      <c r="AY93" s="27">
        <f>SUMIFS(PBC_BALANCE_SHEET[AccountBalance], PBC_BALANCE_SHEET[Id],$L93,PBC_BALANCE_SHEET[Date],AY$5)</f>
        <v>1500000</v>
      </c>
      <c r="AZ93" s="27">
        <f>SUMIFS(PBC_BALANCE_SHEET[AccountBalance], PBC_BALANCE_SHEET[Id],$L93,PBC_BALANCE_SHEET[Date],AZ$5)</f>
        <v>1500000</v>
      </c>
      <c r="BA93" s="27">
        <f>SUMIFS(PBC_BALANCE_SHEET[AccountBalance], PBC_BALANCE_SHEET[Id],$L93,PBC_BALANCE_SHEET[Date],BA$5)</f>
        <v>1500000</v>
      </c>
      <c r="BB93" s="27">
        <f>SUMIFS(PBC_BALANCE_SHEET[AccountBalance], PBC_BALANCE_SHEET[Id],$L93,PBC_BALANCE_SHEET[Date],BB$5)</f>
        <v>1500000</v>
      </c>
      <c r="BC93" s="27">
        <f>SUMIFS(PBC_BALANCE_SHEET[AccountBalance], PBC_BALANCE_SHEET[Id],$L93,PBC_BALANCE_SHEET[Date],BC$5)</f>
        <v>1500000</v>
      </c>
      <c r="BD93" s="27">
        <f>SUMIFS(PBC_BALANCE_SHEET[AccountBalance], PBC_BALANCE_SHEET[Id],$L93,PBC_BALANCE_SHEET[Date],BD$5)</f>
        <v>1500000</v>
      </c>
      <c r="BE93" s="114">
        <f t="shared" ref="BE93" si="204">BD93</f>
        <v>1500000</v>
      </c>
      <c r="BF93" s="114">
        <f t="shared" ref="BF93:BS93" si="205">BE93</f>
        <v>1500000</v>
      </c>
      <c r="BG93" s="114">
        <f>BF93+1000000</f>
        <v>2500000</v>
      </c>
      <c r="BH93" s="114">
        <f t="shared" si="205"/>
        <v>2500000</v>
      </c>
      <c r="BI93" s="114">
        <f t="shared" si="205"/>
        <v>2500000</v>
      </c>
      <c r="BJ93" s="114">
        <f t="shared" si="205"/>
        <v>2500000</v>
      </c>
      <c r="BK93" s="114">
        <f t="shared" si="205"/>
        <v>2500000</v>
      </c>
      <c r="BL93" s="114">
        <f t="shared" si="205"/>
        <v>2500000</v>
      </c>
      <c r="BM93" s="114">
        <f t="shared" si="205"/>
        <v>2500000</v>
      </c>
      <c r="BN93" s="114">
        <f t="shared" si="205"/>
        <v>2500000</v>
      </c>
      <c r="BO93" s="114">
        <f t="shared" si="205"/>
        <v>2500000</v>
      </c>
      <c r="BP93" s="114">
        <f t="shared" si="205"/>
        <v>2500000</v>
      </c>
      <c r="BQ93" s="114">
        <f t="shared" si="205"/>
        <v>2500000</v>
      </c>
      <c r="BR93" s="114">
        <f t="shared" si="205"/>
        <v>2500000</v>
      </c>
      <c r="BS93" s="114">
        <f t="shared" si="205"/>
        <v>2500000</v>
      </c>
    </row>
    <row r="94" spans="1:71" ht="14.45" customHeight="1" outlineLevel="2">
      <c r="B94" s="22"/>
      <c r="C94" s="21"/>
      <c r="D94" s="26" t="s">
        <v>224</v>
      </c>
      <c r="E94" s="18" t="s">
        <v>204</v>
      </c>
      <c r="F94" s="17"/>
      <c r="G94" s="15" t="str">
        <f>IFERROR(INDEX(PBC_ACCOUNT_LIST[Drivers Section],MATCH(Drivers!L94,PBC_ACCOUNT_LIST[Id],0)),"")</f>
        <v>Liabilities</v>
      </c>
      <c r="H94" s="15" t="str">
        <f>IFERROR(INDEX(PBC_ACCOUNT_LIST[Summary Grouping],MATCH(Drivers!L94,PBC_ACCOUNT_LIST[Id],0)),"")</f>
        <v>Debt</v>
      </c>
      <c r="I94" s="15" t="str">
        <f t="shared" si="188"/>
        <v>Debt</v>
      </c>
      <c r="J94" s="15" t="str">
        <f>IFERROR(INDEX(PBC_ACCOUNT_LIST[Cash Flow Section],MATCH(Drivers!L94,PBC_ACCOUNT_LIST[Id],0)),"")</f>
        <v>Cash From Financing Activities</v>
      </c>
      <c r="K94" s="16" t="s">
        <v>159</v>
      </c>
      <c r="L94" s="15">
        <v>163</v>
      </c>
      <c r="M94" s="14"/>
      <c r="O94" s="9"/>
      <c r="P94" s="27">
        <f t="shared" si="189"/>
        <v>30000</v>
      </c>
      <c r="Q94" s="27">
        <f t="shared" si="189"/>
        <v>30000</v>
      </c>
      <c r="R94" s="27">
        <f t="shared" si="189"/>
        <v>30000</v>
      </c>
      <c r="S94" s="27"/>
      <c r="T94" s="27"/>
      <c r="U94" s="27">
        <f t="shared" si="190"/>
        <v>30000</v>
      </c>
      <c r="V94" s="27">
        <f t="shared" si="190"/>
        <v>30000</v>
      </c>
      <c r="W94" s="27">
        <f t="shared" si="190"/>
        <v>30000</v>
      </c>
      <c r="X94" s="27">
        <f t="shared" si="190"/>
        <v>30000</v>
      </c>
      <c r="Y94" s="27">
        <f t="shared" si="190"/>
        <v>30000</v>
      </c>
      <c r="Z94" s="27">
        <f t="shared" si="190"/>
        <v>30000</v>
      </c>
      <c r="AA94" s="27">
        <f t="shared" si="190"/>
        <v>30000</v>
      </c>
      <c r="AB94" s="27">
        <f t="shared" si="190"/>
        <v>30000</v>
      </c>
      <c r="AC94" s="27">
        <f t="shared" si="190"/>
        <v>30000</v>
      </c>
      <c r="AD94" s="27">
        <f t="shared" si="190"/>
        <v>30000</v>
      </c>
      <c r="AE94" s="27">
        <f t="shared" si="190"/>
        <v>30000</v>
      </c>
      <c r="AF94" s="27">
        <f t="shared" si="190"/>
        <v>30000</v>
      </c>
      <c r="AG94" s="112"/>
      <c r="AH94" s="113"/>
      <c r="AI94" s="27">
        <f>SUMIFS(PBC_BALANCE_SHEET[AccountBalance], PBC_BALANCE_SHEET[Id],$L94,PBC_BALANCE_SHEET[Date],AI$5)</f>
        <v>30000</v>
      </c>
      <c r="AJ94" s="27">
        <f>SUMIFS(PBC_BALANCE_SHEET[AccountBalance], PBC_BALANCE_SHEET[Id],$L94,PBC_BALANCE_SHEET[Date],AJ$5)</f>
        <v>30000</v>
      </c>
      <c r="AK94" s="27">
        <f>SUMIFS(PBC_BALANCE_SHEET[AccountBalance], PBC_BALANCE_SHEET[Id],$L94,PBC_BALANCE_SHEET[Date],AK$5)</f>
        <v>30000</v>
      </c>
      <c r="AL94" s="27">
        <f>SUMIFS(PBC_BALANCE_SHEET[AccountBalance], PBC_BALANCE_SHEET[Id],$L94,PBC_BALANCE_SHEET[Date],AL$5)</f>
        <v>30000</v>
      </c>
      <c r="AM94" s="27">
        <f>SUMIFS(PBC_BALANCE_SHEET[AccountBalance], PBC_BALANCE_SHEET[Id],$L94,PBC_BALANCE_SHEET[Date],AM$5)</f>
        <v>30000</v>
      </c>
      <c r="AN94" s="27">
        <f>SUMIFS(PBC_BALANCE_SHEET[AccountBalance], PBC_BALANCE_SHEET[Id],$L94,PBC_BALANCE_SHEET[Date],AN$5)</f>
        <v>30000</v>
      </c>
      <c r="AO94" s="27">
        <f>SUMIFS(PBC_BALANCE_SHEET[AccountBalance], PBC_BALANCE_SHEET[Id],$L94,PBC_BALANCE_SHEET[Date],AO$5)</f>
        <v>30000</v>
      </c>
      <c r="AP94" s="27">
        <f>SUMIFS(PBC_BALANCE_SHEET[AccountBalance], PBC_BALANCE_SHEET[Id],$L94,PBC_BALANCE_SHEET[Date],AP$5)</f>
        <v>30000</v>
      </c>
      <c r="AQ94" s="27">
        <f>SUMIFS(PBC_BALANCE_SHEET[AccountBalance], PBC_BALANCE_SHEET[Id],$L94,PBC_BALANCE_SHEET[Date],AQ$5)</f>
        <v>30000</v>
      </c>
      <c r="AR94" s="27">
        <f>SUMIFS(PBC_BALANCE_SHEET[AccountBalance], PBC_BALANCE_SHEET[Id],$L94,PBC_BALANCE_SHEET[Date],AR$5)</f>
        <v>30000</v>
      </c>
      <c r="AS94" s="27">
        <f>SUMIFS(PBC_BALANCE_SHEET[AccountBalance], PBC_BALANCE_SHEET[Id],$L94,PBC_BALANCE_SHEET[Date],AS$5)</f>
        <v>30000</v>
      </c>
      <c r="AT94" s="27">
        <f>SUMIFS(PBC_BALANCE_SHEET[AccountBalance], PBC_BALANCE_SHEET[Id],$L94,PBC_BALANCE_SHEET[Date],AT$5)</f>
        <v>30000</v>
      </c>
      <c r="AU94" s="27">
        <f>SUMIFS(PBC_BALANCE_SHEET[AccountBalance], PBC_BALANCE_SHEET[Id],$L94,PBC_BALANCE_SHEET[Date],AU$5)</f>
        <v>30000</v>
      </c>
      <c r="AV94" s="27">
        <f>SUMIFS(PBC_BALANCE_SHEET[AccountBalance], PBC_BALANCE_SHEET[Id],$L94,PBC_BALANCE_SHEET[Date],AV$5)</f>
        <v>30000</v>
      </c>
      <c r="AW94" s="27">
        <f>SUMIFS(PBC_BALANCE_SHEET[AccountBalance], PBC_BALANCE_SHEET[Id],$L94,PBC_BALANCE_SHEET[Date],AW$5)</f>
        <v>30000</v>
      </c>
      <c r="AX94" s="27">
        <f>SUMIFS(PBC_BALANCE_SHEET[AccountBalance], PBC_BALANCE_SHEET[Id],$L94,PBC_BALANCE_SHEET[Date],AX$5)</f>
        <v>30000</v>
      </c>
      <c r="AY94" s="27">
        <f>SUMIFS(PBC_BALANCE_SHEET[AccountBalance], PBC_BALANCE_SHEET[Id],$L94,PBC_BALANCE_SHEET[Date],AY$5)</f>
        <v>30000</v>
      </c>
      <c r="AZ94" s="27">
        <f>SUMIFS(PBC_BALANCE_SHEET[AccountBalance], PBC_BALANCE_SHEET[Id],$L94,PBC_BALANCE_SHEET[Date],AZ$5)</f>
        <v>30000</v>
      </c>
      <c r="BA94" s="27">
        <f>SUMIFS(PBC_BALANCE_SHEET[AccountBalance], PBC_BALANCE_SHEET[Id],$L94,PBC_BALANCE_SHEET[Date],BA$5)</f>
        <v>30000</v>
      </c>
      <c r="BB94" s="27">
        <f>SUMIFS(PBC_BALANCE_SHEET[AccountBalance], PBC_BALANCE_SHEET[Id],$L94,PBC_BALANCE_SHEET[Date],BB$5)</f>
        <v>30000</v>
      </c>
      <c r="BC94" s="27">
        <f>SUMIFS(PBC_BALANCE_SHEET[AccountBalance], PBC_BALANCE_SHEET[Id],$L94,PBC_BALANCE_SHEET[Date],BC$5)</f>
        <v>30000</v>
      </c>
      <c r="BD94" s="27">
        <f>SUMIFS(PBC_BALANCE_SHEET[AccountBalance], PBC_BALANCE_SHEET[Id],$L94,PBC_BALANCE_SHEET[Date],BD$5)</f>
        <v>30000</v>
      </c>
      <c r="BE94" s="114">
        <f t="shared" ref="BE94" si="206">BD94</f>
        <v>30000</v>
      </c>
      <c r="BF94" s="114">
        <f t="shared" ref="BF94:BS94" si="207">BE94</f>
        <v>30000</v>
      </c>
      <c r="BG94" s="114">
        <f t="shared" si="207"/>
        <v>30000</v>
      </c>
      <c r="BH94" s="114">
        <f t="shared" si="207"/>
        <v>30000</v>
      </c>
      <c r="BI94" s="114">
        <f t="shared" si="207"/>
        <v>30000</v>
      </c>
      <c r="BJ94" s="114">
        <f t="shared" si="207"/>
        <v>30000</v>
      </c>
      <c r="BK94" s="114">
        <f t="shared" si="207"/>
        <v>30000</v>
      </c>
      <c r="BL94" s="114">
        <f t="shared" si="207"/>
        <v>30000</v>
      </c>
      <c r="BM94" s="114">
        <f t="shared" si="207"/>
        <v>30000</v>
      </c>
      <c r="BN94" s="114">
        <f t="shared" si="207"/>
        <v>30000</v>
      </c>
      <c r="BO94" s="114">
        <f t="shared" si="207"/>
        <v>30000</v>
      </c>
      <c r="BP94" s="114">
        <f t="shared" si="207"/>
        <v>30000</v>
      </c>
      <c r="BQ94" s="114">
        <f t="shared" si="207"/>
        <v>30000</v>
      </c>
      <c r="BR94" s="114">
        <f t="shared" si="207"/>
        <v>30000</v>
      </c>
      <c r="BS94" s="114">
        <f t="shared" si="207"/>
        <v>30000</v>
      </c>
    </row>
    <row r="95" spans="1:71" ht="15" outlineLevel="1">
      <c r="B95" s="22"/>
      <c r="C95" s="21"/>
      <c r="D95" s="26"/>
      <c r="E95" s="18"/>
      <c r="F95" s="17"/>
      <c r="G95" s="15"/>
      <c r="H95" s="15"/>
      <c r="I95" s="15"/>
      <c r="J95" s="15"/>
      <c r="K95" s="16"/>
      <c r="L95" s="15"/>
      <c r="M95" s="14"/>
      <c r="O95" s="9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5"/>
      <c r="AH95" s="9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</row>
    <row r="96" spans="1:71" ht="15" outlineLevel="1">
      <c r="A96" s="23"/>
      <c r="B96" s="22"/>
      <c r="C96" s="21" t="s">
        <v>225</v>
      </c>
      <c r="D96" s="20"/>
      <c r="E96" s="18"/>
      <c r="F96" s="17"/>
      <c r="G96" s="15"/>
      <c r="H96" s="15"/>
      <c r="I96" s="15"/>
      <c r="J96" s="15"/>
      <c r="K96" s="16"/>
      <c r="L96" s="15"/>
      <c r="M96" s="14"/>
      <c r="O96" s="9"/>
      <c r="P96" s="19">
        <f>SUM(P97:P97)</f>
        <v>0</v>
      </c>
      <c r="Q96" s="19">
        <f>SUM(Q97:Q97)</f>
        <v>0</v>
      </c>
      <c r="R96" s="19">
        <f>SUM(R97:R97)</f>
        <v>0</v>
      </c>
      <c r="S96" s="9"/>
      <c r="T96" s="9"/>
      <c r="U96" s="19">
        <f t="shared" ref="U96:AF96" si="208">SUM(U97:U97)</f>
        <v>0</v>
      </c>
      <c r="V96" s="19">
        <f t="shared" si="208"/>
        <v>0</v>
      </c>
      <c r="W96" s="19">
        <f t="shared" si="208"/>
        <v>0</v>
      </c>
      <c r="X96" s="19">
        <f t="shared" si="208"/>
        <v>0</v>
      </c>
      <c r="Y96" s="19">
        <f t="shared" si="208"/>
        <v>0</v>
      </c>
      <c r="Z96" s="19">
        <f t="shared" si="208"/>
        <v>0</v>
      </c>
      <c r="AA96" s="19">
        <f t="shared" si="208"/>
        <v>0</v>
      </c>
      <c r="AB96" s="19">
        <f t="shared" si="208"/>
        <v>0</v>
      </c>
      <c r="AC96" s="19">
        <f t="shared" si="208"/>
        <v>0</v>
      </c>
      <c r="AD96" s="19">
        <f t="shared" si="208"/>
        <v>0</v>
      </c>
      <c r="AE96" s="19">
        <f t="shared" si="208"/>
        <v>0</v>
      </c>
      <c r="AF96" s="19">
        <f t="shared" si="208"/>
        <v>0</v>
      </c>
      <c r="AH96" s="9"/>
      <c r="AI96" s="19">
        <f t="shared" ref="AI96:BD96" si="209">IF(AI$5&lt;=LatestMonthOfActuals,SUMIFS(AI97:AI104,$K97:$K104,"Account"),SUMIFS(AI97:AI104,$K97:$K104,"&lt;&gt;Sub-Account"))</f>
        <v>2840078.5</v>
      </c>
      <c r="AJ96" s="19">
        <f t="shared" si="209"/>
        <v>2767274</v>
      </c>
      <c r="AK96" s="19">
        <f t="shared" si="209"/>
        <v>2637954</v>
      </c>
      <c r="AL96" s="19">
        <f t="shared" si="209"/>
        <v>2562584.5</v>
      </c>
      <c r="AM96" s="19">
        <f t="shared" si="209"/>
        <v>2427874</v>
      </c>
      <c r="AN96" s="19">
        <f t="shared" si="209"/>
        <v>2349811.5</v>
      </c>
      <c r="AO96" s="19">
        <f t="shared" si="209"/>
        <v>2209439.5</v>
      </c>
      <c r="AP96" s="19">
        <f t="shared" si="209"/>
        <v>2063123.5</v>
      </c>
      <c r="AQ96" s="19">
        <f t="shared" si="209"/>
        <v>1916808.5</v>
      </c>
      <c r="AR96" s="19">
        <f t="shared" si="209"/>
        <v>1764252.5</v>
      </c>
      <c r="AS96" s="19">
        <f t="shared" si="209"/>
        <v>1611695.5</v>
      </c>
      <c r="AT96" s="19">
        <f t="shared" si="209"/>
        <v>1452585.5</v>
      </c>
      <c r="AU96" s="19">
        <f t="shared" si="209"/>
        <v>1286596</v>
      </c>
      <c r="AV96" s="19">
        <f t="shared" si="209"/>
        <v>1113381.0900000001</v>
      </c>
      <c r="AW96" s="19">
        <f t="shared" si="209"/>
        <v>932580.42999999993</v>
      </c>
      <c r="AX96" s="19">
        <f t="shared" si="209"/>
        <v>743813.77</v>
      </c>
      <c r="AY96" s="19">
        <f t="shared" si="209"/>
        <v>546684.11</v>
      </c>
      <c r="AZ96" s="19">
        <f t="shared" si="209"/>
        <v>340770.44999999995</v>
      </c>
      <c r="BA96" s="19">
        <f t="shared" si="209"/>
        <v>133038.24</v>
      </c>
      <c r="BB96" s="19">
        <f t="shared" si="209"/>
        <v>-90775.810000000056</v>
      </c>
      <c r="BC96" s="19">
        <f t="shared" si="209"/>
        <v>-325755.80000000005</v>
      </c>
      <c r="BD96" s="19">
        <f t="shared" si="209"/>
        <v>-571410.01</v>
      </c>
      <c r="BE96" s="19">
        <f t="shared" ref="BE96" si="210">IF(BE$5&lt;=LatestMonthOfActuals,SUMIFS(BE97:BE104,$K97:$K104,"Account"),SUMIFS(BE97:BE104,$K97:$K104,"&lt;&gt;Sub-Account"))</f>
        <v>198425.82850000024</v>
      </c>
      <c r="BF96" s="19">
        <f t="shared" ref="BF96:BS96" si="211">IF(BF$5&lt;=LatestMonthOfActuals,SUMIFS(BF97:BF104,$K97:$K104,"Account"),SUMIFS(BF97:BF104,$K97:$K104,"&lt;&gt;Sub-Account"))</f>
        <v>-37519.370762500126</v>
      </c>
      <c r="BG96" s="19">
        <f t="shared" si="211"/>
        <v>-278720.08939593751</v>
      </c>
      <c r="BH96" s="19">
        <f t="shared" si="211"/>
        <v>-525777.79704022664</v>
      </c>
      <c r="BI96" s="19">
        <f t="shared" si="211"/>
        <v>-776903.1447722665</v>
      </c>
      <c r="BJ96" s="19">
        <f t="shared" si="211"/>
        <v>-1030853.9301074136</v>
      </c>
      <c r="BK96" s="19">
        <f t="shared" si="211"/>
        <v>-1286256.6161262111</v>
      </c>
      <c r="BL96" s="19">
        <f t="shared" si="211"/>
        <v>-1546076.0439357981</v>
      </c>
      <c r="BM96" s="19">
        <f t="shared" si="211"/>
        <v>-1810073.461741125</v>
      </c>
      <c r="BN96" s="19">
        <f t="shared" si="211"/>
        <v>-2078060.3019015328</v>
      </c>
      <c r="BO96" s="19">
        <f t="shared" si="211"/>
        <v>-2349709.7402522615</v>
      </c>
      <c r="BP96" s="19">
        <f t="shared" si="211"/>
        <v>-2624950.8944612606</v>
      </c>
      <c r="BQ96" s="19">
        <f t="shared" si="211"/>
        <v>-2903917.8632231844</v>
      </c>
      <c r="BR96" s="19">
        <f t="shared" si="211"/>
        <v>-3187008.581465154</v>
      </c>
      <c r="BS96" s="19">
        <f t="shared" si="211"/>
        <v>-3474171.7755327914</v>
      </c>
    </row>
    <row r="97" spans="2:71" ht="6" customHeight="1" outlineLevel="2">
      <c r="E97" s="18"/>
      <c r="F97" s="17"/>
      <c r="G97" s="15"/>
      <c r="H97" s="15"/>
      <c r="I97" s="15"/>
      <c r="J97" s="15"/>
      <c r="K97" s="16"/>
      <c r="L97" s="15"/>
      <c r="M97" s="14"/>
    </row>
    <row r="98" spans="2:71" outlineLevel="2">
      <c r="D98" s="115" t="s">
        <v>226</v>
      </c>
      <c r="E98" s="18" t="s">
        <v>204</v>
      </c>
      <c r="F98" s="17"/>
      <c r="G98" s="15" t="str">
        <f>IFERROR(INDEX(PBC_ACCOUNT_LIST[Drivers Section],MATCH(Drivers!L98,PBC_ACCOUNT_LIST[Id],0)),"")</f>
        <v>Owners Equity</v>
      </c>
      <c r="H98" s="15" t="str">
        <f>IFERROR(INDEX(PBC_ACCOUNT_LIST[Summary Grouping],MATCH(Drivers!L98,PBC_ACCOUNT_LIST[Id],0)),"")</f>
        <v>Contributed Capital</v>
      </c>
      <c r="I98" s="15" t="str">
        <f t="shared" ref="I98:I100" si="212">H98</f>
        <v>Contributed Capital</v>
      </c>
      <c r="J98" s="15" t="str">
        <f>IFERROR(INDEX(PBC_ACCOUNT_LIST[Cash Flow Section],MATCH(Drivers!L98,PBC_ACCOUNT_LIST[Id],0)),"")</f>
        <v>Cash From Financing Activities</v>
      </c>
      <c r="K98" s="16" t="s">
        <v>159</v>
      </c>
      <c r="L98" s="15">
        <v>196</v>
      </c>
      <c r="M98" s="14"/>
      <c r="P98" s="113">
        <f t="shared" ref="P98:R103" si="213">INDEX($AI98:$BS98,MATCH(P$5,$AI$5:$BS$5,0))</f>
        <v>500000</v>
      </c>
      <c r="Q98" s="113">
        <f t="shared" si="213"/>
        <v>500000</v>
      </c>
      <c r="R98" s="113">
        <f t="shared" si="213"/>
        <v>500000</v>
      </c>
      <c r="S98" s="113"/>
      <c r="T98" s="113"/>
      <c r="U98" s="116">
        <f t="shared" ref="U98:AF103" si="214">INDEX($AI98:$BS98,MATCH(U$5,$AI$5:$BS$5,0))</f>
        <v>500000</v>
      </c>
      <c r="V98" s="116">
        <f t="shared" si="214"/>
        <v>500000</v>
      </c>
      <c r="W98" s="116">
        <f t="shared" si="214"/>
        <v>500000</v>
      </c>
      <c r="X98" s="116">
        <f t="shared" si="214"/>
        <v>500000</v>
      </c>
      <c r="Y98" s="116">
        <f t="shared" si="214"/>
        <v>500000</v>
      </c>
      <c r="Z98" s="116">
        <f t="shared" si="214"/>
        <v>500000</v>
      </c>
      <c r="AA98" s="116">
        <f t="shared" si="214"/>
        <v>500000</v>
      </c>
      <c r="AB98" s="116">
        <f t="shared" si="214"/>
        <v>500000</v>
      </c>
      <c r="AC98" s="116">
        <f t="shared" si="214"/>
        <v>500000</v>
      </c>
      <c r="AD98" s="116">
        <f t="shared" si="214"/>
        <v>500000</v>
      </c>
      <c r="AE98" s="116">
        <f t="shared" si="214"/>
        <v>500000</v>
      </c>
      <c r="AF98" s="116">
        <f t="shared" si="214"/>
        <v>500000</v>
      </c>
      <c r="AG98" s="116"/>
      <c r="AH98" s="113"/>
      <c r="AI98" s="116">
        <f>SUMIFS(PBC_BALANCE_SHEET[AccountBalance], PBC_BALANCE_SHEET[Id],$L98,PBC_BALANCE_SHEET[Date],AI$5)</f>
        <v>500000</v>
      </c>
      <c r="AJ98" s="116">
        <f>SUMIFS(PBC_BALANCE_SHEET[AccountBalance], PBC_BALANCE_SHEET[Id],$L98,PBC_BALANCE_SHEET[Date],AJ$5)</f>
        <v>500000</v>
      </c>
      <c r="AK98" s="116">
        <f>SUMIFS(PBC_BALANCE_SHEET[AccountBalance], PBC_BALANCE_SHEET[Id],$L98,PBC_BALANCE_SHEET[Date],AK$5)</f>
        <v>500000</v>
      </c>
      <c r="AL98" s="116">
        <f>SUMIFS(PBC_BALANCE_SHEET[AccountBalance], PBC_BALANCE_SHEET[Id],$L98,PBC_BALANCE_SHEET[Date],AL$5)</f>
        <v>500000</v>
      </c>
      <c r="AM98" s="116">
        <f>SUMIFS(PBC_BALANCE_SHEET[AccountBalance], PBC_BALANCE_SHEET[Id],$L98,PBC_BALANCE_SHEET[Date],AM$5)</f>
        <v>500000</v>
      </c>
      <c r="AN98" s="116">
        <f>SUMIFS(PBC_BALANCE_SHEET[AccountBalance], PBC_BALANCE_SHEET[Id],$L98,PBC_BALANCE_SHEET[Date],AN$5)</f>
        <v>500000</v>
      </c>
      <c r="AO98" s="116">
        <f>SUMIFS(PBC_BALANCE_SHEET[AccountBalance], PBC_BALANCE_SHEET[Id],$L98,PBC_BALANCE_SHEET[Date],AO$5)</f>
        <v>500000</v>
      </c>
      <c r="AP98" s="116">
        <f>SUMIFS(PBC_BALANCE_SHEET[AccountBalance], PBC_BALANCE_SHEET[Id],$L98,PBC_BALANCE_SHEET[Date],AP$5)</f>
        <v>500000</v>
      </c>
      <c r="AQ98" s="116">
        <f>SUMIFS(PBC_BALANCE_SHEET[AccountBalance], PBC_BALANCE_SHEET[Id],$L98,PBC_BALANCE_SHEET[Date],AQ$5)</f>
        <v>500000</v>
      </c>
      <c r="AR98" s="116">
        <f>SUMIFS(PBC_BALANCE_SHEET[AccountBalance], PBC_BALANCE_SHEET[Id],$L98,PBC_BALANCE_SHEET[Date],AR$5)</f>
        <v>500000</v>
      </c>
      <c r="AS98" s="116">
        <f>SUMIFS(PBC_BALANCE_SHEET[AccountBalance], PBC_BALANCE_SHEET[Id],$L98,PBC_BALANCE_SHEET[Date],AS$5)</f>
        <v>500000</v>
      </c>
      <c r="AT98" s="116">
        <f>SUMIFS(PBC_BALANCE_SHEET[AccountBalance], PBC_BALANCE_SHEET[Id],$L98,PBC_BALANCE_SHEET[Date],AT$5)</f>
        <v>500000</v>
      </c>
      <c r="AU98" s="116">
        <f>SUMIFS(PBC_BALANCE_SHEET[AccountBalance], PBC_BALANCE_SHEET[Id],$L98,PBC_BALANCE_SHEET[Date],AU$5)</f>
        <v>500000</v>
      </c>
      <c r="AV98" s="116">
        <f>SUMIFS(PBC_BALANCE_SHEET[AccountBalance], PBC_BALANCE_SHEET[Id],$L98,PBC_BALANCE_SHEET[Date],AV$5)</f>
        <v>500000</v>
      </c>
      <c r="AW98" s="116">
        <f>SUMIFS(PBC_BALANCE_SHEET[AccountBalance], PBC_BALANCE_SHEET[Id],$L98,PBC_BALANCE_SHEET[Date],AW$5)</f>
        <v>500000</v>
      </c>
      <c r="AX98" s="116">
        <f>SUMIFS(PBC_BALANCE_SHEET[AccountBalance], PBC_BALANCE_SHEET[Id],$L98,PBC_BALANCE_SHEET[Date],AX$5)</f>
        <v>500000</v>
      </c>
      <c r="AY98" s="116">
        <f>SUMIFS(PBC_BALANCE_SHEET[AccountBalance], PBC_BALANCE_SHEET[Id],$L98,PBC_BALANCE_SHEET[Date],AY$5)</f>
        <v>500000</v>
      </c>
      <c r="AZ98" s="116">
        <f>SUMIFS(PBC_BALANCE_SHEET[AccountBalance], PBC_BALANCE_SHEET[Id],$L98,PBC_BALANCE_SHEET[Date],AZ$5)</f>
        <v>500000</v>
      </c>
      <c r="BA98" s="116">
        <f>SUMIFS(PBC_BALANCE_SHEET[AccountBalance], PBC_BALANCE_SHEET[Id],$L98,PBC_BALANCE_SHEET[Date],BA$5)</f>
        <v>500000</v>
      </c>
      <c r="BB98" s="116">
        <f>SUMIFS(PBC_BALANCE_SHEET[AccountBalance], PBC_BALANCE_SHEET[Id],$L98,PBC_BALANCE_SHEET[Date],BB$5)</f>
        <v>500000</v>
      </c>
      <c r="BC98" s="116">
        <f>SUMIFS(PBC_BALANCE_SHEET[AccountBalance], PBC_BALANCE_SHEET[Id],$L98,PBC_BALANCE_SHEET[Date],BC$5)</f>
        <v>500000</v>
      </c>
      <c r="BD98" s="116">
        <f>SUMIFS(PBC_BALANCE_SHEET[AccountBalance], PBC_BALANCE_SHEET[Id],$L98,PBC_BALANCE_SHEET[Date],BD$5)</f>
        <v>500000</v>
      </c>
      <c r="BE98" s="117">
        <f t="shared" ref="BE98" si="215">BD98</f>
        <v>500000</v>
      </c>
      <c r="BF98" s="117">
        <f>BE98</f>
        <v>500000</v>
      </c>
      <c r="BG98" s="117">
        <f t="shared" ref="BG98:BS98" si="216">BF98</f>
        <v>500000</v>
      </c>
      <c r="BH98" s="117">
        <f t="shared" si="216"/>
        <v>500000</v>
      </c>
      <c r="BI98" s="117">
        <f t="shared" si="216"/>
        <v>500000</v>
      </c>
      <c r="BJ98" s="117">
        <f t="shared" si="216"/>
        <v>500000</v>
      </c>
      <c r="BK98" s="117">
        <f t="shared" si="216"/>
        <v>500000</v>
      </c>
      <c r="BL98" s="117">
        <f t="shared" si="216"/>
        <v>500000</v>
      </c>
      <c r="BM98" s="117">
        <f t="shared" si="216"/>
        <v>500000</v>
      </c>
      <c r="BN98" s="117">
        <f t="shared" si="216"/>
        <v>500000</v>
      </c>
      <c r="BO98" s="117">
        <f t="shared" si="216"/>
        <v>500000</v>
      </c>
      <c r="BP98" s="117">
        <f t="shared" si="216"/>
        <v>500000</v>
      </c>
      <c r="BQ98" s="117">
        <f t="shared" si="216"/>
        <v>500000</v>
      </c>
      <c r="BR98" s="117">
        <f t="shared" si="216"/>
        <v>500000</v>
      </c>
      <c r="BS98" s="117">
        <f t="shared" si="216"/>
        <v>500000</v>
      </c>
    </row>
    <row r="99" spans="2:71" outlineLevel="2">
      <c r="D99" s="115" t="s">
        <v>227</v>
      </c>
      <c r="E99" s="18" t="s">
        <v>204</v>
      </c>
      <c r="F99" s="17"/>
      <c r="G99" s="15" t="str">
        <f>IFERROR(INDEX(PBC_ACCOUNT_LIST[Drivers Section],MATCH(Drivers!L99,PBC_ACCOUNT_LIST[Id],0)),"")</f>
        <v>Owners Equity</v>
      </c>
      <c r="H99" s="15" t="str">
        <f>IFERROR(INDEX(PBC_ACCOUNT_LIST[Summary Grouping],MATCH(Drivers!L99,PBC_ACCOUNT_LIST[Id],0)),"")</f>
        <v>Contributed Capital</v>
      </c>
      <c r="I99" s="15" t="str">
        <f t="shared" si="212"/>
        <v>Contributed Capital</v>
      </c>
      <c r="J99" s="15" t="str">
        <f>IFERROR(INDEX(PBC_ACCOUNT_LIST[Cash Flow Section],MATCH(Drivers!L99,PBC_ACCOUNT_LIST[Id],0)),"")</f>
        <v>Cash From Financing Activities</v>
      </c>
      <c r="K99" s="16" t="s">
        <v>159</v>
      </c>
      <c r="L99" s="15">
        <v>197</v>
      </c>
      <c r="M99" s="14"/>
      <c r="P99" s="113">
        <f t="shared" si="213"/>
        <v>0</v>
      </c>
      <c r="Q99" s="113">
        <f t="shared" si="213"/>
        <v>0</v>
      </c>
      <c r="R99" s="113">
        <f t="shared" si="213"/>
        <v>0</v>
      </c>
      <c r="S99" s="113"/>
      <c r="T99" s="113"/>
      <c r="U99" s="116">
        <f t="shared" si="214"/>
        <v>0</v>
      </c>
      <c r="V99" s="116">
        <f t="shared" si="214"/>
        <v>0</v>
      </c>
      <c r="W99" s="116">
        <f t="shared" si="214"/>
        <v>0</v>
      </c>
      <c r="X99" s="116">
        <f t="shared" si="214"/>
        <v>0</v>
      </c>
      <c r="Y99" s="116">
        <f t="shared" si="214"/>
        <v>0</v>
      </c>
      <c r="Z99" s="116">
        <f t="shared" si="214"/>
        <v>0</v>
      </c>
      <c r="AA99" s="116">
        <f t="shared" si="214"/>
        <v>0</v>
      </c>
      <c r="AB99" s="116">
        <f t="shared" si="214"/>
        <v>0</v>
      </c>
      <c r="AC99" s="116">
        <f t="shared" si="214"/>
        <v>0</v>
      </c>
      <c r="AD99" s="116">
        <f t="shared" si="214"/>
        <v>0</v>
      </c>
      <c r="AE99" s="116">
        <f t="shared" si="214"/>
        <v>0</v>
      </c>
      <c r="AF99" s="116">
        <f t="shared" si="214"/>
        <v>0</v>
      </c>
      <c r="AG99" s="116"/>
      <c r="AH99" s="113"/>
      <c r="AI99" s="116">
        <f>SUMIFS(PBC_BALANCE_SHEET[AccountBalance], PBC_BALANCE_SHEET[Id],$L99,PBC_BALANCE_SHEET[Date],AI$5)</f>
        <v>0</v>
      </c>
      <c r="AJ99" s="116">
        <f>SUMIFS(PBC_BALANCE_SHEET[AccountBalance], PBC_BALANCE_SHEET[Id],$L99,PBC_BALANCE_SHEET[Date],AJ$5)</f>
        <v>0</v>
      </c>
      <c r="AK99" s="116">
        <f>SUMIFS(PBC_BALANCE_SHEET[AccountBalance], PBC_BALANCE_SHEET[Id],$L99,PBC_BALANCE_SHEET[Date],AK$5)</f>
        <v>0</v>
      </c>
      <c r="AL99" s="116">
        <f>SUMIFS(PBC_BALANCE_SHEET[AccountBalance], PBC_BALANCE_SHEET[Id],$L99,PBC_BALANCE_SHEET[Date],AL$5)</f>
        <v>0</v>
      </c>
      <c r="AM99" s="116">
        <f>SUMIFS(PBC_BALANCE_SHEET[AccountBalance], PBC_BALANCE_SHEET[Id],$L99,PBC_BALANCE_SHEET[Date],AM$5)</f>
        <v>0</v>
      </c>
      <c r="AN99" s="116">
        <f>SUMIFS(PBC_BALANCE_SHEET[AccountBalance], PBC_BALANCE_SHEET[Id],$L99,PBC_BALANCE_SHEET[Date],AN$5)</f>
        <v>0</v>
      </c>
      <c r="AO99" s="116">
        <f>SUMIFS(PBC_BALANCE_SHEET[AccountBalance], PBC_BALANCE_SHEET[Id],$L99,PBC_BALANCE_SHEET[Date],AO$5)</f>
        <v>0</v>
      </c>
      <c r="AP99" s="116">
        <f>SUMIFS(PBC_BALANCE_SHEET[AccountBalance], PBC_BALANCE_SHEET[Id],$L99,PBC_BALANCE_SHEET[Date],AP$5)</f>
        <v>0</v>
      </c>
      <c r="AQ99" s="116">
        <f>SUMIFS(PBC_BALANCE_SHEET[AccountBalance], PBC_BALANCE_SHEET[Id],$L99,PBC_BALANCE_SHEET[Date],AQ$5)</f>
        <v>0</v>
      </c>
      <c r="AR99" s="116">
        <f>SUMIFS(PBC_BALANCE_SHEET[AccountBalance], PBC_BALANCE_SHEET[Id],$L99,PBC_BALANCE_SHEET[Date],AR$5)</f>
        <v>0</v>
      </c>
      <c r="AS99" s="116">
        <f>SUMIFS(PBC_BALANCE_SHEET[AccountBalance], PBC_BALANCE_SHEET[Id],$L99,PBC_BALANCE_SHEET[Date],AS$5)</f>
        <v>0</v>
      </c>
      <c r="AT99" s="116">
        <f>SUMIFS(PBC_BALANCE_SHEET[AccountBalance], PBC_BALANCE_SHEET[Id],$L99,PBC_BALANCE_SHEET[Date],AT$5)</f>
        <v>0</v>
      </c>
      <c r="AU99" s="116">
        <f>SUMIFS(PBC_BALANCE_SHEET[AccountBalance], PBC_BALANCE_SHEET[Id],$L99,PBC_BALANCE_SHEET[Date],AU$5)</f>
        <v>0</v>
      </c>
      <c r="AV99" s="116">
        <f>SUMIFS(PBC_BALANCE_SHEET[AccountBalance], PBC_BALANCE_SHEET[Id],$L99,PBC_BALANCE_SHEET[Date],AV$5)</f>
        <v>0</v>
      </c>
      <c r="AW99" s="116">
        <f>SUMIFS(PBC_BALANCE_SHEET[AccountBalance], PBC_BALANCE_SHEET[Id],$L99,PBC_BALANCE_SHEET[Date],AW$5)</f>
        <v>0</v>
      </c>
      <c r="AX99" s="116">
        <f>SUMIFS(PBC_BALANCE_SHEET[AccountBalance], PBC_BALANCE_SHEET[Id],$L99,PBC_BALANCE_SHEET[Date],AX$5)</f>
        <v>0</v>
      </c>
      <c r="AY99" s="116">
        <f>SUMIFS(PBC_BALANCE_SHEET[AccountBalance], PBC_BALANCE_SHEET[Id],$L99,PBC_BALANCE_SHEET[Date],AY$5)</f>
        <v>0</v>
      </c>
      <c r="AZ99" s="116">
        <f>SUMIFS(PBC_BALANCE_SHEET[AccountBalance], PBC_BALANCE_SHEET[Id],$L99,PBC_BALANCE_SHEET[Date],AZ$5)</f>
        <v>0</v>
      </c>
      <c r="BA99" s="116">
        <f>SUMIFS(PBC_BALANCE_SHEET[AccountBalance], PBC_BALANCE_SHEET[Id],$L99,PBC_BALANCE_SHEET[Date],BA$5)</f>
        <v>0</v>
      </c>
      <c r="BB99" s="116">
        <f>SUMIFS(PBC_BALANCE_SHEET[AccountBalance], PBC_BALANCE_SHEET[Id],$L99,PBC_BALANCE_SHEET[Date],BB$5)</f>
        <v>0</v>
      </c>
      <c r="BC99" s="116">
        <f>SUMIFS(PBC_BALANCE_SHEET[AccountBalance], PBC_BALANCE_SHEET[Id],$L99,PBC_BALANCE_SHEET[Date],BC$5)</f>
        <v>0</v>
      </c>
      <c r="BD99" s="116">
        <f>SUMIFS(PBC_BALANCE_SHEET[AccountBalance], PBC_BALANCE_SHEET[Id],$L99,PBC_BALANCE_SHEET[Date],BD$5)</f>
        <v>0</v>
      </c>
      <c r="BE99" s="117">
        <f t="shared" ref="BE99" si="217">BD99</f>
        <v>0</v>
      </c>
      <c r="BF99" s="117">
        <f t="shared" ref="BF99:BS99" si="218">BE99</f>
        <v>0</v>
      </c>
      <c r="BG99" s="117">
        <f t="shared" si="218"/>
        <v>0</v>
      </c>
      <c r="BH99" s="117">
        <f t="shared" si="218"/>
        <v>0</v>
      </c>
      <c r="BI99" s="117">
        <f t="shared" si="218"/>
        <v>0</v>
      </c>
      <c r="BJ99" s="117">
        <f t="shared" si="218"/>
        <v>0</v>
      </c>
      <c r="BK99" s="117">
        <f t="shared" si="218"/>
        <v>0</v>
      </c>
      <c r="BL99" s="117">
        <f t="shared" si="218"/>
        <v>0</v>
      </c>
      <c r="BM99" s="117">
        <f t="shared" si="218"/>
        <v>0</v>
      </c>
      <c r="BN99" s="117">
        <f t="shared" si="218"/>
        <v>0</v>
      </c>
      <c r="BO99" s="117">
        <f t="shared" si="218"/>
        <v>0</v>
      </c>
      <c r="BP99" s="117">
        <f t="shared" si="218"/>
        <v>0</v>
      </c>
      <c r="BQ99" s="117">
        <f t="shared" si="218"/>
        <v>0</v>
      </c>
      <c r="BR99" s="117">
        <f t="shared" si="218"/>
        <v>0</v>
      </c>
      <c r="BS99" s="117">
        <f t="shared" si="218"/>
        <v>0</v>
      </c>
    </row>
    <row r="100" spans="2:71" outlineLevel="2">
      <c r="D100" s="115" t="s">
        <v>228</v>
      </c>
      <c r="E100" s="18" t="s">
        <v>204</v>
      </c>
      <c r="F100" s="17"/>
      <c r="G100" s="15" t="str">
        <f>IFERROR(INDEX(PBC_ACCOUNT_LIST[Drivers Section],MATCH(Drivers!L100,PBC_ACCOUNT_LIST[Id],0)),"")</f>
        <v>Owners Equity</v>
      </c>
      <c r="H100" s="15" t="str">
        <f>IFERROR(INDEX(PBC_ACCOUNT_LIST[Summary Grouping],MATCH(Drivers!L100,PBC_ACCOUNT_LIST[Id],0)),"")</f>
        <v>Contributed Capital</v>
      </c>
      <c r="I100" s="15" t="str">
        <f t="shared" si="212"/>
        <v>Contributed Capital</v>
      </c>
      <c r="J100" s="15" t="str">
        <f>IFERROR(INDEX(PBC_ACCOUNT_LIST[Cash Flow Section],MATCH(Drivers!L100,PBC_ACCOUNT_LIST[Id],0)),"")</f>
        <v>Cash From Financing Activities</v>
      </c>
      <c r="K100" s="16" t="s">
        <v>159</v>
      </c>
      <c r="L100" s="15">
        <v>198</v>
      </c>
      <c r="M100" s="14"/>
      <c r="P100" s="113">
        <f t="shared" si="213"/>
        <v>3000000</v>
      </c>
      <c r="Q100" s="113">
        <f t="shared" si="213"/>
        <v>4000000</v>
      </c>
      <c r="R100" s="113">
        <f t="shared" si="213"/>
        <v>4000000</v>
      </c>
      <c r="S100" s="113"/>
      <c r="T100" s="113"/>
      <c r="U100" s="116">
        <f t="shared" si="214"/>
        <v>3000000</v>
      </c>
      <c r="V100" s="116">
        <f t="shared" si="214"/>
        <v>3000000</v>
      </c>
      <c r="W100" s="116">
        <f t="shared" si="214"/>
        <v>3000000</v>
      </c>
      <c r="X100" s="116">
        <f t="shared" si="214"/>
        <v>3000000</v>
      </c>
      <c r="Y100" s="116">
        <f t="shared" si="214"/>
        <v>3000000</v>
      </c>
      <c r="Z100" s="116">
        <f t="shared" si="214"/>
        <v>3000000</v>
      </c>
      <c r="AA100" s="116">
        <f t="shared" si="214"/>
        <v>3000000</v>
      </c>
      <c r="AB100" s="116">
        <f t="shared" si="214"/>
        <v>4000000</v>
      </c>
      <c r="AC100" s="116">
        <f t="shared" si="214"/>
        <v>4000000</v>
      </c>
      <c r="AD100" s="116">
        <f t="shared" si="214"/>
        <v>4000000</v>
      </c>
      <c r="AE100" s="116">
        <f t="shared" si="214"/>
        <v>4000000</v>
      </c>
      <c r="AF100" s="116">
        <f t="shared" si="214"/>
        <v>4000000</v>
      </c>
      <c r="AG100" s="116"/>
      <c r="AH100" s="113"/>
      <c r="AI100" s="116">
        <f>SUMIFS(PBC_BALANCE_SHEET[AccountBalance], PBC_BALANCE_SHEET[Id],$L100,PBC_BALANCE_SHEET[Date],AI$5)</f>
        <v>3000000</v>
      </c>
      <c r="AJ100" s="116">
        <f>SUMIFS(PBC_BALANCE_SHEET[AccountBalance], PBC_BALANCE_SHEET[Id],$L100,PBC_BALANCE_SHEET[Date],AJ$5)</f>
        <v>3000000</v>
      </c>
      <c r="AK100" s="116">
        <f>SUMIFS(PBC_BALANCE_SHEET[AccountBalance], PBC_BALANCE_SHEET[Id],$L100,PBC_BALANCE_SHEET[Date],AK$5)</f>
        <v>3000000</v>
      </c>
      <c r="AL100" s="116">
        <f>SUMIFS(PBC_BALANCE_SHEET[AccountBalance], PBC_BALANCE_SHEET[Id],$L100,PBC_BALANCE_SHEET[Date],AL$5)</f>
        <v>3000000</v>
      </c>
      <c r="AM100" s="116">
        <f>SUMIFS(PBC_BALANCE_SHEET[AccountBalance], PBC_BALANCE_SHEET[Id],$L100,PBC_BALANCE_SHEET[Date],AM$5)</f>
        <v>3000000</v>
      </c>
      <c r="AN100" s="116">
        <f>SUMIFS(PBC_BALANCE_SHEET[AccountBalance], PBC_BALANCE_SHEET[Id],$L100,PBC_BALANCE_SHEET[Date],AN$5)</f>
        <v>3000000</v>
      </c>
      <c r="AO100" s="116">
        <f>SUMIFS(PBC_BALANCE_SHEET[AccountBalance], PBC_BALANCE_SHEET[Id],$L100,PBC_BALANCE_SHEET[Date],AO$5)</f>
        <v>3000000</v>
      </c>
      <c r="AP100" s="116">
        <f>SUMIFS(PBC_BALANCE_SHEET[AccountBalance], PBC_BALANCE_SHEET[Id],$L100,PBC_BALANCE_SHEET[Date],AP$5)</f>
        <v>3000000</v>
      </c>
      <c r="AQ100" s="116">
        <f>SUMIFS(PBC_BALANCE_SHEET[AccountBalance], PBC_BALANCE_SHEET[Id],$L100,PBC_BALANCE_SHEET[Date],AQ$5)</f>
        <v>3000000</v>
      </c>
      <c r="AR100" s="116">
        <f>SUMIFS(PBC_BALANCE_SHEET[AccountBalance], PBC_BALANCE_SHEET[Id],$L100,PBC_BALANCE_SHEET[Date],AR$5)</f>
        <v>3000000</v>
      </c>
      <c r="AS100" s="116">
        <f>SUMIFS(PBC_BALANCE_SHEET[AccountBalance], PBC_BALANCE_SHEET[Id],$L100,PBC_BALANCE_SHEET[Date],AS$5)</f>
        <v>3000000</v>
      </c>
      <c r="AT100" s="116">
        <f>SUMIFS(PBC_BALANCE_SHEET[AccountBalance], PBC_BALANCE_SHEET[Id],$L100,PBC_BALANCE_SHEET[Date],AT$5)</f>
        <v>3000000</v>
      </c>
      <c r="AU100" s="116">
        <f>SUMIFS(PBC_BALANCE_SHEET[AccountBalance], PBC_BALANCE_SHEET[Id],$L100,PBC_BALANCE_SHEET[Date],AU$5)</f>
        <v>3000000</v>
      </c>
      <c r="AV100" s="116">
        <f>SUMIFS(PBC_BALANCE_SHEET[AccountBalance], PBC_BALANCE_SHEET[Id],$L100,PBC_BALANCE_SHEET[Date],AV$5)</f>
        <v>3000000</v>
      </c>
      <c r="AW100" s="116">
        <f>SUMIFS(PBC_BALANCE_SHEET[AccountBalance], PBC_BALANCE_SHEET[Id],$L100,PBC_BALANCE_SHEET[Date],AW$5)</f>
        <v>3000000</v>
      </c>
      <c r="AX100" s="116">
        <f>SUMIFS(PBC_BALANCE_SHEET[AccountBalance], PBC_BALANCE_SHEET[Id],$L100,PBC_BALANCE_SHEET[Date],AX$5)</f>
        <v>3000000</v>
      </c>
      <c r="AY100" s="116">
        <f>SUMIFS(PBC_BALANCE_SHEET[AccountBalance], PBC_BALANCE_SHEET[Id],$L100,PBC_BALANCE_SHEET[Date],AY$5)</f>
        <v>3000000</v>
      </c>
      <c r="AZ100" s="116">
        <f>SUMIFS(PBC_BALANCE_SHEET[AccountBalance], PBC_BALANCE_SHEET[Id],$L100,PBC_BALANCE_SHEET[Date],AZ$5)</f>
        <v>3000000</v>
      </c>
      <c r="BA100" s="116">
        <f>SUMIFS(PBC_BALANCE_SHEET[AccountBalance], PBC_BALANCE_SHEET[Id],$L100,PBC_BALANCE_SHEET[Date],BA$5)</f>
        <v>3000000</v>
      </c>
      <c r="BB100" s="116">
        <f>SUMIFS(PBC_BALANCE_SHEET[AccountBalance], PBC_BALANCE_SHEET[Id],$L100,PBC_BALANCE_SHEET[Date],BB$5)</f>
        <v>3000000</v>
      </c>
      <c r="BC100" s="116">
        <f>SUMIFS(PBC_BALANCE_SHEET[AccountBalance], PBC_BALANCE_SHEET[Id],$L100,PBC_BALANCE_SHEET[Date],BC$5)</f>
        <v>3000000</v>
      </c>
      <c r="BD100" s="116">
        <f>SUMIFS(PBC_BALANCE_SHEET[AccountBalance], PBC_BALANCE_SHEET[Id],$L100,PBC_BALANCE_SHEET[Date],BD$5)</f>
        <v>3000000</v>
      </c>
      <c r="BE100" s="117">
        <f>BD100+1000000</f>
        <v>4000000</v>
      </c>
      <c r="BF100" s="117">
        <f t="shared" ref="BF100:BS100" si="219">BE100</f>
        <v>4000000</v>
      </c>
      <c r="BG100" s="117">
        <f t="shared" si="219"/>
        <v>4000000</v>
      </c>
      <c r="BH100" s="117">
        <f t="shared" si="219"/>
        <v>4000000</v>
      </c>
      <c r="BI100" s="117">
        <f t="shared" si="219"/>
        <v>4000000</v>
      </c>
      <c r="BJ100" s="117">
        <f t="shared" si="219"/>
        <v>4000000</v>
      </c>
      <c r="BK100" s="117">
        <f t="shared" si="219"/>
        <v>4000000</v>
      </c>
      <c r="BL100" s="117">
        <f t="shared" si="219"/>
        <v>4000000</v>
      </c>
      <c r="BM100" s="117">
        <f t="shared" si="219"/>
        <v>4000000</v>
      </c>
      <c r="BN100" s="117">
        <f t="shared" si="219"/>
        <v>4000000</v>
      </c>
      <c r="BO100" s="117">
        <f t="shared" si="219"/>
        <v>4000000</v>
      </c>
      <c r="BP100" s="117">
        <f t="shared" si="219"/>
        <v>4000000</v>
      </c>
      <c r="BQ100" s="117">
        <f t="shared" si="219"/>
        <v>4000000</v>
      </c>
      <c r="BR100" s="117">
        <f t="shared" si="219"/>
        <v>4000000</v>
      </c>
      <c r="BS100" s="117">
        <f t="shared" si="219"/>
        <v>4000000</v>
      </c>
    </row>
    <row r="101" spans="2:71" outlineLevel="2">
      <c r="D101" s="115" t="s">
        <v>229</v>
      </c>
      <c r="E101" s="118" t="s">
        <v>201</v>
      </c>
      <c r="F101" s="17"/>
      <c r="G101" s="15" t="str">
        <f>IFERROR(INDEX(PBC_ACCOUNT_LIST[Drivers Section],MATCH(Drivers!L101,PBC_ACCOUNT_LIST[Id],0)),"")</f>
        <v>Owners Equity</v>
      </c>
      <c r="H101" s="15" t="str">
        <f>IFERROR(INDEX(PBC_ACCOUNT_LIST[Summary Grouping],MATCH(Drivers!L101,PBC_ACCOUNT_LIST[Id],0)),"")</f>
        <v>Retained Earnings</v>
      </c>
      <c r="I101" s="15"/>
      <c r="J101" s="15">
        <f>IFERROR(INDEX(PBC_ACCOUNT_LIST[Cash Flow Section],MATCH(Drivers!L101,PBC_ACCOUNT_LIST[Id],0)),"")</f>
        <v>0</v>
      </c>
      <c r="K101" s="16" t="s">
        <v>159</v>
      </c>
      <c r="L101" s="15">
        <v>4</v>
      </c>
      <c r="M101" s="14"/>
      <c r="P101" s="113">
        <f t="shared" si="213"/>
        <v>-659921.5</v>
      </c>
      <c r="Q101" s="113">
        <f t="shared" si="213"/>
        <v>-4537519.3707625</v>
      </c>
      <c r="R101" s="113">
        <f t="shared" si="213"/>
        <v>-7687008.581465154</v>
      </c>
      <c r="S101" s="113"/>
      <c r="T101" s="113"/>
      <c r="U101" s="116">
        <f t="shared" si="214"/>
        <v>-659921.5</v>
      </c>
      <c r="V101" s="116">
        <f t="shared" si="214"/>
        <v>-659921.5</v>
      </c>
      <c r="W101" s="116">
        <f t="shared" si="214"/>
        <v>-659921.5</v>
      </c>
      <c r="X101" s="116">
        <f t="shared" si="214"/>
        <v>-659921.5</v>
      </c>
      <c r="Y101" s="116">
        <f t="shared" si="214"/>
        <v>-2213404</v>
      </c>
      <c r="Z101" s="116">
        <f t="shared" si="214"/>
        <v>-2213404</v>
      </c>
      <c r="AA101" s="116">
        <f t="shared" si="214"/>
        <v>-2213404</v>
      </c>
      <c r="AB101" s="116">
        <f t="shared" si="214"/>
        <v>-4537519.3707625</v>
      </c>
      <c r="AC101" s="116">
        <f t="shared" si="214"/>
        <v>-5276903.144772267</v>
      </c>
      <c r="AD101" s="116">
        <f t="shared" si="214"/>
        <v>-6046076.0439357981</v>
      </c>
      <c r="AE101" s="116">
        <f t="shared" si="214"/>
        <v>-6849709.740252262</v>
      </c>
      <c r="AF101" s="116">
        <f t="shared" si="214"/>
        <v>-7687008.581465154</v>
      </c>
      <c r="AG101" s="116"/>
      <c r="AH101" s="113"/>
      <c r="AI101" s="116">
        <f>SUMIFS(PBC_BALANCE_SHEET[AccountBalance], PBC_BALANCE_SHEET[Id],$L101,PBC_BALANCE_SHEET[Date],AI$5)</f>
        <v>0</v>
      </c>
      <c r="AJ101" s="116">
        <f>SUMIFS(PBC_BALANCE_SHEET[AccountBalance], PBC_BALANCE_SHEET[Id],$L101,PBC_BALANCE_SHEET[Date],AJ$5)</f>
        <v>-659921.5</v>
      </c>
      <c r="AK101" s="116">
        <f>SUMIFS(PBC_BALANCE_SHEET[AccountBalance], PBC_BALANCE_SHEET[Id],$L101,PBC_BALANCE_SHEET[Date],AK$5)</f>
        <v>-659921.5</v>
      </c>
      <c r="AL101" s="116">
        <f>SUMIFS(PBC_BALANCE_SHEET[AccountBalance], PBC_BALANCE_SHEET[Id],$L101,PBC_BALANCE_SHEET[Date],AL$5)</f>
        <v>-659921.5</v>
      </c>
      <c r="AM101" s="116">
        <f>SUMIFS(PBC_BALANCE_SHEET[AccountBalance], PBC_BALANCE_SHEET[Id],$L101,PBC_BALANCE_SHEET[Date],AM$5)</f>
        <v>-659921.5</v>
      </c>
      <c r="AN101" s="116">
        <f>SUMIFS(PBC_BALANCE_SHEET[AccountBalance], PBC_BALANCE_SHEET[Id],$L101,PBC_BALANCE_SHEET[Date],AN$5)</f>
        <v>-659921.5</v>
      </c>
      <c r="AO101" s="116">
        <f>SUMIFS(PBC_BALANCE_SHEET[AccountBalance], PBC_BALANCE_SHEET[Id],$L101,PBC_BALANCE_SHEET[Date],AO$5)</f>
        <v>-659921.5</v>
      </c>
      <c r="AP101" s="116">
        <f>SUMIFS(PBC_BALANCE_SHEET[AccountBalance], PBC_BALANCE_SHEET[Id],$L101,PBC_BALANCE_SHEET[Date],AP$5)</f>
        <v>-659921.5</v>
      </c>
      <c r="AQ101" s="116">
        <f>SUMIFS(PBC_BALANCE_SHEET[AccountBalance], PBC_BALANCE_SHEET[Id],$L101,PBC_BALANCE_SHEET[Date],AQ$5)</f>
        <v>-659921.5</v>
      </c>
      <c r="AR101" s="116">
        <f>SUMIFS(PBC_BALANCE_SHEET[AccountBalance], PBC_BALANCE_SHEET[Id],$L101,PBC_BALANCE_SHEET[Date],AR$5)</f>
        <v>-659921.5</v>
      </c>
      <c r="AS101" s="116">
        <f>SUMIFS(PBC_BALANCE_SHEET[AccountBalance], PBC_BALANCE_SHEET[Id],$L101,PBC_BALANCE_SHEET[Date],AS$5)</f>
        <v>-659921.5</v>
      </c>
      <c r="AT101" s="116">
        <f>SUMIFS(PBC_BALANCE_SHEET[AccountBalance], PBC_BALANCE_SHEET[Id],$L101,PBC_BALANCE_SHEET[Date],AT$5)</f>
        <v>-659921.5</v>
      </c>
      <c r="AU101" s="116">
        <f>SUMIFS(PBC_BALANCE_SHEET[AccountBalance], PBC_BALANCE_SHEET[Id],$L101,PBC_BALANCE_SHEET[Date],AU$5)</f>
        <v>-659921.5</v>
      </c>
      <c r="AV101" s="116">
        <f>SUMIFS(PBC_BALANCE_SHEET[AccountBalance], PBC_BALANCE_SHEET[Id],$L101,PBC_BALANCE_SHEET[Date],AV$5)</f>
        <v>-2213404</v>
      </c>
      <c r="AW101" s="116">
        <f>SUMIFS(PBC_BALANCE_SHEET[AccountBalance], PBC_BALANCE_SHEET[Id],$L101,PBC_BALANCE_SHEET[Date],AW$5)</f>
        <v>-2213404</v>
      </c>
      <c r="AX101" s="116">
        <f>SUMIFS(PBC_BALANCE_SHEET[AccountBalance], PBC_BALANCE_SHEET[Id],$L101,PBC_BALANCE_SHEET[Date],AX$5)</f>
        <v>-2213404</v>
      </c>
      <c r="AY101" s="116">
        <f>SUMIFS(PBC_BALANCE_SHEET[AccountBalance], PBC_BALANCE_SHEET[Id],$L101,PBC_BALANCE_SHEET[Date],AY$5)</f>
        <v>-2213404</v>
      </c>
      <c r="AZ101" s="116">
        <f>SUMIFS(PBC_BALANCE_SHEET[AccountBalance], PBC_BALANCE_SHEET[Id],$L101,PBC_BALANCE_SHEET[Date],AZ$5)</f>
        <v>-2213404</v>
      </c>
      <c r="BA101" s="116">
        <f>SUMIFS(PBC_BALANCE_SHEET[AccountBalance], PBC_BALANCE_SHEET[Id],$L101,PBC_BALANCE_SHEET[Date],BA$5)</f>
        <v>-2213404</v>
      </c>
      <c r="BB101" s="116">
        <f>SUMIFS(PBC_BALANCE_SHEET[AccountBalance], PBC_BALANCE_SHEET[Id],$L101,PBC_BALANCE_SHEET[Date],BB$5)</f>
        <v>-2213404</v>
      </c>
      <c r="BC101" s="116">
        <f>SUMIFS(PBC_BALANCE_SHEET[AccountBalance], PBC_BALANCE_SHEET[Id],$L101,PBC_BALANCE_SHEET[Date],BC$5)</f>
        <v>-2213404</v>
      </c>
      <c r="BD101" s="116">
        <f>SUMIFS(PBC_BALANCE_SHEET[AccountBalance], PBC_BALANCE_SHEET[Id],$L101,PBC_BALANCE_SHEET[Date],BD$5)</f>
        <v>-2213404</v>
      </c>
      <c r="BE101" s="119">
        <f t="shared" ref="BE101" si="220">BD102 + BD101</f>
        <v>-4071410.01</v>
      </c>
      <c r="BF101" s="119">
        <f>BE102 + BE101</f>
        <v>-4301574.1715000002</v>
      </c>
      <c r="BG101" s="119">
        <f t="shared" ref="BG101:BS101" si="221">BF102 + BF101</f>
        <v>-4537519.3707625</v>
      </c>
      <c r="BH101" s="119">
        <f t="shared" si="221"/>
        <v>-4778720.0893959375</v>
      </c>
      <c r="BI101" s="119">
        <f t="shared" si="221"/>
        <v>-5025777.7970402269</v>
      </c>
      <c r="BJ101" s="119">
        <f t="shared" si="221"/>
        <v>-5276903.144772267</v>
      </c>
      <c r="BK101" s="119">
        <f t="shared" si="221"/>
        <v>-5530853.9301074138</v>
      </c>
      <c r="BL101" s="119">
        <f t="shared" si="221"/>
        <v>-5786256.6161262114</v>
      </c>
      <c r="BM101" s="119">
        <f t="shared" si="221"/>
        <v>-6046076.0439357981</v>
      </c>
      <c r="BN101" s="119">
        <f t="shared" si="221"/>
        <v>-6310073.4617411252</v>
      </c>
      <c r="BO101" s="119">
        <f t="shared" si="221"/>
        <v>-6578060.3019015333</v>
      </c>
      <c r="BP101" s="119">
        <f t="shared" si="221"/>
        <v>-6849709.740252262</v>
      </c>
      <c r="BQ101" s="119">
        <f t="shared" si="221"/>
        <v>-7124950.8944612611</v>
      </c>
      <c r="BR101" s="119">
        <f t="shared" si="221"/>
        <v>-7403917.8632231839</v>
      </c>
      <c r="BS101" s="119">
        <f t="shared" si="221"/>
        <v>-7687008.581465154</v>
      </c>
    </row>
    <row r="102" spans="2:71" outlineLevel="2">
      <c r="D102" s="115" t="s">
        <v>197</v>
      </c>
      <c r="E102" s="118" t="s">
        <v>201</v>
      </c>
      <c r="F102" s="17"/>
      <c r="G102" s="15" t="str">
        <f>IFERROR(INDEX(PBC_ACCOUNT_LIST[Drivers Section],MATCH(Drivers!L102,PBC_ACCOUNT_LIST[Id],0)),"")</f>
        <v>Owners Equity</v>
      </c>
      <c r="H102" s="15" t="str">
        <f>IFERROR(INDEX(PBC_ACCOUNT_LIST[Summary Grouping],MATCH(Drivers!L102,PBC_ACCOUNT_LIST[Id],0)),"")</f>
        <v>Retained Earnings</v>
      </c>
      <c r="I102" s="15"/>
      <c r="J102" s="15">
        <f>IFERROR(INDEX(PBC_ACCOUNT_LIST[Cash Flow Section],MATCH(Drivers!L102,PBC_ACCOUNT_LIST[Id],0)),"")</f>
        <v>0</v>
      </c>
      <c r="K102" s="16" t="s">
        <v>159</v>
      </c>
      <c r="L102" s="15">
        <v>999</v>
      </c>
      <c r="M102" s="14"/>
      <c r="P102" s="113">
        <f t="shared" si="213"/>
        <v>-1553482.5</v>
      </c>
      <c r="Q102" s="113">
        <f t="shared" si="213"/>
        <v>-241200.71863343753</v>
      </c>
      <c r="R102" s="113">
        <f t="shared" si="213"/>
        <v>-287163.1940676372</v>
      </c>
      <c r="S102" s="113"/>
      <c r="T102" s="113"/>
      <c r="U102" s="116">
        <f t="shared" si="214"/>
        <v>-277494</v>
      </c>
      <c r="V102" s="116">
        <f t="shared" si="214"/>
        <v>-630639</v>
      </c>
      <c r="W102" s="116">
        <f t="shared" si="214"/>
        <v>-1075826</v>
      </c>
      <c r="X102" s="116">
        <f t="shared" si="214"/>
        <v>-1553482.5</v>
      </c>
      <c r="Y102" s="116">
        <f t="shared" si="214"/>
        <v>-542782.23</v>
      </c>
      <c r="Z102" s="116">
        <f t="shared" si="214"/>
        <v>-1153557.76</v>
      </c>
      <c r="AA102" s="116">
        <f t="shared" si="214"/>
        <v>-1858006.01</v>
      </c>
      <c r="AB102" s="116">
        <f t="shared" si="214"/>
        <v>-241200.71863343753</v>
      </c>
      <c r="AC102" s="116">
        <f t="shared" si="214"/>
        <v>-253950.78533514662</v>
      </c>
      <c r="AD102" s="116">
        <f t="shared" si="214"/>
        <v>-263997.41780532687</v>
      </c>
      <c r="AE102" s="116">
        <f t="shared" si="214"/>
        <v>-275241.15420899884</v>
      </c>
      <c r="AF102" s="116">
        <f t="shared" si="214"/>
        <v>-287163.1940676372</v>
      </c>
      <c r="AG102" s="116"/>
      <c r="AH102" s="113"/>
      <c r="AI102" s="116">
        <f>SUMIFS(PBC_BALANCE_SHEET[AccountBalance], PBC_BALANCE_SHEET[Id],$L102,PBC_BALANCE_SHEET[Date],AI$5)</f>
        <v>-659921.5</v>
      </c>
      <c r="AJ102" s="116">
        <f>SUMIFS(PBC_BALANCE_SHEET[AccountBalance], PBC_BALANCE_SHEET[Id],$L102,PBC_BALANCE_SHEET[Date],AJ$5)</f>
        <v>-72804.5</v>
      </c>
      <c r="AK102" s="116">
        <f>SUMIFS(PBC_BALANCE_SHEET[AccountBalance], PBC_BALANCE_SHEET[Id],$L102,PBC_BALANCE_SHEET[Date],AK$5)</f>
        <v>-202124.5</v>
      </c>
      <c r="AL102" s="116">
        <f>SUMIFS(PBC_BALANCE_SHEET[AccountBalance], PBC_BALANCE_SHEET[Id],$L102,PBC_BALANCE_SHEET[Date],AL$5)</f>
        <v>-277494</v>
      </c>
      <c r="AM102" s="116">
        <f>SUMIFS(PBC_BALANCE_SHEET[AccountBalance], PBC_BALANCE_SHEET[Id],$L102,PBC_BALANCE_SHEET[Date],AM$5)</f>
        <v>-412204.5</v>
      </c>
      <c r="AN102" s="116">
        <f>SUMIFS(PBC_BALANCE_SHEET[AccountBalance], PBC_BALANCE_SHEET[Id],$L102,PBC_BALANCE_SHEET[Date],AN$5)</f>
        <v>-490267</v>
      </c>
      <c r="AO102" s="116">
        <f>SUMIFS(PBC_BALANCE_SHEET[AccountBalance], PBC_BALANCE_SHEET[Id],$L102,PBC_BALANCE_SHEET[Date],AO$5)</f>
        <v>-630639</v>
      </c>
      <c r="AP102" s="116">
        <f>SUMIFS(PBC_BALANCE_SHEET[AccountBalance], PBC_BALANCE_SHEET[Id],$L102,PBC_BALANCE_SHEET[Date],AP$5)</f>
        <v>-776955</v>
      </c>
      <c r="AQ102" s="116">
        <f>SUMIFS(PBC_BALANCE_SHEET[AccountBalance], PBC_BALANCE_SHEET[Id],$L102,PBC_BALANCE_SHEET[Date],AQ$5)</f>
        <v>-923270</v>
      </c>
      <c r="AR102" s="116">
        <f>SUMIFS(PBC_BALANCE_SHEET[AccountBalance], PBC_BALANCE_SHEET[Id],$L102,PBC_BALANCE_SHEET[Date],AR$5)</f>
        <v>-1075826</v>
      </c>
      <c r="AS102" s="116">
        <f>SUMIFS(PBC_BALANCE_SHEET[AccountBalance], PBC_BALANCE_SHEET[Id],$L102,PBC_BALANCE_SHEET[Date],AS$5)</f>
        <v>-1228383</v>
      </c>
      <c r="AT102" s="116">
        <f>SUMIFS(PBC_BALANCE_SHEET[AccountBalance], PBC_BALANCE_SHEET[Id],$L102,PBC_BALANCE_SHEET[Date],AT$5)</f>
        <v>-1387493</v>
      </c>
      <c r="AU102" s="116">
        <f>SUMIFS(PBC_BALANCE_SHEET[AccountBalance], PBC_BALANCE_SHEET[Id],$L102,PBC_BALANCE_SHEET[Date],AU$5)</f>
        <v>-1553482.5</v>
      </c>
      <c r="AV102" s="116">
        <f>SUMIFS(PBC_BALANCE_SHEET[AccountBalance], PBC_BALANCE_SHEET[Id],$L102,PBC_BALANCE_SHEET[Date],AV$5)</f>
        <v>-173214.91</v>
      </c>
      <c r="AW102" s="116">
        <f>SUMIFS(PBC_BALANCE_SHEET[AccountBalance], PBC_BALANCE_SHEET[Id],$L102,PBC_BALANCE_SHEET[Date],AW$5)</f>
        <v>-354015.57</v>
      </c>
      <c r="AX102" s="116">
        <f>SUMIFS(PBC_BALANCE_SHEET[AccountBalance], PBC_BALANCE_SHEET[Id],$L102,PBC_BALANCE_SHEET[Date],AX$5)</f>
        <v>-542782.23</v>
      </c>
      <c r="AY102" s="116">
        <f>SUMIFS(PBC_BALANCE_SHEET[AccountBalance], PBC_BALANCE_SHEET[Id],$L102,PBC_BALANCE_SHEET[Date],AY$5)</f>
        <v>-739911.89</v>
      </c>
      <c r="AZ102" s="116">
        <f>SUMIFS(PBC_BALANCE_SHEET[AccountBalance], PBC_BALANCE_SHEET[Id],$L102,PBC_BALANCE_SHEET[Date],AZ$5)</f>
        <v>-945825.55</v>
      </c>
      <c r="BA102" s="116">
        <f>SUMIFS(PBC_BALANCE_SHEET[AccountBalance], PBC_BALANCE_SHEET[Id],$L102,PBC_BALANCE_SHEET[Date],BA$5)</f>
        <v>-1153557.76</v>
      </c>
      <c r="BB102" s="116">
        <f>SUMIFS(PBC_BALANCE_SHEET[AccountBalance], PBC_BALANCE_SHEET[Id],$L102,PBC_BALANCE_SHEET[Date],BB$5)</f>
        <v>-1377371.81</v>
      </c>
      <c r="BC102" s="116">
        <f>SUMIFS(PBC_BALANCE_SHEET[AccountBalance], PBC_BALANCE_SHEET[Id],$L102,PBC_BALANCE_SHEET[Date],BC$5)</f>
        <v>-1612351.8</v>
      </c>
      <c r="BD102" s="116">
        <f>SUMIFS(PBC_BALANCE_SHEET[AccountBalance], PBC_BALANCE_SHEET[Id],$L102,PBC_BALANCE_SHEET[Date],BD$5)</f>
        <v>-1858006.01</v>
      </c>
      <c r="BE102" s="119">
        <f t="shared" ref="BE102" si="222">BE65</f>
        <v>-230164.16149999999</v>
      </c>
      <c r="BF102" s="119">
        <f>BF65</f>
        <v>-235945.19926249995</v>
      </c>
      <c r="BG102" s="119">
        <f t="shared" ref="BG102:BS102" si="223">BG65</f>
        <v>-241200.71863343753</v>
      </c>
      <c r="BH102" s="119">
        <f t="shared" si="223"/>
        <v>-247057.70764428913</v>
      </c>
      <c r="BI102" s="119">
        <f t="shared" si="223"/>
        <v>-251125.34773203966</v>
      </c>
      <c r="BJ102" s="119">
        <f t="shared" si="223"/>
        <v>-253950.78533514662</v>
      </c>
      <c r="BK102" s="119">
        <f t="shared" si="223"/>
        <v>-255402.68601879734</v>
      </c>
      <c r="BL102" s="119">
        <f t="shared" si="223"/>
        <v>-259819.42780958675</v>
      </c>
      <c r="BM102" s="119">
        <f t="shared" si="223"/>
        <v>-263997.41780532687</v>
      </c>
      <c r="BN102" s="119">
        <f t="shared" si="223"/>
        <v>-267986.84016040765</v>
      </c>
      <c r="BO102" s="119">
        <f t="shared" si="223"/>
        <v>-271649.43835072836</v>
      </c>
      <c r="BP102" s="119">
        <f t="shared" si="223"/>
        <v>-275241.15420899884</v>
      </c>
      <c r="BQ102" s="119">
        <f t="shared" si="223"/>
        <v>-278966.96876192308</v>
      </c>
      <c r="BR102" s="119">
        <f t="shared" si="223"/>
        <v>-283090.71824197011</v>
      </c>
      <c r="BS102" s="119">
        <f t="shared" si="223"/>
        <v>-287163.1940676372</v>
      </c>
    </row>
    <row r="103" spans="2:71" ht="14.45" customHeight="1" outlineLevel="2">
      <c r="D103" s="115" t="s">
        <v>230</v>
      </c>
      <c r="E103" s="18" t="s">
        <v>204</v>
      </c>
      <c r="F103" s="17"/>
      <c r="G103" s="15" t="str">
        <f>IFERROR(INDEX(PBC_ACCOUNT_LIST[Drivers Section],MATCH(Drivers!L103,PBC_ACCOUNT_LIST[Id],0)),"")</f>
        <v>Owners Equity</v>
      </c>
      <c r="H103" s="15" t="str">
        <f>IFERROR(INDEX(PBC_ACCOUNT_LIST[Summary Grouping],MATCH(Drivers!L103,PBC_ACCOUNT_LIST[Id],0)),"")</f>
        <v>Contributed Capital</v>
      </c>
      <c r="I103" s="15" t="str">
        <f t="shared" ref="I103" si="224">H103</f>
        <v>Contributed Capital</v>
      </c>
      <c r="J103" s="15" t="str">
        <f>IFERROR(INDEX(PBC_ACCOUNT_LIST[Cash Flow Section],MATCH(Drivers!L103,PBC_ACCOUNT_LIST[Id],0)),"")</f>
        <v>Cash From Financing Activities</v>
      </c>
      <c r="K103" s="16" t="s">
        <v>159</v>
      </c>
      <c r="L103" s="15">
        <v>59</v>
      </c>
      <c r="M103" s="14"/>
      <c r="P103" s="113">
        <f t="shared" si="213"/>
        <v>0</v>
      </c>
      <c r="Q103" s="113">
        <f t="shared" si="213"/>
        <v>0</v>
      </c>
      <c r="R103" s="113">
        <f t="shared" si="213"/>
        <v>0</v>
      </c>
      <c r="S103" s="113"/>
      <c r="T103" s="113"/>
      <c r="U103" s="116">
        <f t="shared" si="214"/>
        <v>0</v>
      </c>
      <c r="V103" s="116">
        <f t="shared" si="214"/>
        <v>0</v>
      </c>
      <c r="W103" s="116">
        <f t="shared" si="214"/>
        <v>0</v>
      </c>
      <c r="X103" s="116">
        <f t="shared" si="214"/>
        <v>0</v>
      </c>
      <c r="Y103" s="116">
        <f t="shared" si="214"/>
        <v>0</v>
      </c>
      <c r="Z103" s="116">
        <f t="shared" si="214"/>
        <v>0</v>
      </c>
      <c r="AA103" s="116">
        <f t="shared" si="214"/>
        <v>0</v>
      </c>
      <c r="AB103" s="116">
        <f t="shared" si="214"/>
        <v>0</v>
      </c>
      <c r="AC103" s="116">
        <f t="shared" si="214"/>
        <v>0</v>
      </c>
      <c r="AD103" s="116">
        <f t="shared" si="214"/>
        <v>0</v>
      </c>
      <c r="AE103" s="116">
        <f t="shared" si="214"/>
        <v>0</v>
      </c>
      <c r="AF103" s="116">
        <f t="shared" si="214"/>
        <v>0</v>
      </c>
      <c r="AG103" s="116"/>
      <c r="AH103" s="113"/>
      <c r="AI103" s="116">
        <f>SUMIFS(PBC_BALANCE_SHEET[AccountBalance], PBC_BALANCE_SHEET[Id],$L103,PBC_BALANCE_SHEET[Date],AI$5)</f>
        <v>0</v>
      </c>
      <c r="AJ103" s="116">
        <f>SUMIFS(PBC_BALANCE_SHEET[AccountBalance], PBC_BALANCE_SHEET[Id],$L103,PBC_BALANCE_SHEET[Date],AJ$5)</f>
        <v>0</v>
      </c>
      <c r="AK103" s="116">
        <f>SUMIFS(PBC_BALANCE_SHEET[AccountBalance], PBC_BALANCE_SHEET[Id],$L103,PBC_BALANCE_SHEET[Date],AK$5)</f>
        <v>0</v>
      </c>
      <c r="AL103" s="116">
        <f>SUMIFS(PBC_BALANCE_SHEET[AccountBalance], PBC_BALANCE_SHEET[Id],$L103,PBC_BALANCE_SHEET[Date],AL$5)</f>
        <v>0</v>
      </c>
      <c r="AM103" s="116">
        <f>SUMIFS(PBC_BALANCE_SHEET[AccountBalance], PBC_BALANCE_SHEET[Id],$L103,PBC_BALANCE_SHEET[Date],AM$5)</f>
        <v>0</v>
      </c>
      <c r="AN103" s="116">
        <f>SUMIFS(PBC_BALANCE_SHEET[AccountBalance], PBC_BALANCE_SHEET[Id],$L103,PBC_BALANCE_SHEET[Date],AN$5)</f>
        <v>0</v>
      </c>
      <c r="AO103" s="116">
        <f>SUMIFS(PBC_BALANCE_SHEET[AccountBalance], PBC_BALANCE_SHEET[Id],$L103,PBC_BALANCE_SHEET[Date],AO$5)</f>
        <v>0</v>
      </c>
      <c r="AP103" s="116">
        <f>SUMIFS(PBC_BALANCE_SHEET[AccountBalance], PBC_BALANCE_SHEET[Id],$L103,PBC_BALANCE_SHEET[Date],AP$5)</f>
        <v>0</v>
      </c>
      <c r="AQ103" s="116">
        <f>SUMIFS(PBC_BALANCE_SHEET[AccountBalance], PBC_BALANCE_SHEET[Id],$L103,PBC_BALANCE_SHEET[Date],AQ$5)</f>
        <v>0</v>
      </c>
      <c r="AR103" s="116">
        <f>SUMIFS(PBC_BALANCE_SHEET[AccountBalance], PBC_BALANCE_SHEET[Id],$L103,PBC_BALANCE_SHEET[Date],AR$5)</f>
        <v>0</v>
      </c>
      <c r="AS103" s="116">
        <f>SUMIFS(PBC_BALANCE_SHEET[AccountBalance], PBC_BALANCE_SHEET[Id],$L103,PBC_BALANCE_SHEET[Date],AS$5)</f>
        <v>0</v>
      </c>
      <c r="AT103" s="116">
        <f>SUMIFS(PBC_BALANCE_SHEET[AccountBalance], PBC_BALANCE_SHEET[Id],$L103,PBC_BALANCE_SHEET[Date],AT$5)</f>
        <v>0</v>
      </c>
      <c r="AU103" s="116">
        <f>SUMIFS(PBC_BALANCE_SHEET[AccountBalance], PBC_BALANCE_SHEET[Id],$L103,PBC_BALANCE_SHEET[Date],AU$5)</f>
        <v>0</v>
      </c>
      <c r="AV103" s="116">
        <f>SUMIFS(PBC_BALANCE_SHEET[AccountBalance], PBC_BALANCE_SHEET[Id],$L103,PBC_BALANCE_SHEET[Date],AV$5)</f>
        <v>0</v>
      </c>
      <c r="AW103" s="116">
        <f>SUMIFS(PBC_BALANCE_SHEET[AccountBalance], PBC_BALANCE_SHEET[Id],$L103,PBC_BALANCE_SHEET[Date],AW$5)</f>
        <v>0</v>
      </c>
      <c r="AX103" s="116">
        <f>SUMIFS(PBC_BALANCE_SHEET[AccountBalance], PBC_BALANCE_SHEET[Id],$L103,PBC_BALANCE_SHEET[Date],AX$5)</f>
        <v>0</v>
      </c>
      <c r="AY103" s="116">
        <f>SUMIFS(PBC_BALANCE_SHEET[AccountBalance], PBC_BALANCE_SHEET[Id],$L103,PBC_BALANCE_SHEET[Date],AY$5)</f>
        <v>0</v>
      </c>
      <c r="AZ103" s="116">
        <f>SUMIFS(PBC_BALANCE_SHEET[AccountBalance], PBC_BALANCE_SHEET[Id],$L103,PBC_BALANCE_SHEET[Date],AZ$5)</f>
        <v>0</v>
      </c>
      <c r="BA103" s="116">
        <f>SUMIFS(PBC_BALANCE_SHEET[AccountBalance], PBC_BALANCE_SHEET[Id],$L103,PBC_BALANCE_SHEET[Date],BA$5)</f>
        <v>0</v>
      </c>
      <c r="BB103" s="116">
        <f>SUMIFS(PBC_BALANCE_SHEET[AccountBalance], PBC_BALANCE_SHEET[Id],$L103,PBC_BALANCE_SHEET[Date],BB$5)</f>
        <v>0</v>
      </c>
      <c r="BC103" s="116">
        <f>SUMIFS(PBC_BALANCE_SHEET[AccountBalance], PBC_BALANCE_SHEET[Id],$L103,PBC_BALANCE_SHEET[Date],BC$5)</f>
        <v>0</v>
      </c>
      <c r="BD103" s="116">
        <f>SUMIFS(PBC_BALANCE_SHEET[AccountBalance], PBC_BALANCE_SHEET[Id],$L103,PBC_BALANCE_SHEET[Date],BD$5)</f>
        <v>0</v>
      </c>
      <c r="BE103" s="117">
        <f t="shared" ref="BE103" si="225">BD103</f>
        <v>0</v>
      </c>
      <c r="BF103" s="117">
        <f t="shared" ref="BF103:BS103" si="226">BE103</f>
        <v>0</v>
      </c>
      <c r="BG103" s="117">
        <f t="shared" si="226"/>
        <v>0</v>
      </c>
      <c r="BH103" s="117">
        <f t="shared" si="226"/>
        <v>0</v>
      </c>
      <c r="BI103" s="117">
        <f t="shared" si="226"/>
        <v>0</v>
      </c>
      <c r="BJ103" s="117">
        <f t="shared" si="226"/>
        <v>0</v>
      </c>
      <c r="BK103" s="117">
        <f t="shared" si="226"/>
        <v>0</v>
      </c>
      <c r="BL103" s="117">
        <f t="shared" si="226"/>
        <v>0</v>
      </c>
      <c r="BM103" s="117">
        <f t="shared" si="226"/>
        <v>0</v>
      </c>
      <c r="BN103" s="117">
        <f t="shared" si="226"/>
        <v>0</v>
      </c>
      <c r="BO103" s="117">
        <f t="shared" si="226"/>
        <v>0</v>
      </c>
      <c r="BP103" s="117">
        <f t="shared" si="226"/>
        <v>0</v>
      </c>
      <c r="BQ103" s="117">
        <f t="shared" si="226"/>
        <v>0</v>
      </c>
      <c r="BR103" s="117">
        <f t="shared" si="226"/>
        <v>0</v>
      </c>
      <c r="BS103" s="117">
        <f t="shared" si="226"/>
        <v>0</v>
      </c>
    </row>
    <row r="104" spans="2:71" ht="18.75" customHeight="1">
      <c r="E104" s="13"/>
      <c r="G104" s="13"/>
      <c r="H104" s="13"/>
      <c r="I104" s="13"/>
      <c r="J104" s="13"/>
      <c r="K104" s="13"/>
      <c r="L104" s="13"/>
    </row>
    <row r="105" spans="2:71" ht="15.75">
      <c r="B105" s="12" t="s">
        <v>231</v>
      </c>
      <c r="O105" s="9"/>
      <c r="P105" s="9"/>
      <c r="Q105" s="9"/>
      <c r="R105" s="9"/>
      <c r="S105" s="9"/>
      <c r="T105" s="9"/>
      <c r="AH105" s="9"/>
    </row>
    <row r="106" spans="2:71" ht="15.6" customHeight="1" outlineLevel="2">
      <c r="B106" s="10" t="s">
        <v>33</v>
      </c>
      <c r="G106" s="10" t="s">
        <v>33</v>
      </c>
      <c r="H106" s="10"/>
      <c r="I106" s="10"/>
      <c r="J106" s="10"/>
      <c r="K106" s="10"/>
      <c r="L106" s="10"/>
      <c r="O106" s="9"/>
      <c r="P106" s="9"/>
      <c r="Q106" s="9"/>
      <c r="R106" s="9"/>
      <c r="S106" s="9"/>
      <c r="T106" s="9"/>
      <c r="AH106" s="9"/>
      <c r="AI106" s="8" cm="1">
        <f t="array" ref="AI106">IF(AI$5&lt;=LatestMonthOfActuals,SUMIFS(AI$10:AI$66,PLSections,$G106)-SUM(SUMIFS(PBC_PROFIT_AND_LOSS[AccountBalance],PBC_PROFIT_AND_LOSS[Id],_xlfn._xlws.FILTER(PBC_ACCOUNT_LIST[Id],PBC_ACCOUNT_LIST[Drivers Section]=$G106),PBC_PROFIT_AND_LOSS[Date],AI$5)),0)</f>
        <v>0</v>
      </c>
      <c r="AJ106" s="8" cm="1">
        <f t="array" ref="AJ106">IF(AJ$5&lt;=LatestMonthOfActuals,SUMIFS(AJ$10:AJ$66,PLSections,$G106)-SUM(SUMIFS(PBC_PROFIT_AND_LOSS[AccountBalance],PBC_PROFIT_AND_LOSS[Id],_xlfn._xlws.FILTER(PBC_ACCOUNT_LIST[Id],PBC_ACCOUNT_LIST[Drivers Section]=$G106),PBC_PROFIT_AND_LOSS[Date],AJ$5)),0)</f>
        <v>0</v>
      </c>
      <c r="AK106" s="8" cm="1">
        <f t="array" ref="AK106">IF(AK$5&lt;=LatestMonthOfActuals,SUMIFS(AK$10:AK$66,PLSections,$G106)-SUM(SUMIFS(PBC_PROFIT_AND_LOSS[AccountBalance],PBC_PROFIT_AND_LOSS[Id],_xlfn._xlws.FILTER(PBC_ACCOUNT_LIST[Id],PBC_ACCOUNT_LIST[Drivers Section]=$G106),PBC_PROFIT_AND_LOSS[Date],AK$5)),0)</f>
        <v>0</v>
      </c>
      <c r="AL106" s="8" cm="1">
        <f t="array" ref="AL106">IF(AL$5&lt;=LatestMonthOfActuals,SUMIFS(AL$10:AL$66,PLSections,$G106)-SUM(SUMIFS(PBC_PROFIT_AND_LOSS[AccountBalance],PBC_PROFIT_AND_LOSS[Id],_xlfn._xlws.FILTER(PBC_ACCOUNT_LIST[Id],PBC_ACCOUNT_LIST[Drivers Section]=$G106),PBC_PROFIT_AND_LOSS[Date],AL$5)),0)</f>
        <v>0</v>
      </c>
      <c r="AM106" s="8" cm="1">
        <f t="array" ref="AM106">IF(AM$5&lt;=LatestMonthOfActuals,SUMIFS(AM$10:AM$66,PLSections,$G106)-SUM(SUMIFS(PBC_PROFIT_AND_LOSS[AccountBalance],PBC_PROFIT_AND_LOSS[Id],_xlfn._xlws.FILTER(PBC_ACCOUNT_LIST[Id],PBC_ACCOUNT_LIST[Drivers Section]=$G106),PBC_PROFIT_AND_LOSS[Date],AM$5)),0)</f>
        <v>0</v>
      </c>
      <c r="AN106" s="8" cm="1">
        <f t="array" ref="AN106">IF(AN$5&lt;=LatestMonthOfActuals,SUMIFS(AN$10:AN$66,PLSections,$G106)-SUM(SUMIFS(PBC_PROFIT_AND_LOSS[AccountBalance],PBC_PROFIT_AND_LOSS[Id],_xlfn._xlws.FILTER(PBC_ACCOUNT_LIST[Id],PBC_ACCOUNT_LIST[Drivers Section]=$G106),PBC_PROFIT_AND_LOSS[Date],AN$5)),0)</f>
        <v>0</v>
      </c>
      <c r="AO106" s="8" cm="1">
        <f t="array" ref="AO106">IF(AO$5&lt;=LatestMonthOfActuals,SUMIFS(AO$10:AO$66,PLSections,$G106)-SUM(SUMIFS(PBC_PROFIT_AND_LOSS[AccountBalance],PBC_PROFIT_AND_LOSS[Id],_xlfn._xlws.FILTER(PBC_ACCOUNT_LIST[Id],PBC_ACCOUNT_LIST[Drivers Section]=$G106),PBC_PROFIT_AND_LOSS[Date],AO$5)),0)</f>
        <v>0</v>
      </c>
      <c r="AP106" s="8" cm="1">
        <f t="array" ref="AP106">IF(AP$5&lt;=LatestMonthOfActuals,SUMIFS(AP$10:AP$66,PLSections,$G106)-SUM(SUMIFS(PBC_PROFIT_AND_LOSS[AccountBalance],PBC_PROFIT_AND_LOSS[Id],_xlfn._xlws.FILTER(PBC_ACCOUNT_LIST[Id],PBC_ACCOUNT_LIST[Drivers Section]=$G106),PBC_PROFIT_AND_LOSS[Date],AP$5)),0)</f>
        <v>0</v>
      </c>
      <c r="AQ106" s="8" cm="1">
        <f t="array" ref="AQ106">IF(AQ$5&lt;=LatestMonthOfActuals,SUMIFS(AQ$10:AQ$66,PLSections,$G106)-SUM(SUMIFS(PBC_PROFIT_AND_LOSS[AccountBalance],PBC_PROFIT_AND_LOSS[Id],_xlfn._xlws.FILTER(PBC_ACCOUNT_LIST[Id],PBC_ACCOUNT_LIST[Drivers Section]=$G106),PBC_PROFIT_AND_LOSS[Date],AQ$5)),0)</f>
        <v>0</v>
      </c>
      <c r="AR106" s="8" cm="1">
        <f t="array" ref="AR106">IF(AR$5&lt;=LatestMonthOfActuals,SUMIFS(AR$10:AR$66,PLSections,$G106)-SUM(SUMIFS(PBC_PROFIT_AND_LOSS[AccountBalance],PBC_PROFIT_AND_LOSS[Id],_xlfn._xlws.FILTER(PBC_ACCOUNT_LIST[Id],PBC_ACCOUNT_LIST[Drivers Section]=$G106),PBC_PROFIT_AND_LOSS[Date],AR$5)),0)</f>
        <v>0</v>
      </c>
      <c r="AS106" s="8" cm="1">
        <f t="array" ref="AS106">IF(AS$5&lt;=LatestMonthOfActuals,SUMIFS(AS$10:AS$66,PLSections,$G106)-SUM(SUMIFS(PBC_PROFIT_AND_LOSS[AccountBalance],PBC_PROFIT_AND_LOSS[Id],_xlfn._xlws.FILTER(PBC_ACCOUNT_LIST[Id],PBC_ACCOUNT_LIST[Drivers Section]=$G106),PBC_PROFIT_AND_LOSS[Date],AS$5)),0)</f>
        <v>0</v>
      </c>
      <c r="AT106" s="8" cm="1">
        <f t="array" ref="AT106">IF(AT$5&lt;=LatestMonthOfActuals,SUMIFS(AT$10:AT$66,PLSections,$G106)-SUM(SUMIFS(PBC_PROFIT_AND_LOSS[AccountBalance],PBC_PROFIT_AND_LOSS[Id],_xlfn._xlws.FILTER(PBC_ACCOUNT_LIST[Id],PBC_ACCOUNT_LIST[Drivers Section]=$G106),PBC_PROFIT_AND_LOSS[Date],AT$5)),0)</f>
        <v>0</v>
      </c>
      <c r="AU106" s="8" cm="1">
        <f t="array" ref="AU106">IF(AU$5&lt;=LatestMonthOfActuals,SUMIFS(AU$10:AU$66,PLSections,$G106)-SUM(SUMIFS(PBC_PROFIT_AND_LOSS[AccountBalance],PBC_PROFIT_AND_LOSS[Id],_xlfn._xlws.FILTER(PBC_ACCOUNT_LIST[Id],PBC_ACCOUNT_LIST[Drivers Section]=$G106),PBC_PROFIT_AND_LOSS[Date],AU$5)),0)</f>
        <v>0</v>
      </c>
      <c r="AV106" s="8" cm="1">
        <f t="array" ref="AV106">IF(AV$5&lt;=LatestMonthOfActuals,SUMIFS(AV$10:AV$66,PLSections,$G106)-SUM(SUMIFS(PBC_PROFIT_AND_LOSS[AccountBalance],PBC_PROFIT_AND_LOSS[Id],_xlfn._xlws.FILTER(PBC_ACCOUNT_LIST[Id],PBC_ACCOUNT_LIST[Drivers Section]=$G106),PBC_PROFIT_AND_LOSS[Date],AV$5)),0)</f>
        <v>0</v>
      </c>
      <c r="AW106" s="8" cm="1">
        <f t="array" ref="AW106">IF(AW$5&lt;=LatestMonthOfActuals,SUMIFS(AW$10:AW$66,PLSections,$G106)-SUM(SUMIFS(PBC_PROFIT_AND_LOSS[AccountBalance],PBC_PROFIT_AND_LOSS[Id],_xlfn._xlws.FILTER(PBC_ACCOUNT_LIST[Id],PBC_ACCOUNT_LIST[Drivers Section]=$G106),PBC_PROFIT_AND_LOSS[Date],AW$5)),0)</f>
        <v>0</v>
      </c>
      <c r="AX106" s="8" cm="1">
        <f t="array" ref="AX106">IF(AX$5&lt;=LatestMonthOfActuals,SUMIFS(AX$10:AX$66,PLSections,$G106)-SUM(SUMIFS(PBC_PROFIT_AND_LOSS[AccountBalance],PBC_PROFIT_AND_LOSS[Id],_xlfn._xlws.FILTER(PBC_ACCOUNT_LIST[Id],PBC_ACCOUNT_LIST[Drivers Section]=$G106),PBC_PROFIT_AND_LOSS[Date],AX$5)),0)</f>
        <v>0</v>
      </c>
      <c r="AY106" s="8" cm="1">
        <f t="array" ref="AY106">IF(AY$5&lt;=LatestMonthOfActuals,SUMIFS(AY$10:AY$66,PLSections,$G106)-SUM(SUMIFS(PBC_PROFIT_AND_LOSS[AccountBalance],PBC_PROFIT_AND_LOSS[Id],_xlfn._xlws.FILTER(PBC_ACCOUNT_LIST[Id],PBC_ACCOUNT_LIST[Drivers Section]=$G106),PBC_PROFIT_AND_LOSS[Date],AY$5)),0)</f>
        <v>0</v>
      </c>
      <c r="AZ106" s="8" cm="1">
        <f t="array" ref="AZ106">IF(AZ$5&lt;=LatestMonthOfActuals,SUMIFS(AZ$10:AZ$66,PLSections,$G106)-SUM(SUMIFS(PBC_PROFIT_AND_LOSS[AccountBalance],PBC_PROFIT_AND_LOSS[Id],_xlfn._xlws.FILTER(PBC_ACCOUNT_LIST[Id],PBC_ACCOUNT_LIST[Drivers Section]=$G106),PBC_PROFIT_AND_LOSS[Date],AZ$5)),0)</f>
        <v>0</v>
      </c>
      <c r="BA106" s="8" cm="1">
        <f t="array" ref="BA106">IF(BA$5&lt;=LatestMonthOfActuals,SUMIFS(BA$10:BA$66,PLSections,$G106)-SUM(SUMIFS(PBC_PROFIT_AND_LOSS[AccountBalance],PBC_PROFIT_AND_LOSS[Id],_xlfn._xlws.FILTER(PBC_ACCOUNT_LIST[Id],PBC_ACCOUNT_LIST[Drivers Section]=$G106),PBC_PROFIT_AND_LOSS[Date],BA$5)),0)</f>
        <v>0</v>
      </c>
      <c r="BB106" s="8" cm="1">
        <f t="array" ref="BB106">IF(BB$5&lt;=LatestMonthOfActuals,SUMIFS(BB$10:BB$66,PLSections,$G106)-SUM(SUMIFS(PBC_PROFIT_AND_LOSS[AccountBalance],PBC_PROFIT_AND_LOSS[Id],_xlfn._xlws.FILTER(PBC_ACCOUNT_LIST[Id],PBC_ACCOUNT_LIST[Drivers Section]=$G106),PBC_PROFIT_AND_LOSS[Date],BB$5)),0)</f>
        <v>0</v>
      </c>
      <c r="BC106" s="8" cm="1">
        <f t="array" ref="BC106">IF(BC$5&lt;=LatestMonthOfActuals,SUMIFS(BC$10:BC$66,PLSections,$G106)-SUM(SUMIFS(PBC_PROFIT_AND_LOSS[AccountBalance],PBC_PROFIT_AND_LOSS[Id],_xlfn._xlws.FILTER(PBC_ACCOUNT_LIST[Id],PBC_ACCOUNT_LIST[Drivers Section]=$G106),PBC_PROFIT_AND_LOSS[Date],BC$5)),0)</f>
        <v>0</v>
      </c>
      <c r="BD106" s="8" cm="1">
        <f t="array" ref="BD106">IF(BD$5&lt;=LatestMonthOfActuals,SUMIFS(BD$10:BD$66,PLSections,$G106)-SUM(SUMIFS(PBC_PROFIT_AND_LOSS[AccountBalance],PBC_PROFIT_AND_LOSS[Id],_xlfn._xlws.FILTER(PBC_ACCOUNT_LIST[Id],PBC_ACCOUNT_LIST[Drivers Section]=$G106),PBC_PROFIT_AND_LOSS[Date],BD$5)),0)</f>
        <v>0</v>
      </c>
      <c r="BE106" s="8" cm="1">
        <f t="array" ref="BE106">IF(BE$5&lt;=LatestMonthOfActuals,SUMIFS(BE$10:BE$66,PLSections,$G106)-SUM(SUMIFS(PBC_PROFIT_AND_LOSS[AccountBalance],PBC_PROFIT_AND_LOSS[Id],_xlfn._xlws.FILTER(PBC_ACCOUNT_LIST[Id],PBC_ACCOUNT_LIST[Drivers Section]=$G106),PBC_PROFIT_AND_LOSS[Date],BE$5)),0)</f>
        <v>0</v>
      </c>
      <c r="BF106" s="8" cm="1">
        <f t="array" ref="BF106">IF(BF$5&lt;=LatestMonthOfActuals,SUMIFS(BF$10:BF$66,PLSections,$G106)-SUM(SUMIFS(PBC_PROFIT_AND_LOSS[AccountBalance],PBC_PROFIT_AND_LOSS[Id],_xlfn._xlws.FILTER(PBC_ACCOUNT_LIST[Id],PBC_ACCOUNT_LIST[Drivers Section]=$G106),PBC_PROFIT_AND_LOSS[Date],BF$5)),0)</f>
        <v>0</v>
      </c>
      <c r="BG106" s="8" cm="1">
        <f t="array" ref="BG106">IF(BG$5&lt;=LatestMonthOfActuals,SUMIFS(BG$10:BG$66,PLSections,$G106)-SUM(SUMIFS(PBC_PROFIT_AND_LOSS[AccountBalance],PBC_PROFIT_AND_LOSS[Id],_xlfn._xlws.FILTER(PBC_ACCOUNT_LIST[Id],PBC_ACCOUNT_LIST[Drivers Section]=$G106),PBC_PROFIT_AND_LOSS[Date],BG$5)),0)</f>
        <v>0</v>
      </c>
      <c r="BH106" s="8" cm="1">
        <f t="array" ref="BH106">IF(BH$5&lt;=LatestMonthOfActuals,SUMIFS(BH$10:BH$66,PLSections,$G106)-SUM(SUMIFS(PBC_PROFIT_AND_LOSS[AccountBalance],PBC_PROFIT_AND_LOSS[Id],_xlfn._xlws.FILTER(PBC_ACCOUNT_LIST[Id],PBC_ACCOUNT_LIST[Drivers Section]=$G106),PBC_PROFIT_AND_LOSS[Date],BH$5)),0)</f>
        <v>0</v>
      </c>
      <c r="BI106" s="8" cm="1">
        <f t="array" ref="BI106">IF(BI$5&lt;=LatestMonthOfActuals,SUMIFS(BI$10:BI$66,PLSections,$G106)-SUM(SUMIFS(PBC_PROFIT_AND_LOSS[AccountBalance],PBC_PROFIT_AND_LOSS[Id],_xlfn._xlws.FILTER(PBC_ACCOUNT_LIST[Id],PBC_ACCOUNT_LIST[Drivers Section]=$G106),PBC_PROFIT_AND_LOSS[Date],BI$5)),0)</f>
        <v>0</v>
      </c>
      <c r="BJ106" s="8" cm="1">
        <f t="array" ref="BJ106">IF(BJ$5&lt;=LatestMonthOfActuals,SUMIFS(BJ$10:BJ$66,PLSections,$G106)-SUM(SUMIFS(PBC_PROFIT_AND_LOSS[AccountBalance],PBC_PROFIT_AND_LOSS[Id],_xlfn._xlws.FILTER(PBC_ACCOUNT_LIST[Id],PBC_ACCOUNT_LIST[Drivers Section]=$G106),PBC_PROFIT_AND_LOSS[Date],BJ$5)),0)</f>
        <v>0</v>
      </c>
      <c r="BK106" s="8" cm="1">
        <f t="array" ref="BK106">IF(BK$5&lt;=LatestMonthOfActuals,SUMIFS(BK$10:BK$66,PLSections,$G106)-SUM(SUMIFS(PBC_PROFIT_AND_LOSS[AccountBalance],PBC_PROFIT_AND_LOSS[Id],_xlfn._xlws.FILTER(PBC_ACCOUNT_LIST[Id],PBC_ACCOUNT_LIST[Drivers Section]=$G106),PBC_PROFIT_AND_LOSS[Date],BK$5)),0)</f>
        <v>0</v>
      </c>
      <c r="BL106" s="8" cm="1">
        <f t="array" ref="BL106">IF(BL$5&lt;=LatestMonthOfActuals,SUMIFS(BL$10:BL$66,PLSections,$G106)-SUM(SUMIFS(PBC_PROFIT_AND_LOSS[AccountBalance],PBC_PROFIT_AND_LOSS[Id],_xlfn._xlws.FILTER(PBC_ACCOUNT_LIST[Id],PBC_ACCOUNT_LIST[Drivers Section]=$G106),PBC_PROFIT_AND_LOSS[Date],BL$5)),0)</f>
        <v>0</v>
      </c>
      <c r="BM106" s="8" cm="1">
        <f t="array" ref="BM106">IF(BM$5&lt;=LatestMonthOfActuals,SUMIFS(BM$10:BM$66,PLSections,$G106)-SUM(SUMIFS(PBC_PROFIT_AND_LOSS[AccountBalance],PBC_PROFIT_AND_LOSS[Id],_xlfn._xlws.FILTER(PBC_ACCOUNT_LIST[Id],PBC_ACCOUNT_LIST[Drivers Section]=$G106),PBC_PROFIT_AND_LOSS[Date],BM$5)),0)</f>
        <v>0</v>
      </c>
      <c r="BN106" s="8" cm="1">
        <f t="array" ref="BN106">IF(BN$5&lt;=LatestMonthOfActuals,SUMIFS(BN$10:BN$66,PLSections,$G106)-SUM(SUMIFS(PBC_PROFIT_AND_LOSS[AccountBalance],PBC_PROFIT_AND_LOSS[Id],_xlfn._xlws.FILTER(PBC_ACCOUNT_LIST[Id],PBC_ACCOUNT_LIST[Drivers Section]=$G106),PBC_PROFIT_AND_LOSS[Date],BN$5)),0)</f>
        <v>0</v>
      </c>
      <c r="BO106" s="8" cm="1">
        <f t="array" ref="BO106">IF(BO$5&lt;=LatestMonthOfActuals,SUMIFS(BO$10:BO$66,PLSections,$G106)-SUM(SUMIFS(PBC_PROFIT_AND_LOSS[AccountBalance],PBC_PROFIT_AND_LOSS[Id],_xlfn._xlws.FILTER(PBC_ACCOUNT_LIST[Id],PBC_ACCOUNT_LIST[Drivers Section]=$G106),PBC_PROFIT_AND_LOSS[Date],BO$5)),0)</f>
        <v>0</v>
      </c>
      <c r="BP106" s="8" cm="1">
        <f t="array" ref="BP106">IF(BP$5&lt;=LatestMonthOfActuals,SUMIFS(BP$10:BP$66,PLSections,$G106)-SUM(SUMIFS(PBC_PROFIT_AND_LOSS[AccountBalance],PBC_PROFIT_AND_LOSS[Id],_xlfn._xlws.FILTER(PBC_ACCOUNT_LIST[Id],PBC_ACCOUNT_LIST[Drivers Section]=$G106),PBC_PROFIT_AND_LOSS[Date],BP$5)),0)</f>
        <v>0</v>
      </c>
      <c r="BQ106" s="8" cm="1">
        <f t="array" ref="BQ106">IF(BQ$5&lt;=LatestMonthOfActuals,SUMIFS(BQ$10:BQ$66,PLSections,$G106)-SUM(SUMIFS(PBC_PROFIT_AND_LOSS[AccountBalance],PBC_PROFIT_AND_LOSS[Id],_xlfn._xlws.FILTER(PBC_ACCOUNT_LIST[Id],PBC_ACCOUNT_LIST[Drivers Section]=$G106),PBC_PROFIT_AND_LOSS[Date],BQ$5)),0)</f>
        <v>0</v>
      </c>
      <c r="BR106" s="8" cm="1">
        <f t="array" ref="BR106">IF(BR$5&lt;=LatestMonthOfActuals,SUMIFS(BR$10:BR$66,PLSections,$G106)-SUM(SUMIFS(PBC_PROFIT_AND_LOSS[AccountBalance],PBC_PROFIT_AND_LOSS[Id],_xlfn._xlws.FILTER(PBC_ACCOUNT_LIST[Id],PBC_ACCOUNT_LIST[Drivers Section]=$G106),PBC_PROFIT_AND_LOSS[Date],BR$5)),0)</f>
        <v>0</v>
      </c>
      <c r="BS106" s="8" cm="1">
        <f t="array" ref="BS106">IF(BS$5&lt;=LatestMonthOfActuals,SUMIFS(BS$10:BS$66,PLSections,$G106)-SUM(SUMIFS(PBC_PROFIT_AND_LOSS[AccountBalance],PBC_PROFIT_AND_LOSS[Id],_xlfn._xlws.FILTER(PBC_ACCOUNT_LIST[Id],PBC_ACCOUNT_LIST[Drivers Section]=$G106),PBC_PROFIT_AND_LOSS[Date],BS$5)),0)</f>
        <v>0</v>
      </c>
    </row>
    <row r="107" spans="2:71" ht="15.6" customHeight="1" outlineLevel="2">
      <c r="B107" s="120" t="s">
        <v>232</v>
      </c>
      <c r="G107" s="10"/>
      <c r="H107" s="10"/>
      <c r="I107" s="10"/>
      <c r="J107" s="10"/>
      <c r="K107" s="10"/>
      <c r="L107" s="10"/>
      <c r="O107" s="9"/>
      <c r="P107" s="9"/>
      <c r="Q107" s="9"/>
      <c r="R107" s="9"/>
      <c r="S107" s="9"/>
      <c r="T107" s="9"/>
      <c r="AH107" s="9"/>
      <c r="AI107" s="121">
        <f>IF(AI$5&lt;=LatestMonthOfActuals,0,SUM((AI65-(AI102)),(AI101-(AH102+AH101))))</f>
        <v>0</v>
      </c>
      <c r="AJ107" s="121">
        <f t="shared" ref="AJ107:BS107" si="227">IF(AJ$5&lt;=LatestMonthOfActuals,0,SUM((AJ65-(AJ102)),(AJ101-(AI102+AI101))))</f>
        <v>0</v>
      </c>
      <c r="AK107" s="121">
        <f t="shared" si="227"/>
        <v>0</v>
      </c>
      <c r="AL107" s="121">
        <f t="shared" si="227"/>
        <v>0</v>
      </c>
      <c r="AM107" s="121">
        <f t="shared" si="227"/>
        <v>0</v>
      </c>
      <c r="AN107" s="121">
        <f t="shared" si="227"/>
        <v>0</v>
      </c>
      <c r="AO107" s="121">
        <f t="shared" si="227"/>
        <v>0</v>
      </c>
      <c r="AP107" s="121">
        <f t="shared" si="227"/>
        <v>0</v>
      </c>
      <c r="AQ107" s="121">
        <f t="shared" si="227"/>
        <v>0</v>
      </c>
      <c r="AR107" s="121">
        <f t="shared" si="227"/>
        <v>0</v>
      </c>
      <c r="AS107" s="121">
        <f t="shared" si="227"/>
        <v>0</v>
      </c>
      <c r="AT107" s="121">
        <f t="shared" si="227"/>
        <v>0</v>
      </c>
      <c r="AU107" s="121">
        <f t="shared" si="227"/>
        <v>0</v>
      </c>
      <c r="AV107" s="121">
        <f t="shared" si="227"/>
        <v>0</v>
      </c>
      <c r="AW107" s="121">
        <f t="shared" si="227"/>
        <v>0</v>
      </c>
      <c r="AX107" s="121">
        <f t="shared" si="227"/>
        <v>0</v>
      </c>
      <c r="AY107" s="121">
        <f t="shared" si="227"/>
        <v>0</v>
      </c>
      <c r="AZ107" s="121">
        <f t="shared" si="227"/>
        <v>0</v>
      </c>
      <c r="BA107" s="121">
        <f t="shared" si="227"/>
        <v>0</v>
      </c>
      <c r="BB107" s="121">
        <f t="shared" si="227"/>
        <v>0</v>
      </c>
      <c r="BC107" s="121">
        <f t="shared" si="227"/>
        <v>0</v>
      </c>
      <c r="BD107" s="121">
        <f t="shared" si="227"/>
        <v>0</v>
      </c>
      <c r="BE107" s="121">
        <f t="shared" ref="BE107" si="228">IF(BE$5&lt;=LatestMonthOfActuals,0,SUM((BE65-(BE102)),(BE101-(BD102+BD101))))</f>
        <v>0</v>
      </c>
      <c r="BF107" s="121">
        <f t="shared" si="227"/>
        <v>0</v>
      </c>
      <c r="BG107" s="121">
        <f t="shared" si="227"/>
        <v>0</v>
      </c>
      <c r="BH107" s="121">
        <f t="shared" si="227"/>
        <v>0</v>
      </c>
      <c r="BI107" s="121">
        <f t="shared" si="227"/>
        <v>0</v>
      </c>
      <c r="BJ107" s="121">
        <f t="shared" si="227"/>
        <v>0</v>
      </c>
      <c r="BK107" s="121">
        <f t="shared" si="227"/>
        <v>0</v>
      </c>
      <c r="BL107" s="121">
        <f t="shared" si="227"/>
        <v>0</v>
      </c>
      <c r="BM107" s="121">
        <f t="shared" si="227"/>
        <v>0</v>
      </c>
      <c r="BN107" s="121">
        <f t="shared" si="227"/>
        <v>0</v>
      </c>
      <c r="BO107" s="121">
        <f t="shared" si="227"/>
        <v>0</v>
      </c>
      <c r="BP107" s="121">
        <f t="shared" si="227"/>
        <v>0</v>
      </c>
      <c r="BQ107" s="121">
        <f t="shared" si="227"/>
        <v>0</v>
      </c>
      <c r="BR107" s="121">
        <f t="shared" si="227"/>
        <v>0</v>
      </c>
      <c r="BS107" s="121">
        <f t="shared" si="227"/>
        <v>0</v>
      </c>
    </row>
    <row r="108" spans="2:71" ht="15.6" customHeight="1" outlineLevel="2">
      <c r="B108" s="10" t="s">
        <v>143</v>
      </c>
      <c r="G108" s="10" t="s">
        <v>143</v>
      </c>
      <c r="H108" s="10"/>
      <c r="I108" s="10"/>
      <c r="J108" s="10"/>
      <c r="K108" s="10"/>
      <c r="L108" s="10"/>
      <c r="O108" s="9"/>
      <c r="P108" s="9"/>
      <c r="Q108" s="9"/>
      <c r="R108" s="9"/>
      <c r="S108" s="9"/>
      <c r="T108" s="9"/>
      <c r="AH108" s="9"/>
      <c r="AI108" s="8" cm="1">
        <f t="array" ref="AI108">IF(AI$5&lt;=LatestMonthOfActuals,SUMIFS(AI$10:AI$66,PLSections,$G108)-SUM(SUMIFS(PBC_PROFIT_AND_LOSS[AccountBalance],PBC_PROFIT_AND_LOSS[Id],_xlfn._xlws.FILTER(PBC_ACCOUNT_LIST[Id],PBC_ACCOUNT_LIST[Drivers Section]=$G108),PBC_PROFIT_AND_LOSS[Date],AI$5)),0)</f>
        <v>0</v>
      </c>
      <c r="AJ108" s="8" cm="1">
        <f t="array" ref="AJ108">IF(AJ$5&lt;=LatestMonthOfActuals,SUMIFS(AJ$10:AJ$66,PLSections,$G108)-SUM(SUMIFS(PBC_PROFIT_AND_LOSS[AccountBalance],PBC_PROFIT_AND_LOSS[Id],_xlfn._xlws.FILTER(PBC_ACCOUNT_LIST[Id],PBC_ACCOUNT_LIST[Drivers Section]=$G108),PBC_PROFIT_AND_LOSS[Date],AJ$5)),0)</f>
        <v>0</v>
      </c>
      <c r="AK108" s="8" cm="1">
        <f t="array" ref="AK108">IF(AK$5&lt;=LatestMonthOfActuals,SUMIFS(AK$10:AK$66,PLSections,$G108)-SUM(SUMIFS(PBC_PROFIT_AND_LOSS[AccountBalance],PBC_PROFIT_AND_LOSS[Id],_xlfn._xlws.FILTER(PBC_ACCOUNT_LIST[Id],PBC_ACCOUNT_LIST[Drivers Section]=$G108),PBC_PROFIT_AND_LOSS[Date],AK$5)),0)</f>
        <v>0</v>
      </c>
      <c r="AL108" s="8" cm="1">
        <f t="array" ref="AL108">IF(AL$5&lt;=LatestMonthOfActuals,SUMIFS(AL$10:AL$66,PLSections,$G108)-SUM(SUMIFS(PBC_PROFIT_AND_LOSS[AccountBalance],PBC_PROFIT_AND_LOSS[Id],_xlfn._xlws.FILTER(PBC_ACCOUNT_LIST[Id],PBC_ACCOUNT_LIST[Drivers Section]=$G108),PBC_PROFIT_AND_LOSS[Date],AL$5)),0)</f>
        <v>0</v>
      </c>
      <c r="AM108" s="8" cm="1">
        <f t="array" ref="AM108">IF(AM$5&lt;=LatestMonthOfActuals,SUMIFS(AM$10:AM$66,PLSections,$G108)-SUM(SUMIFS(PBC_PROFIT_AND_LOSS[AccountBalance],PBC_PROFIT_AND_LOSS[Id],_xlfn._xlws.FILTER(PBC_ACCOUNT_LIST[Id],PBC_ACCOUNT_LIST[Drivers Section]=$G108),PBC_PROFIT_AND_LOSS[Date],AM$5)),0)</f>
        <v>0</v>
      </c>
      <c r="AN108" s="8" cm="1">
        <f t="array" ref="AN108">IF(AN$5&lt;=LatestMonthOfActuals,SUMIFS(AN$10:AN$66,PLSections,$G108)-SUM(SUMIFS(PBC_PROFIT_AND_LOSS[AccountBalance],PBC_PROFIT_AND_LOSS[Id],_xlfn._xlws.FILTER(PBC_ACCOUNT_LIST[Id],PBC_ACCOUNT_LIST[Drivers Section]=$G108),PBC_PROFIT_AND_LOSS[Date],AN$5)),0)</f>
        <v>0</v>
      </c>
      <c r="AO108" s="8" cm="1">
        <f t="array" ref="AO108">IF(AO$5&lt;=LatestMonthOfActuals,SUMIFS(AO$10:AO$66,PLSections,$G108)-SUM(SUMIFS(PBC_PROFIT_AND_LOSS[AccountBalance],PBC_PROFIT_AND_LOSS[Id],_xlfn._xlws.FILTER(PBC_ACCOUNT_LIST[Id],PBC_ACCOUNT_LIST[Drivers Section]=$G108),PBC_PROFIT_AND_LOSS[Date],AO$5)),0)</f>
        <v>0</v>
      </c>
      <c r="AP108" s="8" cm="1">
        <f t="array" ref="AP108">IF(AP$5&lt;=LatestMonthOfActuals,SUMIFS(AP$10:AP$66,PLSections,$G108)-SUM(SUMIFS(PBC_PROFIT_AND_LOSS[AccountBalance],PBC_PROFIT_AND_LOSS[Id],_xlfn._xlws.FILTER(PBC_ACCOUNT_LIST[Id],PBC_ACCOUNT_LIST[Drivers Section]=$G108),PBC_PROFIT_AND_LOSS[Date],AP$5)),0)</f>
        <v>0</v>
      </c>
      <c r="AQ108" s="8" cm="1">
        <f t="array" ref="AQ108">IF(AQ$5&lt;=LatestMonthOfActuals,SUMIFS(AQ$10:AQ$66,PLSections,$G108)-SUM(SUMIFS(PBC_PROFIT_AND_LOSS[AccountBalance],PBC_PROFIT_AND_LOSS[Id],_xlfn._xlws.FILTER(PBC_ACCOUNT_LIST[Id],PBC_ACCOUNT_LIST[Drivers Section]=$G108),PBC_PROFIT_AND_LOSS[Date],AQ$5)),0)</f>
        <v>0</v>
      </c>
      <c r="AR108" s="8" cm="1">
        <f t="array" ref="AR108">IF(AR$5&lt;=LatestMonthOfActuals,SUMIFS(AR$10:AR$66,PLSections,$G108)-SUM(SUMIFS(PBC_PROFIT_AND_LOSS[AccountBalance],PBC_PROFIT_AND_LOSS[Id],_xlfn._xlws.FILTER(PBC_ACCOUNT_LIST[Id],PBC_ACCOUNT_LIST[Drivers Section]=$G108),PBC_PROFIT_AND_LOSS[Date],AR$5)),0)</f>
        <v>0</v>
      </c>
      <c r="AS108" s="8" cm="1">
        <f t="array" ref="AS108">IF(AS$5&lt;=LatestMonthOfActuals,SUMIFS(AS$10:AS$66,PLSections,$G108)-SUM(SUMIFS(PBC_PROFIT_AND_LOSS[AccountBalance],PBC_PROFIT_AND_LOSS[Id],_xlfn._xlws.FILTER(PBC_ACCOUNT_LIST[Id],PBC_ACCOUNT_LIST[Drivers Section]=$G108),PBC_PROFIT_AND_LOSS[Date],AS$5)),0)</f>
        <v>0</v>
      </c>
      <c r="AT108" s="8" cm="1">
        <f t="array" ref="AT108">IF(AT$5&lt;=LatestMonthOfActuals,SUMIFS(AT$10:AT$66,PLSections,$G108)-SUM(SUMIFS(PBC_PROFIT_AND_LOSS[AccountBalance],PBC_PROFIT_AND_LOSS[Id],_xlfn._xlws.FILTER(PBC_ACCOUNT_LIST[Id],PBC_ACCOUNT_LIST[Drivers Section]=$G108),PBC_PROFIT_AND_LOSS[Date],AT$5)),0)</f>
        <v>0</v>
      </c>
      <c r="AU108" s="8" cm="1">
        <f t="array" ref="AU108">IF(AU$5&lt;=LatestMonthOfActuals,SUMIFS(AU$10:AU$66,PLSections,$G108)-SUM(SUMIFS(PBC_PROFIT_AND_LOSS[AccountBalance],PBC_PROFIT_AND_LOSS[Id],_xlfn._xlws.FILTER(PBC_ACCOUNT_LIST[Id],PBC_ACCOUNT_LIST[Drivers Section]=$G108),PBC_PROFIT_AND_LOSS[Date],AU$5)),0)</f>
        <v>0</v>
      </c>
      <c r="AV108" s="8" cm="1">
        <f t="array" ref="AV108">IF(AV$5&lt;=LatestMonthOfActuals,SUMIFS(AV$10:AV$66,PLSections,$G108)-SUM(SUMIFS(PBC_PROFIT_AND_LOSS[AccountBalance],PBC_PROFIT_AND_LOSS[Id],_xlfn._xlws.FILTER(PBC_ACCOUNT_LIST[Id],PBC_ACCOUNT_LIST[Drivers Section]=$G108),PBC_PROFIT_AND_LOSS[Date],AV$5)),0)</f>
        <v>0</v>
      </c>
      <c r="AW108" s="8" cm="1">
        <f t="array" ref="AW108">IF(AW$5&lt;=LatestMonthOfActuals,SUMIFS(AW$10:AW$66,PLSections,$G108)-SUM(SUMIFS(PBC_PROFIT_AND_LOSS[AccountBalance],PBC_PROFIT_AND_LOSS[Id],_xlfn._xlws.FILTER(PBC_ACCOUNT_LIST[Id],PBC_ACCOUNT_LIST[Drivers Section]=$G108),PBC_PROFIT_AND_LOSS[Date],AW$5)),0)</f>
        <v>0</v>
      </c>
      <c r="AX108" s="8" cm="1">
        <f t="array" ref="AX108">IF(AX$5&lt;=LatestMonthOfActuals,SUMIFS(AX$10:AX$66,PLSections,$G108)-SUM(SUMIFS(PBC_PROFIT_AND_LOSS[AccountBalance],PBC_PROFIT_AND_LOSS[Id],_xlfn._xlws.FILTER(PBC_ACCOUNT_LIST[Id],PBC_ACCOUNT_LIST[Drivers Section]=$G108),PBC_PROFIT_AND_LOSS[Date],AX$5)),0)</f>
        <v>0</v>
      </c>
      <c r="AY108" s="8" cm="1">
        <f t="array" ref="AY108">IF(AY$5&lt;=LatestMonthOfActuals,SUMIFS(AY$10:AY$66,PLSections,$G108)-SUM(SUMIFS(PBC_PROFIT_AND_LOSS[AccountBalance],PBC_PROFIT_AND_LOSS[Id],_xlfn._xlws.FILTER(PBC_ACCOUNT_LIST[Id],PBC_ACCOUNT_LIST[Drivers Section]=$G108),PBC_PROFIT_AND_LOSS[Date],AY$5)),0)</f>
        <v>0</v>
      </c>
      <c r="AZ108" s="8" cm="1">
        <f t="array" ref="AZ108">IF(AZ$5&lt;=LatestMonthOfActuals,SUMIFS(AZ$10:AZ$66,PLSections,$G108)-SUM(SUMIFS(PBC_PROFIT_AND_LOSS[AccountBalance],PBC_PROFIT_AND_LOSS[Id],_xlfn._xlws.FILTER(PBC_ACCOUNT_LIST[Id],PBC_ACCOUNT_LIST[Drivers Section]=$G108),PBC_PROFIT_AND_LOSS[Date],AZ$5)),0)</f>
        <v>0</v>
      </c>
      <c r="BA108" s="8" cm="1">
        <f t="array" ref="BA108">IF(BA$5&lt;=LatestMonthOfActuals,SUMIFS(BA$10:BA$66,PLSections,$G108)-SUM(SUMIFS(PBC_PROFIT_AND_LOSS[AccountBalance],PBC_PROFIT_AND_LOSS[Id],_xlfn._xlws.FILTER(PBC_ACCOUNT_LIST[Id],PBC_ACCOUNT_LIST[Drivers Section]=$G108),PBC_PROFIT_AND_LOSS[Date],BA$5)),0)</f>
        <v>0</v>
      </c>
      <c r="BB108" s="8" cm="1">
        <f t="array" ref="BB108">IF(BB$5&lt;=LatestMonthOfActuals,SUMIFS(BB$10:BB$66,PLSections,$G108)-SUM(SUMIFS(PBC_PROFIT_AND_LOSS[AccountBalance],PBC_PROFIT_AND_LOSS[Id],_xlfn._xlws.FILTER(PBC_ACCOUNT_LIST[Id],PBC_ACCOUNT_LIST[Drivers Section]=$G108),PBC_PROFIT_AND_LOSS[Date],BB$5)),0)</f>
        <v>0</v>
      </c>
      <c r="BC108" s="8" cm="1">
        <f t="array" ref="BC108">IF(BC$5&lt;=LatestMonthOfActuals,SUMIFS(BC$10:BC$66,PLSections,$G108)-SUM(SUMIFS(PBC_PROFIT_AND_LOSS[AccountBalance],PBC_PROFIT_AND_LOSS[Id],_xlfn._xlws.FILTER(PBC_ACCOUNT_LIST[Id],PBC_ACCOUNT_LIST[Drivers Section]=$G108),PBC_PROFIT_AND_LOSS[Date],BC$5)),0)</f>
        <v>0</v>
      </c>
      <c r="BD108" s="8" cm="1">
        <f t="array" ref="BD108">IF(BD$5&lt;=LatestMonthOfActuals,SUMIFS(BD$10:BD$66,PLSections,$G108)-SUM(SUMIFS(PBC_PROFIT_AND_LOSS[AccountBalance],PBC_PROFIT_AND_LOSS[Id],_xlfn._xlws.FILTER(PBC_ACCOUNT_LIST[Id],PBC_ACCOUNT_LIST[Drivers Section]=$G108),PBC_PROFIT_AND_LOSS[Date],BD$5)),0)</f>
        <v>0</v>
      </c>
      <c r="BE108" s="8" cm="1">
        <f t="array" ref="BE108">IF(BE$5&lt;=LatestMonthOfActuals,SUMIFS(BE$10:BE$66,PLSections,$G108)-SUM(SUMIFS(PBC_PROFIT_AND_LOSS[AccountBalance],PBC_PROFIT_AND_LOSS[Id],_xlfn._xlws.FILTER(PBC_ACCOUNT_LIST[Id],PBC_ACCOUNT_LIST[Drivers Section]=$G108),PBC_PROFIT_AND_LOSS[Date],BE$5)),0)</f>
        <v>0</v>
      </c>
      <c r="BF108" s="8" cm="1">
        <f t="array" ref="BF108">IF(BF$5&lt;=LatestMonthOfActuals,SUMIFS(BF$10:BF$66,PLSections,$G108)-SUM(SUMIFS(PBC_PROFIT_AND_LOSS[AccountBalance],PBC_PROFIT_AND_LOSS[Id],_xlfn._xlws.FILTER(PBC_ACCOUNT_LIST[Id],PBC_ACCOUNT_LIST[Drivers Section]=$G108),PBC_PROFIT_AND_LOSS[Date],BF$5)),0)</f>
        <v>0</v>
      </c>
      <c r="BG108" s="8" cm="1">
        <f t="array" ref="BG108">IF(BG$5&lt;=LatestMonthOfActuals,SUMIFS(BG$10:BG$66,PLSections,$G108)-SUM(SUMIFS(PBC_PROFIT_AND_LOSS[AccountBalance],PBC_PROFIT_AND_LOSS[Id],_xlfn._xlws.FILTER(PBC_ACCOUNT_LIST[Id],PBC_ACCOUNT_LIST[Drivers Section]=$G108),PBC_PROFIT_AND_LOSS[Date],BG$5)),0)</f>
        <v>0</v>
      </c>
      <c r="BH108" s="8" cm="1">
        <f t="array" ref="BH108">IF(BH$5&lt;=LatestMonthOfActuals,SUMIFS(BH$10:BH$66,PLSections,$G108)-SUM(SUMIFS(PBC_PROFIT_AND_LOSS[AccountBalance],PBC_PROFIT_AND_LOSS[Id],_xlfn._xlws.FILTER(PBC_ACCOUNT_LIST[Id],PBC_ACCOUNT_LIST[Drivers Section]=$G108),PBC_PROFIT_AND_LOSS[Date],BH$5)),0)</f>
        <v>0</v>
      </c>
      <c r="BI108" s="8" cm="1">
        <f t="array" ref="BI108">IF(BI$5&lt;=LatestMonthOfActuals,SUMIFS(BI$10:BI$66,PLSections,$G108)-SUM(SUMIFS(PBC_PROFIT_AND_LOSS[AccountBalance],PBC_PROFIT_AND_LOSS[Id],_xlfn._xlws.FILTER(PBC_ACCOUNT_LIST[Id],PBC_ACCOUNT_LIST[Drivers Section]=$G108),PBC_PROFIT_AND_LOSS[Date],BI$5)),0)</f>
        <v>0</v>
      </c>
      <c r="BJ108" s="8" cm="1">
        <f t="array" ref="BJ108">IF(BJ$5&lt;=LatestMonthOfActuals,SUMIFS(BJ$10:BJ$66,PLSections,$G108)-SUM(SUMIFS(PBC_PROFIT_AND_LOSS[AccountBalance],PBC_PROFIT_AND_LOSS[Id],_xlfn._xlws.FILTER(PBC_ACCOUNT_LIST[Id],PBC_ACCOUNT_LIST[Drivers Section]=$G108),PBC_PROFIT_AND_LOSS[Date],BJ$5)),0)</f>
        <v>0</v>
      </c>
      <c r="BK108" s="8" cm="1">
        <f t="array" ref="BK108">IF(BK$5&lt;=LatestMonthOfActuals,SUMIFS(BK$10:BK$66,PLSections,$G108)-SUM(SUMIFS(PBC_PROFIT_AND_LOSS[AccountBalance],PBC_PROFIT_AND_LOSS[Id],_xlfn._xlws.FILTER(PBC_ACCOUNT_LIST[Id],PBC_ACCOUNT_LIST[Drivers Section]=$G108),PBC_PROFIT_AND_LOSS[Date],BK$5)),0)</f>
        <v>0</v>
      </c>
      <c r="BL108" s="8" cm="1">
        <f t="array" ref="BL108">IF(BL$5&lt;=LatestMonthOfActuals,SUMIFS(BL$10:BL$66,PLSections,$G108)-SUM(SUMIFS(PBC_PROFIT_AND_LOSS[AccountBalance],PBC_PROFIT_AND_LOSS[Id],_xlfn._xlws.FILTER(PBC_ACCOUNT_LIST[Id],PBC_ACCOUNT_LIST[Drivers Section]=$G108),PBC_PROFIT_AND_LOSS[Date],BL$5)),0)</f>
        <v>0</v>
      </c>
      <c r="BM108" s="8" cm="1">
        <f t="array" ref="BM108">IF(BM$5&lt;=LatestMonthOfActuals,SUMIFS(BM$10:BM$66,PLSections,$G108)-SUM(SUMIFS(PBC_PROFIT_AND_LOSS[AccountBalance],PBC_PROFIT_AND_LOSS[Id],_xlfn._xlws.FILTER(PBC_ACCOUNT_LIST[Id],PBC_ACCOUNT_LIST[Drivers Section]=$G108),PBC_PROFIT_AND_LOSS[Date],BM$5)),0)</f>
        <v>0</v>
      </c>
      <c r="BN108" s="8" cm="1">
        <f t="array" ref="BN108">IF(BN$5&lt;=LatestMonthOfActuals,SUMIFS(BN$10:BN$66,PLSections,$G108)-SUM(SUMIFS(PBC_PROFIT_AND_LOSS[AccountBalance],PBC_PROFIT_AND_LOSS[Id],_xlfn._xlws.FILTER(PBC_ACCOUNT_LIST[Id],PBC_ACCOUNT_LIST[Drivers Section]=$G108),PBC_PROFIT_AND_LOSS[Date],BN$5)),0)</f>
        <v>0</v>
      </c>
      <c r="BO108" s="8" cm="1">
        <f t="array" ref="BO108">IF(BO$5&lt;=LatestMonthOfActuals,SUMIFS(BO$10:BO$66,PLSections,$G108)-SUM(SUMIFS(PBC_PROFIT_AND_LOSS[AccountBalance],PBC_PROFIT_AND_LOSS[Id],_xlfn._xlws.FILTER(PBC_ACCOUNT_LIST[Id],PBC_ACCOUNT_LIST[Drivers Section]=$G108),PBC_PROFIT_AND_LOSS[Date],BO$5)),0)</f>
        <v>0</v>
      </c>
      <c r="BP108" s="8" cm="1">
        <f t="array" ref="BP108">IF(BP$5&lt;=LatestMonthOfActuals,SUMIFS(BP$10:BP$66,PLSections,$G108)-SUM(SUMIFS(PBC_PROFIT_AND_LOSS[AccountBalance],PBC_PROFIT_AND_LOSS[Id],_xlfn._xlws.FILTER(PBC_ACCOUNT_LIST[Id],PBC_ACCOUNT_LIST[Drivers Section]=$G108),PBC_PROFIT_AND_LOSS[Date],BP$5)),0)</f>
        <v>0</v>
      </c>
      <c r="BQ108" s="8" cm="1">
        <f t="array" ref="BQ108">IF(BQ$5&lt;=LatestMonthOfActuals,SUMIFS(BQ$10:BQ$66,PLSections,$G108)-SUM(SUMIFS(PBC_PROFIT_AND_LOSS[AccountBalance],PBC_PROFIT_AND_LOSS[Id],_xlfn._xlws.FILTER(PBC_ACCOUNT_LIST[Id],PBC_ACCOUNT_LIST[Drivers Section]=$G108),PBC_PROFIT_AND_LOSS[Date],BQ$5)),0)</f>
        <v>0</v>
      </c>
      <c r="BR108" s="8" cm="1">
        <f t="array" ref="BR108">IF(BR$5&lt;=LatestMonthOfActuals,SUMIFS(BR$10:BR$66,PLSections,$G108)-SUM(SUMIFS(PBC_PROFIT_AND_LOSS[AccountBalance],PBC_PROFIT_AND_LOSS[Id],_xlfn._xlws.FILTER(PBC_ACCOUNT_LIST[Id],PBC_ACCOUNT_LIST[Drivers Section]=$G108),PBC_PROFIT_AND_LOSS[Date],BR$5)),0)</f>
        <v>0</v>
      </c>
      <c r="BS108" s="8" cm="1">
        <f t="array" ref="BS108">IF(BS$5&lt;=LatestMonthOfActuals,SUMIFS(BS$10:BS$66,PLSections,$G108)-SUM(SUMIFS(PBC_PROFIT_AND_LOSS[AccountBalance],PBC_PROFIT_AND_LOSS[Id],_xlfn._xlws.FILTER(PBC_ACCOUNT_LIST[Id],PBC_ACCOUNT_LIST[Drivers Section]=$G108),PBC_PROFIT_AND_LOSS[Date],BS$5)),0)</f>
        <v>0</v>
      </c>
    </row>
    <row r="109" spans="2:71" ht="15.6" customHeight="1" outlineLevel="2">
      <c r="B109" s="10" t="s">
        <v>167</v>
      </c>
      <c r="G109" s="10" t="s">
        <v>167</v>
      </c>
      <c r="H109" s="10"/>
      <c r="I109" s="10"/>
      <c r="J109" s="10"/>
      <c r="K109" s="10"/>
      <c r="L109" s="10"/>
      <c r="O109" s="9"/>
      <c r="P109" s="9"/>
      <c r="Q109" s="9"/>
      <c r="R109" s="9"/>
      <c r="S109" s="9"/>
      <c r="T109" s="9"/>
      <c r="AH109" s="9"/>
      <c r="AI109" s="8" cm="1">
        <f t="array" ref="AI109">IF(AI$5&lt;=LatestMonthOfActuals,SUMIFS(AI$10:AI$66,PLSections,$G109)-SUM(SUMIFS(PBC_PROFIT_AND_LOSS[AccountBalance],PBC_PROFIT_AND_LOSS[Id],_xlfn._xlws.FILTER(PBC_ACCOUNT_LIST[Id],PBC_ACCOUNT_LIST[Drivers Section]=$G109),PBC_PROFIT_AND_LOSS[Date],AI$5)),0)</f>
        <v>0</v>
      </c>
      <c r="AJ109" s="8" cm="1">
        <f t="array" ref="AJ109">IF(AJ$5&lt;=LatestMonthOfActuals,SUMIFS(AJ$10:AJ$66,PLSections,$G109)-SUM(SUMIFS(PBC_PROFIT_AND_LOSS[AccountBalance],PBC_PROFIT_AND_LOSS[Id],_xlfn._xlws.FILTER(PBC_ACCOUNT_LIST[Id],PBC_ACCOUNT_LIST[Drivers Section]=$G109),PBC_PROFIT_AND_LOSS[Date],AJ$5)),0)</f>
        <v>0</v>
      </c>
      <c r="AK109" s="8" cm="1">
        <f t="array" ref="AK109">IF(AK$5&lt;=LatestMonthOfActuals,SUMIFS(AK$10:AK$66,PLSections,$G109)-SUM(SUMIFS(PBC_PROFIT_AND_LOSS[AccountBalance],PBC_PROFIT_AND_LOSS[Id],_xlfn._xlws.FILTER(PBC_ACCOUNT_LIST[Id],PBC_ACCOUNT_LIST[Drivers Section]=$G109),PBC_PROFIT_AND_LOSS[Date],AK$5)),0)</f>
        <v>0</v>
      </c>
      <c r="AL109" s="8" cm="1">
        <f t="array" ref="AL109">IF(AL$5&lt;=LatestMonthOfActuals,SUMIFS(AL$10:AL$66,PLSections,$G109)-SUM(SUMIFS(PBC_PROFIT_AND_LOSS[AccountBalance],PBC_PROFIT_AND_LOSS[Id],_xlfn._xlws.FILTER(PBC_ACCOUNT_LIST[Id],PBC_ACCOUNT_LIST[Drivers Section]=$G109),PBC_PROFIT_AND_LOSS[Date],AL$5)),0)</f>
        <v>0</v>
      </c>
      <c r="AM109" s="8" cm="1">
        <f t="array" ref="AM109">IF(AM$5&lt;=LatestMonthOfActuals,SUMIFS(AM$10:AM$66,PLSections,$G109)-SUM(SUMIFS(PBC_PROFIT_AND_LOSS[AccountBalance],PBC_PROFIT_AND_LOSS[Id],_xlfn._xlws.FILTER(PBC_ACCOUNT_LIST[Id],PBC_ACCOUNT_LIST[Drivers Section]=$G109),PBC_PROFIT_AND_LOSS[Date],AM$5)),0)</f>
        <v>0</v>
      </c>
      <c r="AN109" s="8" cm="1">
        <f t="array" ref="AN109">IF(AN$5&lt;=LatestMonthOfActuals,SUMIFS(AN$10:AN$66,PLSections,$G109)-SUM(SUMIFS(PBC_PROFIT_AND_LOSS[AccountBalance],PBC_PROFIT_AND_LOSS[Id],_xlfn._xlws.FILTER(PBC_ACCOUNT_LIST[Id],PBC_ACCOUNT_LIST[Drivers Section]=$G109),PBC_PROFIT_AND_LOSS[Date],AN$5)),0)</f>
        <v>0</v>
      </c>
      <c r="AO109" s="8" cm="1">
        <f t="array" ref="AO109">IF(AO$5&lt;=LatestMonthOfActuals,SUMIFS(AO$10:AO$66,PLSections,$G109)-SUM(SUMIFS(PBC_PROFIT_AND_LOSS[AccountBalance],PBC_PROFIT_AND_LOSS[Id],_xlfn._xlws.FILTER(PBC_ACCOUNT_LIST[Id],PBC_ACCOUNT_LIST[Drivers Section]=$G109),PBC_PROFIT_AND_LOSS[Date],AO$5)),0)</f>
        <v>0</v>
      </c>
      <c r="AP109" s="8" cm="1">
        <f t="array" ref="AP109">IF(AP$5&lt;=LatestMonthOfActuals,SUMIFS(AP$10:AP$66,PLSections,$G109)-SUM(SUMIFS(PBC_PROFIT_AND_LOSS[AccountBalance],PBC_PROFIT_AND_LOSS[Id],_xlfn._xlws.FILTER(PBC_ACCOUNT_LIST[Id],PBC_ACCOUNT_LIST[Drivers Section]=$G109),PBC_PROFIT_AND_LOSS[Date],AP$5)),0)</f>
        <v>0</v>
      </c>
      <c r="AQ109" s="8" cm="1">
        <f t="array" ref="AQ109">IF(AQ$5&lt;=LatestMonthOfActuals,SUMIFS(AQ$10:AQ$66,PLSections,$G109)-SUM(SUMIFS(PBC_PROFIT_AND_LOSS[AccountBalance],PBC_PROFIT_AND_LOSS[Id],_xlfn._xlws.FILTER(PBC_ACCOUNT_LIST[Id],PBC_ACCOUNT_LIST[Drivers Section]=$G109),PBC_PROFIT_AND_LOSS[Date],AQ$5)),0)</f>
        <v>0</v>
      </c>
      <c r="AR109" s="8" cm="1">
        <f t="array" ref="AR109">IF(AR$5&lt;=LatestMonthOfActuals,SUMIFS(AR$10:AR$66,PLSections,$G109)-SUM(SUMIFS(PBC_PROFIT_AND_LOSS[AccountBalance],PBC_PROFIT_AND_LOSS[Id],_xlfn._xlws.FILTER(PBC_ACCOUNT_LIST[Id],PBC_ACCOUNT_LIST[Drivers Section]=$G109),PBC_PROFIT_AND_LOSS[Date],AR$5)),0)</f>
        <v>0</v>
      </c>
      <c r="AS109" s="8" cm="1">
        <f t="array" ref="AS109">IF(AS$5&lt;=LatestMonthOfActuals,SUMIFS(AS$10:AS$66,PLSections,$G109)-SUM(SUMIFS(PBC_PROFIT_AND_LOSS[AccountBalance],PBC_PROFIT_AND_LOSS[Id],_xlfn._xlws.FILTER(PBC_ACCOUNT_LIST[Id],PBC_ACCOUNT_LIST[Drivers Section]=$G109),PBC_PROFIT_AND_LOSS[Date],AS$5)),0)</f>
        <v>0</v>
      </c>
      <c r="AT109" s="8" cm="1">
        <f t="array" ref="AT109">IF(AT$5&lt;=LatestMonthOfActuals,SUMIFS(AT$10:AT$66,PLSections,$G109)-SUM(SUMIFS(PBC_PROFIT_AND_LOSS[AccountBalance],PBC_PROFIT_AND_LOSS[Id],_xlfn._xlws.FILTER(PBC_ACCOUNT_LIST[Id],PBC_ACCOUNT_LIST[Drivers Section]=$G109),PBC_PROFIT_AND_LOSS[Date],AT$5)),0)</f>
        <v>0</v>
      </c>
      <c r="AU109" s="8" cm="1">
        <f t="array" ref="AU109">IF(AU$5&lt;=LatestMonthOfActuals,SUMIFS(AU$10:AU$66,PLSections,$G109)-SUM(SUMIFS(PBC_PROFIT_AND_LOSS[AccountBalance],PBC_PROFIT_AND_LOSS[Id],_xlfn._xlws.FILTER(PBC_ACCOUNT_LIST[Id],PBC_ACCOUNT_LIST[Drivers Section]=$G109),PBC_PROFIT_AND_LOSS[Date],AU$5)),0)</f>
        <v>0</v>
      </c>
      <c r="AV109" s="8" cm="1">
        <f t="array" ref="AV109">IF(AV$5&lt;=LatestMonthOfActuals,SUMIFS(AV$10:AV$66,PLSections,$G109)-SUM(SUMIFS(PBC_PROFIT_AND_LOSS[AccountBalance],PBC_PROFIT_AND_LOSS[Id],_xlfn._xlws.FILTER(PBC_ACCOUNT_LIST[Id],PBC_ACCOUNT_LIST[Drivers Section]=$G109),PBC_PROFIT_AND_LOSS[Date],AV$5)),0)</f>
        <v>0</v>
      </c>
      <c r="AW109" s="8" cm="1">
        <f t="array" ref="AW109">IF(AW$5&lt;=LatestMonthOfActuals,SUMIFS(AW$10:AW$66,PLSections,$G109)-SUM(SUMIFS(PBC_PROFIT_AND_LOSS[AccountBalance],PBC_PROFIT_AND_LOSS[Id],_xlfn._xlws.FILTER(PBC_ACCOUNT_LIST[Id],PBC_ACCOUNT_LIST[Drivers Section]=$G109),PBC_PROFIT_AND_LOSS[Date],AW$5)),0)</f>
        <v>0</v>
      </c>
      <c r="AX109" s="8" cm="1">
        <f t="array" ref="AX109">IF(AX$5&lt;=LatestMonthOfActuals,SUMIFS(AX$10:AX$66,PLSections,$G109)-SUM(SUMIFS(PBC_PROFIT_AND_LOSS[AccountBalance],PBC_PROFIT_AND_LOSS[Id],_xlfn._xlws.FILTER(PBC_ACCOUNT_LIST[Id],PBC_ACCOUNT_LIST[Drivers Section]=$G109),PBC_PROFIT_AND_LOSS[Date],AX$5)),0)</f>
        <v>0</v>
      </c>
      <c r="AY109" s="8" cm="1">
        <f t="array" ref="AY109">IF(AY$5&lt;=LatestMonthOfActuals,SUMIFS(AY$10:AY$66,PLSections,$G109)-SUM(SUMIFS(PBC_PROFIT_AND_LOSS[AccountBalance],PBC_PROFIT_AND_LOSS[Id],_xlfn._xlws.FILTER(PBC_ACCOUNT_LIST[Id],PBC_ACCOUNT_LIST[Drivers Section]=$G109),PBC_PROFIT_AND_LOSS[Date],AY$5)),0)</f>
        <v>0</v>
      </c>
      <c r="AZ109" s="8" cm="1">
        <f t="array" ref="AZ109">IF(AZ$5&lt;=LatestMonthOfActuals,SUMIFS(AZ$10:AZ$66,PLSections,$G109)-SUM(SUMIFS(PBC_PROFIT_AND_LOSS[AccountBalance],PBC_PROFIT_AND_LOSS[Id],_xlfn._xlws.FILTER(PBC_ACCOUNT_LIST[Id],PBC_ACCOUNT_LIST[Drivers Section]=$G109),PBC_PROFIT_AND_LOSS[Date],AZ$5)),0)</f>
        <v>0</v>
      </c>
      <c r="BA109" s="8" cm="1">
        <f t="array" ref="BA109">IF(BA$5&lt;=LatestMonthOfActuals,SUMIFS(BA$10:BA$66,PLSections,$G109)-SUM(SUMIFS(PBC_PROFIT_AND_LOSS[AccountBalance],PBC_PROFIT_AND_LOSS[Id],_xlfn._xlws.FILTER(PBC_ACCOUNT_LIST[Id],PBC_ACCOUNT_LIST[Drivers Section]=$G109),PBC_PROFIT_AND_LOSS[Date],BA$5)),0)</f>
        <v>0</v>
      </c>
      <c r="BB109" s="8" cm="1">
        <f t="array" ref="BB109">IF(BB$5&lt;=LatestMonthOfActuals,SUMIFS(BB$10:BB$66,PLSections,$G109)-SUM(SUMIFS(PBC_PROFIT_AND_LOSS[AccountBalance],PBC_PROFIT_AND_LOSS[Id],_xlfn._xlws.FILTER(PBC_ACCOUNT_LIST[Id],PBC_ACCOUNT_LIST[Drivers Section]=$G109),PBC_PROFIT_AND_LOSS[Date],BB$5)),0)</f>
        <v>5.8207660913467407E-11</v>
      </c>
      <c r="BC109" s="8" cm="1">
        <f t="array" ref="BC109">IF(BC$5&lt;=LatestMonthOfActuals,SUMIFS(BC$10:BC$66,PLSections,$G109)-SUM(SUMIFS(PBC_PROFIT_AND_LOSS[AccountBalance],PBC_PROFIT_AND_LOSS[Id],_xlfn._xlws.FILTER(PBC_ACCOUNT_LIST[Id],PBC_ACCOUNT_LIST[Drivers Section]=$G109),PBC_PROFIT_AND_LOSS[Date],BC$5)),0)</f>
        <v>5.8207660913467407E-11</v>
      </c>
      <c r="BD109" s="8" cm="1">
        <f t="array" ref="BD109">IF(BD$5&lt;=LatestMonthOfActuals,SUMIFS(BD$10:BD$66,PLSections,$G109)-SUM(SUMIFS(PBC_PROFIT_AND_LOSS[AccountBalance],PBC_PROFIT_AND_LOSS[Id],_xlfn._xlws.FILTER(PBC_ACCOUNT_LIST[Id],PBC_ACCOUNT_LIST[Drivers Section]=$G109),PBC_PROFIT_AND_LOSS[Date],BD$5)),0)</f>
        <v>0</v>
      </c>
      <c r="BE109" s="8" cm="1">
        <f t="array" ref="BE109">IF(BE$5&lt;=LatestMonthOfActuals,SUMIFS(BE$10:BE$66,PLSections,$G109)-SUM(SUMIFS(PBC_PROFIT_AND_LOSS[AccountBalance],PBC_PROFIT_AND_LOSS[Id],_xlfn._xlws.FILTER(PBC_ACCOUNT_LIST[Id],PBC_ACCOUNT_LIST[Drivers Section]=$G109),PBC_PROFIT_AND_LOSS[Date],BE$5)),0)</f>
        <v>0</v>
      </c>
      <c r="BF109" s="8" cm="1">
        <f t="array" ref="BF109">IF(BF$5&lt;=LatestMonthOfActuals,SUMIFS(BF$10:BF$66,PLSections,$G109)-SUM(SUMIFS(PBC_PROFIT_AND_LOSS[AccountBalance],PBC_PROFIT_AND_LOSS[Id],_xlfn._xlws.FILTER(PBC_ACCOUNT_LIST[Id],PBC_ACCOUNT_LIST[Drivers Section]=$G109),PBC_PROFIT_AND_LOSS[Date],BF$5)),0)</f>
        <v>0</v>
      </c>
      <c r="BG109" s="8" cm="1">
        <f t="array" ref="BG109">IF(BG$5&lt;=LatestMonthOfActuals,SUMIFS(BG$10:BG$66,PLSections,$G109)-SUM(SUMIFS(PBC_PROFIT_AND_LOSS[AccountBalance],PBC_PROFIT_AND_LOSS[Id],_xlfn._xlws.FILTER(PBC_ACCOUNT_LIST[Id],PBC_ACCOUNT_LIST[Drivers Section]=$G109),PBC_PROFIT_AND_LOSS[Date],BG$5)),0)</f>
        <v>0</v>
      </c>
      <c r="BH109" s="8" cm="1">
        <f t="array" ref="BH109">IF(BH$5&lt;=LatestMonthOfActuals,SUMIFS(BH$10:BH$66,PLSections,$G109)-SUM(SUMIFS(PBC_PROFIT_AND_LOSS[AccountBalance],PBC_PROFIT_AND_LOSS[Id],_xlfn._xlws.FILTER(PBC_ACCOUNT_LIST[Id],PBC_ACCOUNT_LIST[Drivers Section]=$G109),PBC_PROFIT_AND_LOSS[Date],BH$5)),0)</f>
        <v>0</v>
      </c>
      <c r="BI109" s="8" cm="1">
        <f t="array" ref="BI109">IF(BI$5&lt;=LatestMonthOfActuals,SUMIFS(BI$10:BI$66,PLSections,$G109)-SUM(SUMIFS(PBC_PROFIT_AND_LOSS[AccountBalance],PBC_PROFIT_AND_LOSS[Id],_xlfn._xlws.FILTER(PBC_ACCOUNT_LIST[Id],PBC_ACCOUNT_LIST[Drivers Section]=$G109),PBC_PROFIT_AND_LOSS[Date],BI$5)),0)</f>
        <v>0</v>
      </c>
      <c r="BJ109" s="8" cm="1">
        <f t="array" ref="BJ109">IF(BJ$5&lt;=LatestMonthOfActuals,SUMIFS(BJ$10:BJ$66,PLSections,$G109)-SUM(SUMIFS(PBC_PROFIT_AND_LOSS[AccountBalance],PBC_PROFIT_AND_LOSS[Id],_xlfn._xlws.FILTER(PBC_ACCOUNT_LIST[Id],PBC_ACCOUNT_LIST[Drivers Section]=$G109),PBC_PROFIT_AND_LOSS[Date],BJ$5)),0)</f>
        <v>0</v>
      </c>
      <c r="BK109" s="8" cm="1">
        <f t="array" ref="BK109">IF(BK$5&lt;=LatestMonthOfActuals,SUMIFS(BK$10:BK$66,PLSections,$G109)-SUM(SUMIFS(PBC_PROFIT_AND_LOSS[AccountBalance],PBC_PROFIT_AND_LOSS[Id],_xlfn._xlws.FILTER(PBC_ACCOUNT_LIST[Id],PBC_ACCOUNT_LIST[Drivers Section]=$G109),PBC_PROFIT_AND_LOSS[Date],BK$5)),0)</f>
        <v>0</v>
      </c>
      <c r="BL109" s="8" cm="1">
        <f t="array" ref="BL109">IF(BL$5&lt;=LatestMonthOfActuals,SUMIFS(BL$10:BL$66,PLSections,$G109)-SUM(SUMIFS(PBC_PROFIT_AND_LOSS[AccountBalance],PBC_PROFIT_AND_LOSS[Id],_xlfn._xlws.FILTER(PBC_ACCOUNT_LIST[Id],PBC_ACCOUNT_LIST[Drivers Section]=$G109),PBC_PROFIT_AND_LOSS[Date],BL$5)),0)</f>
        <v>0</v>
      </c>
      <c r="BM109" s="8" cm="1">
        <f t="array" ref="BM109">IF(BM$5&lt;=LatestMonthOfActuals,SUMIFS(BM$10:BM$66,PLSections,$G109)-SUM(SUMIFS(PBC_PROFIT_AND_LOSS[AccountBalance],PBC_PROFIT_AND_LOSS[Id],_xlfn._xlws.FILTER(PBC_ACCOUNT_LIST[Id],PBC_ACCOUNT_LIST[Drivers Section]=$G109),PBC_PROFIT_AND_LOSS[Date],BM$5)),0)</f>
        <v>0</v>
      </c>
      <c r="BN109" s="8" cm="1">
        <f t="array" ref="BN109">IF(BN$5&lt;=LatestMonthOfActuals,SUMIFS(BN$10:BN$66,PLSections,$G109)-SUM(SUMIFS(PBC_PROFIT_AND_LOSS[AccountBalance],PBC_PROFIT_AND_LOSS[Id],_xlfn._xlws.FILTER(PBC_ACCOUNT_LIST[Id],PBC_ACCOUNT_LIST[Drivers Section]=$G109),PBC_PROFIT_AND_LOSS[Date],BN$5)),0)</f>
        <v>0</v>
      </c>
      <c r="BO109" s="8" cm="1">
        <f t="array" ref="BO109">IF(BO$5&lt;=LatestMonthOfActuals,SUMIFS(BO$10:BO$66,PLSections,$G109)-SUM(SUMIFS(PBC_PROFIT_AND_LOSS[AccountBalance],PBC_PROFIT_AND_LOSS[Id],_xlfn._xlws.FILTER(PBC_ACCOUNT_LIST[Id],PBC_ACCOUNT_LIST[Drivers Section]=$G109),PBC_PROFIT_AND_LOSS[Date],BO$5)),0)</f>
        <v>0</v>
      </c>
      <c r="BP109" s="8" cm="1">
        <f t="array" ref="BP109">IF(BP$5&lt;=LatestMonthOfActuals,SUMIFS(BP$10:BP$66,PLSections,$G109)-SUM(SUMIFS(PBC_PROFIT_AND_LOSS[AccountBalance],PBC_PROFIT_AND_LOSS[Id],_xlfn._xlws.FILTER(PBC_ACCOUNT_LIST[Id],PBC_ACCOUNT_LIST[Drivers Section]=$G109),PBC_PROFIT_AND_LOSS[Date],BP$5)),0)</f>
        <v>0</v>
      </c>
      <c r="BQ109" s="8" cm="1">
        <f t="array" ref="BQ109">IF(BQ$5&lt;=LatestMonthOfActuals,SUMIFS(BQ$10:BQ$66,PLSections,$G109)-SUM(SUMIFS(PBC_PROFIT_AND_LOSS[AccountBalance],PBC_PROFIT_AND_LOSS[Id],_xlfn._xlws.FILTER(PBC_ACCOUNT_LIST[Id],PBC_ACCOUNT_LIST[Drivers Section]=$G109),PBC_PROFIT_AND_LOSS[Date],BQ$5)),0)</f>
        <v>0</v>
      </c>
      <c r="BR109" s="8" cm="1">
        <f t="array" ref="BR109">IF(BR$5&lt;=LatestMonthOfActuals,SUMIFS(BR$10:BR$66,PLSections,$G109)-SUM(SUMIFS(PBC_PROFIT_AND_LOSS[AccountBalance],PBC_PROFIT_AND_LOSS[Id],_xlfn._xlws.FILTER(PBC_ACCOUNT_LIST[Id],PBC_ACCOUNT_LIST[Drivers Section]=$G109),PBC_PROFIT_AND_LOSS[Date],BR$5)),0)</f>
        <v>0</v>
      </c>
      <c r="BS109" s="8" cm="1">
        <f t="array" ref="BS109">IF(BS$5&lt;=LatestMonthOfActuals,SUMIFS(BS$10:BS$66,PLSections,$G109)-SUM(SUMIFS(PBC_PROFIT_AND_LOSS[AccountBalance],PBC_PROFIT_AND_LOSS[Id],_xlfn._xlws.FILTER(PBC_ACCOUNT_LIST[Id],PBC_ACCOUNT_LIST[Drivers Section]=$G109),PBC_PROFIT_AND_LOSS[Date],BS$5)),0)</f>
        <v>0</v>
      </c>
    </row>
    <row r="110" spans="2:71" ht="15.6" customHeight="1" outlineLevel="2">
      <c r="B110" s="10" t="s">
        <v>44</v>
      </c>
      <c r="G110" s="10" t="s">
        <v>44</v>
      </c>
      <c r="H110" s="10"/>
      <c r="I110" s="10"/>
      <c r="J110" s="10"/>
      <c r="K110" s="10"/>
      <c r="L110" s="10"/>
      <c r="O110" s="9"/>
      <c r="P110" s="9"/>
      <c r="Q110" s="9"/>
      <c r="R110" s="9"/>
      <c r="S110" s="9"/>
      <c r="T110" s="9"/>
      <c r="AH110" s="9"/>
      <c r="AI110" s="8" cm="1">
        <f t="array" ref="AI110">IF(AI$5&lt;=LatestMonthOfActuals,SUMIFS(AI$10:AI$66,PLSections,$G110)-SUM(SUMIFS(PBC_PROFIT_AND_LOSS[AccountBalance],PBC_PROFIT_AND_LOSS[Id],_xlfn._xlws.FILTER(PBC_ACCOUNT_LIST[Id],PBC_ACCOUNT_LIST[Drivers Section]=$G110),PBC_PROFIT_AND_LOSS[Date],AI$5)),0)</f>
        <v>0</v>
      </c>
      <c r="AJ110" s="8" cm="1">
        <f t="array" ref="AJ110">IF(AJ$5&lt;=LatestMonthOfActuals,SUMIFS(AJ$10:AJ$66,PLSections,$G110)-SUM(SUMIFS(PBC_PROFIT_AND_LOSS[AccountBalance],PBC_PROFIT_AND_LOSS[Id],_xlfn._xlws.FILTER(PBC_ACCOUNT_LIST[Id],PBC_ACCOUNT_LIST[Drivers Section]=$G110),PBC_PROFIT_AND_LOSS[Date],AJ$5)),0)</f>
        <v>0</v>
      </c>
      <c r="AK110" s="8" cm="1">
        <f t="array" ref="AK110">IF(AK$5&lt;=LatestMonthOfActuals,SUMIFS(AK$10:AK$66,PLSections,$G110)-SUM(SUMIFS(PBC_PROFIT_AND_LOSS[AccountBalance],PBC_PROFIT_AND_LOSS[Id],_xlfn._xlws.FILTER(PBC_ACCOUNT_LIST[Id],PBC_ACCOUNT_LIST[Drivers Section]=$G110),PBC_PROFIT_AND_LOSS[Date],AK$5)),0)</f>
        <v>0</v>
      </c>
      <c r="AL110" s="8" cm="1">
        <f t="array" ref="AL110">IF(AL$5&lt;=LatestMonthOfActuals,SUMIFS(AL$10:AL$66,PLSections,$G110)-SUM(SUMIFS(PBC_PROFIT_AND_LOSS[AccountBalance],PBC_PROFIT_AND_LOSS[Id],_xlfn._xlws.FILTER(PBC_ACCOUNT_LIST[Id],PBC_ACCOUNT_LIST[Drivers Section]=$G110),PBC_PROFIT_AND_LOSS[Date],AL$5)),0)</f>
        <v>0</v>
      </c>
      <c r="AM110" s="8" cm="1">
        <f t="array" ref="AM110">IF(AM$5&lt;=LatestMonthOfActuals,SUMIFS(AM$10:AM$66,PLSections,$G110)-SUM(SUMIFS(PBC_PROFIT_AND_LOSS[AccountBalance],PBC_PROFIT_AND_LOSS[Id],_xlfn._xlws.FILTER(PBC_ACCOUNT_LIST[Id],PBC_ACCOUNT_LIST[Drivers Section]=$G110),PBC_PROFIT_AND_LOSS[Date],AM$5)),0)</f>
        <v>0</v>
      </c>
      <c r="AN110" s="8" cm="1">
        <f t="array" ref="AN110">IF(AN$5&lt;=LatestMonthOfActuals,SUMIFS(AN$10:AN$66,PLSections,$G110)-SUM(SUMIFS(PBC_PROFIT_AND_LOSS[AccountBalance],PBC_PROFIT_AND_LOSS[Id],_xlfn._xlws.FILTER(PBC_ACCOUNT_LIST[Id],PBC_ACCOUNT_LIST[Drivers Section]=$G110),PBC_PROFIT_AND_LOSS[Date],AN$5)),0)</f>
        <v>0</v>
      </c>
      <c r="AO110" s="8" cm="1">
        <f t="array" ref="AO110">IF(AO$5&lt;=LatestMonthOfActuals,SUMIFS(AO$10:AO$66,PLSections,$G110)-SUM(SUMIFS(PBC_PROFIT_AND_LOSS[AccountBalance],PBC_PROFIT_AND_LOSS[Id],_xlfn._xlws.FILTER(PBC_ACCOUNT_LIST[Id],PBC_ACCOUNT_LIST[Drivers Section]=$G110),PBC_PROFIT_AND_LOSS[Date],AO$5)),0)</f>
        <v>0</v>
      </c>
      <c r="AP110" s="8" cm="1">
        <f t="array" ref="AP110">IF(AP$5&lt;=LatestMonthOfActuals,SUMIFS(AP$10:AP$66,PLSections,$G110)-SUM(SUMIFS(PBC_PROFIT_AND_LOSS[AccountBalance],PBC_PROFIT_AND_LOSS[Id],_xlfn._xlws.FILTER(PBC_ACCOUNT_LIST[Id],PBC_ACCOUNT_LIST[Drivers Section]=$G110),PBC_PROFIT_AND_LOSS[Date],AP$5)),0)</f>
        <v>0</v>
      </c>
      <c r="AQ110" s="8" cm="1">
        <f t="array" ref="AQ110">IF(AQ$5&lt;=LatestMonthOfActuals,SUMIFS(AQ$10:AQ$66,PLSections,$G110)-SUM(SUMIFS(PBC_PROFIT_AND_LOSS[AccountBalance],PBC_PROFIT_AND_LOSS[Id],_xlfn._xlws.FILTER(PBC_ACCOUNT_LIST[Id],PBC_ACCOUNT_LIST[Drivers Section]=$G110),PBC_PROFIT_AND_LOSS[Date],AQ$5)),0)</f>
        <v>0</v>
      </c>
      <c r="AR110" s="8" cm="1">
        <f t="array" ref="AR110">IF(AR$5&lt;=LatestMonthOfActuals,SUMIFS(AR$10:AR$66,PLSections,$G110)-SUM(SUMIFS(PBC_PROFIT_AND_LOSS[AccountBalance],PBC_PROFIT_AND_LOSS[Id],_xlfn._xlws.FILTER(PBC_ACCOUNT_LIST[Id],PBC_ACCOUNT_LIST[Drivers Section]=$G110),PBC_PROFIT_AND_LOSS[Date],AR$5)),0)</f>
        <v>0</v>
      </c>
      <c r="AS110" s="8" cm="1">
        <f t="array" ref="AS110">IF(AS$5&lt;=LatestMonthOfActuals,SUMIFS(AS$10:AS$66,PLSections,$G110)-SUM(SUMIFS(PBC_PROFIT_AND_LOSS[AccountBalance],PBC_PROFIT_AND_LOSS[Id],_xlfn._xlws.FILTER(PBC_ACCOUNT_LIST[Id],PBC_ACCOUNT_LIST[Drivers Section]=$G110),PBC_PROFIT_AND_LOSS[Date],AS$5)),0)</f>
        <v>0</v>
      </c>
      <c r="AT110" s="8" cm="1">
        <f t="array" ref="AT110">IF(AT$5&lt;=LatestMonthOfActuals,SUMIFS(AT$10:AT$66,PLSections,$G110)-SUM(SUMIFS(PBC_PROFIT_AND_LOSS[AccountBalance],PBC_PROFIT_AND_LOSS[Id],_xlfn._xlws.FILTER(PBC_ACCOUNT_LIST[Id],PBC_ACCOUNT_LIST[Drivers Section]=$G110),PBC_PROFIT_AND_LOSS[Date],AT$5)),0)</f>
        <v>0</v>
      </c>
      <c r="AU110" s="8" cm="1">
        <f t="array" ref="AU110">IF(AU$5&lt;=LatestMonthOfActuals,SUMIFS(AU$10:AU$66,PLSections,$G110)-SUM(SUMIFS(PBC_PROFIT_AND_LOSS[AccountBalance],PBC_PROFIT_AND_LOSS[Id],_xlfn._xlws.FILTER(PBC_ACCOUNT_LIST[Id],PBC_ACCOUNT_LIST[Drivers Section]=$G110),PBC_PROFIT_AND_LOSS[Date],AU$5)),0)</f>
        <v>0</v>
      </c>
      <c r="AV110" s="8" cm="1">
        <f t="array" ref="AV110">IF(AV$5&lt;=LatestMonthOfActuals,SUMIFS(AV$10:AV$66,PLSections,$G110)-SUM(SUMIFS(PBC_PROFIT_AND_LOSS[AccountBalance],PBC_PROFIT_AND_LOSS[Id],_xlfn._xlws.FILTER(PBC_ACCOUNT_LIST[Id],PBC_ACCOUNT_LIST[Drivers Section]=$G110),PBC_PROFIT_AND_LOSS[Date],AV$5)),0)</f>
        <v>0</v>
      </c>
      <c r="AW110" s="8" cm="1">
        <f t="array" ref="AW110">IF(AW$5&lt;=LatestMonthOfActuals,SUMIFS(AW$10:AW$66,PLSections,$G110)-SUM(SUMIFS(PBC_PROFIT_AND_LOSS[AccountBalance],PBC_PROFIT_AND_LOSS[Id],_xlfn._xlws.FILTER(PBC_ACCOUNT_LIST[Id],PBC_ACCOUNT_LIST[Drivers Section]=$G110),PBC_PROFIT_AND_LOSS[Date],AW$5)),0)</f>
        <v>0</v>
      </c>
      <c r="AX110" s="8" cm="1">
        <f t="array" ref="AX110">IF(AX$5&lt;=LatestMonthOfActuals,SUMIFS(AX$10:AX$66,PLSections,$G110)-SUM(SUMIFS(PBC_PROFIT_AND_LOSS[AccountBalance],PBC_PROFIT_AND_LOSS[Id],_xlfn._xlws.FILTER(PBC_ACCOUNT_LIST[Id],PBC_ACCOUNT_LIST[Drivers Section]=$G110),PBC_PROFIT_AND_LOSS[Date],AX$5)),0)</f>
        <v>0</v>
      </c>
      <c r="AY110" s="8" cm="1">
        <f t="array" ref="AY110">IF(AY$5&lt;=LatestMonthOfActuals,SUMIFS(AY$10:AY$66,PLSections,$G110)-SUM(SUMIFS(PBC_PROFIT_AND_LOSS[AccountBalance],PBC_PROFIT_AND_LOSS[Id],_xlfn._xlws.FILTER(PBC_ACCOUNT_LIST[Id],PBC_ACCOUNT_LIST[Drivers Section]=$G110),PBC_PROFIT_AND_LOSS[Date],AY$5)),0)</f>
        <v>0</v>
      </c>
      <c r="AZ110" s="8" cm="1">
        <f t="array" ref="AZ110">IF(AZ$5&lt;=LatestMonthOfActuals,SUMIFS(AZ$10:AZ$66,PLSections,$G110)-SUM(SUMIFS(PBC_PROFIT_AND_LOSS[AccountBalance],PBC_PROFIT_AND_LOSS[Id],_xlfn._xlws.FILTER(PBC_ACCOUNT_LIST[Id],PBC_ACCOUNT_LIST[Drivers Section]=$G110),PBC_PROFIT_AND_LOSS[Date],AZ$5)),0)</f>
        <v>0</v>
      </c>
      <c r="BA110" s="8" cm="1">
        <f t="array" ref="BA110">IF(BA$5&lt;=LatestMonthOfActuals,SUMIFS(BA$10:BA$66,PLSections,$G110)-SUM(SUMIFS(PBC_PROFIT_AND_LOSS[AccountBalance],PBC_PROFIT_AND_LOSS[Id],_xlfn._xlws.FILTER(PBC_ACCOUNT_LIST[Id],PBC_ACCOUNT_LIST[Drivers Section]=$G110),PBC_PROFIT_AND_LOSS[Date],BA$5)),0)</f>
        <v>0</v>
      </c>
      <c r="BB110" s="8" cm="1">
        <f t="array" ref="BB110">IF(BB$5&lt;=LatestMonthOfActuals,SUMIFS(BB$10:BB$66,PLSections,$G110)-SUM(SUMIFS(PBC_PROFIT_AND_LOSS[AccountBalance],PBC_PROFIT_AND_LOSS[Id],_xlfn._xlws.FILTER(PBC_ACCOUNT_LIST[Id],PBC_ACCOUNT_LIST[Drivers Section]=$G110),PBC_PROFIT_AND_LOSS[Date],BB$5)),0)</f>
        <v>0</v>
      </c>
      <c r="BC110" s="8" cm="1">
        <f t="array" ref="BC110">IF(BC$5&lt;=LatestMonthOfActuals,SUMIFS(BC$10:BC$66,PLSections,$G110)-SUM(SUMIFS(PBC_PROFIT_AND_LOSS[AccountBalance],PBC_PROFIT_AND_LOSS[Id],_xlfn._xlws.FILTER(PBC_ACCOUNT_LIST[Id],PBC_ACCOUNT_LIST[Drivers Section]=$G110),PBC_PROFIT_AND_LOSS[Date],BC$5)),0)</f>
        <v>0</v>
      </c>
      <c r="BD110" s="8" cm="1">
        <f t="array" ref="BD110">IF(BD$5&lt;=LatestMonthOfActuals,SUMIFS(BD$10:BD$66,PLSections,$G110)-SUM(SUMIFS(PBC_PROFIT_AND_LOSS[AccountBalance],PBC_PROFIT_AND_LOSS[Id],_xlfn._xlws.FILTER(PBC_ACCOUNT_LIST[Id],PBC_ACCOUNT_LIST[Drivers Section]=$G110),PBC_PROFIT_AND_LOSS[Date],BD$5)),0)</f>
        <v>0</v>
      </c>
      <c r="BE110" s="8" cm="1">
        <f t="array" ref="BE110">IF(BE$5&lt;=LatestMonthOfActuals,SUMIFS(BE$10:BE$66,PLSections,$G110)-SUM(SUMIFS(PBC_PROFIT_AND_LOSS[AccountBalance],PBC_PROFIT_AND_LOSS[Id],_xlfn._xlws.FILTER(PBC_ACCOUNT_LIST[Id],PBC_ACCOUNT_LIST[Drivers Section]=$G110),PBC_PROFIT_AND_LOSS[Date],BE$5)),0)</f>
        <v>0</v>
      </c>
      <c r="BF110" s="8" cm="1">
        <f t="array" ref="BF110">IF(BF$5&lt;=LatestMonthOfActuals,SUMIFS(BF$10:BF$66,PLSections,$G110)-SUM(SUMIFS(PBC_PROFIT_AND_LOSS[AccountBalance],PBC_PROFIT_AND_LOSS[Id],_xlfn._xlws.FILTER(PBC_ACCOUNT_LIST[Id],PBC_ACCOUNT_LIST[Drivers Section]=$G110),PBC_PROFIT_AND_LOSS[Date],BF$5)),0)</f>
        <v>0</v>
      </c>
      <c r="BG110" s="8" cm="1">
        <f t="array" ref="BG110">IF(BG$5&lt;=LatestMonthOfActuals,SUMIFS(BG$10:BG$66,PLSections,$G110)-SUM(SUMIFS(PBC_PROFIT_AND_LOSS[AccountBalance],PBC_PROFIT_AND_LOSS[Id],_xlfn._xlws.FILTER(PBC_ACCOUNT_LIST[Id],PBC_ACCOUNT_LIST[Drivers Section]=$G110),PBC_PROFIT_AND_LOSS[Date],BG$5)),0)</f>
        <v>0</v>
      </c>
      <c r="BH110" s="8" cm="1">
        <f t="array" ref="BH110">IF(BH$5&lt;=LatestMonthOfActuals,SUMIFS(BH$10:BH$66,PLSections,$G110)-SUM(SUMIFS(PBC_PROFIT_AND_LOSS[AccountBalance],PBC_PROFIT_AND_LOSS[Id],_xlfn._xlws.FILTER(PBC_ACCOUNT_LIST[Id],PBC_ACCOUNT_LIST[Drivers Section]=$G110),PBC_PROFIT_AND_LOSS[Date],BH$5)),0)</f>
        <v>0</v>
      </c>
      <c r="BI110" s="8" cm="1">
        <f t="array" ref="BI110">IF(BI$5&lt;=LatestMonthOfActuals,SUMIFS(BI$10:BI$66,PLSections,$G110)-SUM(SUMIFS(PBC_PROFIT_AND_LOSS[AccountBalance],PBC_PROFIT_AND_LOSS[Id],_xlfn._xlws.FILTER(PBC_ACCOUNT_LIST[Id],PBC_ACCOUNT_LIST[Drivers Section]=$G110),PBC_PROFIT_AND_LOSS[Date],BI$5)),0)</f>
        <v>0</v>
      </c>
      <c r="BJ110" s="8" cm="1">
        <f t="array" ref="BJ110">IF(BJ$5&lt;=LatestMonthOfActuals,SUMIFS(BJ$10:BJ$66,PLSections,$G110)-SUM(SUMIFS(PBC_PROFIT_AND_LOSS[AccountBalance],PBC_PROFIT_AND_LOSS[Id],_xlfn._xlws.FILTER(PBC_ACCOUNT_LIST[Id],PBC_ACCOUNT_LIST[Drivers Section]=$G110),PBC_PROFIT_AND_LOSS[Date],BJ$5)),0)</f>
        <v>0</v>
      </c>
      <c r="BK110" s="8" cm="1">
        <f t="array" ref="BK110">IF(BK$5&lt;=LatestMonthOfActuals,SUMIFS(BK$10:BK$66,PLSections,$G110)-SUM(SUMIFS(PBC_PROFIT_AND_LOSS[AccountBalance],PBC_PROFIT_AND_LOSS[Id],_xlfn._xlws.FILTER(PBC_ACCOUNT_LIST[Id],PBC_ACCOUNT_LIST[Drivers Section]=$G110),PBC_PROFIT_AND_LOSS[Date],BK$5)),0)</f>
        <v>0</v>
      </c>
      <c r="BL110" s="8" cm="1">
        <f t="array" ref="BL110">IF(BL$5&lt;=LatestMonthOfActuals,SUMIFS(BL$10:BL$66,PLSections,$G110)-SUM(SUMIFS(PBC_PROFIT_AND_LOSS[AccountBalance],PBC_PROFIT_AND_LOSS[Id],_xlfn._xlws.FILTER(PBC_ACCOUNT_LIST[Id],PBC_ACCOUNT_LIST[Drivers Section]=$G110),PBC_PROFIT_AND_LOSS[Date],BL$5)),0)</f>
        <v>0</v>
      </c>
      <c r="BM110" s="8" cm="1">
        <f t="array" ref="BM110">IF(BM$5&lt;=LatestMonthOfActuals,SUMIFS(BM$10:BM$66,PLSections,$G110)-SUM(SUMIFS(PBC_PROFIT_AND_LOSS[AccountBalance],PBC_PROFIT_AND_LOSS[Id],_xlfn._xlws.FILTER(PBC_ACCOUNT_LIST[Id],PBC_ACCOUNT_LIST[Drivers Section]=$G110),PBC_PROFIT_AND_LOSS[Date],BM$5)),0)</f>
        <v>0</v>
      </c>
      <c r="BN110" s="8" cm="1">
        <f t="array" ref="BN110">IF(BN$5&lt;=LatestMonthOfActuals,SUMIFS(BN$10:BN$66,PLSections,$G110)-SUM(SUMIFS(PBC_PROFIT_AND_LOSS[AccountBalance],PBC_PROFIT_AND_LOSS[Id],_xlfn._xlws.FILTER(PBC_ACCOUNT_LIST[Id],PBC_ACCOUNT_LIST[Drivers Section]=$G110),PBC_PROFIT_AND_LOSS[Date],BN$5)),0)</f>
        <v>0</v>
      </c>
      <c r="BO110" s="8" cm="1">
        <f t="array" ref="BO110">IF(BO$5&lt;=LatestMonthOfActuals,SUMIFS(BO$10:BO$66,PLSections,$G110)-SUM(SUMIFS(PBC_PROFIT_AND_LOSS[AccountBalance],PBC_PROFIT_AND_LOSS[Id],_xlfn._xlws.FILTER(PBC_ACCOUNT_LIST[Id],PBC_ACCOUNT_LIST[Drivers Section]=$G110),PBC_PROFIT_AND_LOSS[Date],BO$5)),0)</f>
        <v>0</v>
      </c>
      <c r="BP110" s="8" cm="1">
        <f t="array" ref="BP110">IF(BP$5&lt;=LatestMonthOfActuals,SUMIFS(BP$10:BP$66,PLSections,$G110)-SUM(SUMIFS(PBC_PROFIT_AND_LOSS[AccountBalance],PBC_PROFIT_AND_LOSS[Id],_xlfn._xlws.FILTER(PBC_ACCOUNT_LIST[Id],PBC_ACCOUNT_LIST[Drivers Section]=$G110),PBC_PROFIT_AND_LOSS[Date],BP$5)),0)</f>
        <v>0</v>
      </c>
      <c r="BQ110" s="8" cm="1">
        <f t="array" ref="BQ110">IF(BQ$5&lt;=LatestMonthOfActuals,SUMIFS(BQ$10:BQ$66,PLSections,$G110)-SUM(SUMIFS(PBC_PROFIT_AND_LOSS[AccountBalance],PBC_PROFIT_AND_LOSS[Id],_xlfn._xlws.FILTER(PBC_ACCOUNT_LIST[Id],PBC_ACCOUNT_LIST[Drivers Section]=$G110),PBC_PROFIT_AND_LOSS[Date],BQ$5)),0)</f>
        <v>0</v>
      </c>
      <c r="BR110" s="8" cm="1">
        <f t="array" ref="BR110">IF(BR$5&lt;=LatestMonthOfActuals,SUMIFS(BR$10:BR$66,PLSections,$G110)-SUM(SUMIFS(PBC_PROFIT_AND_LOSS[AccountBalance],PBC_PROFIT_AND_LOSS[Id],_xlfn._xlws.FILTER(PBC_ACCOUNT_LIST[Id],PBC_ACCOUNT_LIST[Drivers Section]=$G110),PBC_PROFIT_AND_LOSS[Date],BR$5)),0)</f>
        <v>0</v>
      </c>
      <c r="BS110" s="8" cm="1">
        <f t="array" ref="BS110">IF(BS$5&lt;=LatestMonthOfActuals,SUMIFS(BS$10:BS$66,PLSections,$G110)-SUM(SUMIFS(PBC_PROFIT_AND_LOSS[AccountBalance],PBC_PROFIT_AND_LOSS[Id],_xlfn._xlws.FILTER(PBC_ACCOUNT_LIST[Id],PBC_ACCOUNT_LIST[Drivers Section]=$G110),PBC_PROFIT_AND_LOSS[Date],BS$5)),0)</f>
        <v>0</v>
      </c>
    </row>
    <row r="111" spans="2:71" ht="15.6" customHeight="1" outlineLevel="2">
      <c r="B111" s="10" t="s">
        <v>46</v>
      </c>
      <c r="G111" s="10" t="s">
        <v>46</v>
      </c>
      <c r="H111" s="10"/>
      <c r="I111" s="10"/>
      <c r="J111" s="10"/>
      <c r="K111" s="10"/>
      <c r="L111" s="10"/>
      <c r="O111" s="9"/>
      <c r="P111" s="11">
        <f>P65-SUMIFS($AI65:$BS65,$AI$4:$BS$4,"&gt;="&amp;P$4,$AI$5:$BS$5,"&lt;="&amp;P$5)</f>
        <v>0</v>
      </c>
      <c r="Q111" s="11">
        <f>Q65-SUMIFS($AI65:$BS65,$AI$4:$BS$4,"&gt;="&amp;Q$4,$AI$5:$BS$5,"&lt;="&amp;Q$5)</f>
        <v>0</v>
      </c>
      <c r="R111" s="11">
        <f>R65-SUMIFS($AI65:$BS65,$AI$4:$BS$4,"&gt;="&amp;R$4,$AI$5:$BS$5,"&lt;="&amp;R$5)</f>
        <v>0</v>
      </c>
      <c r="S111" s="11"/>
      <c r="T111" s="11"/>
      <c r="U111" s="11">
        <f t="shared" ref="U111:AF111" si="229">U65-SUMIFS($AI65:$BS65,$AI$4:$BS$4,"&gt;="&amp;U$4,$AI$5:$BS$5,"&lt;="&amp;U$5)</f>
        <v>0</v>
      </c>
      <c r="V111" s="11">
        <f t="shared" si="229"/>
        <v>0</v>
      </c>
      <c r="W111" s="11">
        <f t="shared" si="229"/>
        <v>0</v>
      </c>
      <c r="X111" s="11">
        <f t="shared" si="229"/>
        <v>0</v>
      </c>
      <c r="Y111" s="11">
        <f t="shared" si="229"/>
        <v>0</v>
      </c>
      <c r="Z111" s="11">
        <f t="shared" si="229"/>
        <v>0</v>
      </c>
      <c r="AA111" s="11">
        <f t="shared" si="229"/>
        <v>0</v>
      </c>
      <c r="AB111" s="11">
        <f t="shared" si="229"/>
        <v>0</v>
      </c>
      <c r="AC111" s="11">
        <f t="shared" si="229"/>
        <v>0</v>
      </c>
      <c r="AD111" s="11">
        <f t="shared" si="229"/>
        <v>0</v>
      </c>
      <c r="AE111" s="11">
        <f t="shared" si="229"/>
        <v>0</v>
      </c>
      <c r="AF111" s="11">
        <f t="shared" si="229"/>
        <v>0</v>
      </c>
      <c r="AG111" s="11"/>
      <c r="AH111" s="11"/>
      <c r="AI111" s="8" cm="1">
        <f t="array" ref="AI111">IF(AI$5&lt;=LatestMonthOfActuals,SUMIFS(AI$10:AI$66,PLSections,$G111)-SUM(SUMIFS(PBC_PROFIT_AND_LOSS[AccountBalance],PBC_PROFIT_AND_LOSS[Id],_xlfn._xlws.FILTER(PBC_ACCOUNT_LIST[Id],PBC_ACCOUNT_LIST[Drivers Section]=$G111),PBC_PROFIT_AND_LOSS[Date],AI$5)),0)</f>
        <v>0</v>
      </c>
      <c r="AJ111" s="8" cm="1">
        <f t="array" ref="AJ111">IF(AJ$5&lt;=LatestMonthOfActuals,SUMIFS(AJ$10:AJ$66,PLSections,$G111)-SUM(SUMIFS(PBC_PROFIT_AND_LOSS[AccountBalance],PBC_PROFIT_AND_LOSS[Id],_xlfn._xlws.FILTER(PBC_ACCOUNT_LIST[Id],PBC_ACCOUNT_LIST[Drivers Section]=$G111),PBC_PROFIT_AND_LOSS[Date],AJ$5)),0)</f>
        <v>0</v>
      </c>
      <c r="AK111" s="8" cm="1">
        <f t="array" ref="AK111">IF(AK$5&lt;=LatestMonthOfActuals,SUMIFS(AK$10:AK$66,PLSections,$G111)-SUM(SUMIFS(PBC_PROFIT_AND_LOSS[AccountBalance],PBC_PROFIT_AND_LOSS[Id],_xlfn._xlws.FILTER(PBC_ACCOUNT_LIST[Id],PBC_ACCOUNT_LIST[Drivers Section]=$G111),PBC_PROFIT_AND_LOSS[Date],AK$5)),0)</f>
        <v>0</v>
      </c>
      <c r="AL111" s="8" cm="1">
        <f t="array" ref="AL111">IF(AL$5&lt;=LatestMonthOfActuals,SUMIFS(AL$10:AL$66,PLSections,$G111)-SUM(SUMIFS(PBC_PROFIT_AND_LOSS[AccountBalance],PBC_PROFIT_AND_LOSS[Id],_xlfn._xlws.FILTER(PBC_ACCOUNT_LIST[Id],PBC_ACCOUNT_LIST[Drivers Section]=$G111),PBC_PROFIT_AND_LOSS[Date],AL$5)),0)</f>
        <v>0</v>
      </c>
      <c r="AM111" s="8" cm="1">
        <f t="array" ref="AM111">IF(AM$5&lt;=LatestMonthOfActuals,SUMIFS(AM$10:AM$66,PLSections,$G111)-SUM(SUMIFS(PBC_PROFIT_AND_LOSS[AccountBalance],PBC_PROFIT_AND_LOSS[Id],_xlfn._xlws.FILTER(PBC_ACCOUNT_LIST[Id],PBC_ACCOUNT_LIST[Drivers Section]=$G111),PBC_PROFIT_AND_LOSS[Date],AM$5)),0)</f>
        <v>0</v>
      </c>
      <c r="AN111" s="8" cm="1">
        <f t="array" ref="AN111">IF(AN$5&lt;=LatestMonthOfActuals,SUMIFS(AN$10:AN$66,PLSections,$G111)-SUM(SUMIFS(PBC_PROFIT_AND_LOSS[AccountBalance],PBC_PROFIT_AND_LOSS[Id],_xlfn._xlws.FILTER(PBC_ACCOUNT_LIST[Id],PBC_ACCOUNT_LIST[Drivers Section]=$G111),PBC_PROFIT_AND_LOSS[Date],AN$5)),0)</f>
        <v>0</v>
      </c>
      <c r="AO111" s="8" cm="1">
        <f t="array" ref="AO111">IF(AO$5&lt;=LatestMonthOfActuals,SUMIFS(AO$10:AO$66,PLSections,$G111)-SUM(SUMIFS(PBC_PROFIT_AND_LOSS[AccountBalance],PBC_PROFIT_AND_LOSS[Id],_xlfn._xlws.FILTER(PBC_ACCOUNT_LIST[Id],PBC_ACCOUNT_LIST[Drivers Section]=$G111),PBC_PROFIT_AND_LOSS[Date],AO$5)),0)</f>
        <v>0</v>
      </c>
      <c r="AP111" s="8" cm="1">
        <f t="array" ref="AP111">IF(AP$5&lt;=LatestMonthOfActuals,SUMIFS(AP$10:AP$66,PLSections,$G111)-SUM(SUMIFS(PBC_PROFIT_AND_LOSS[AccountBalance],PBC_PROFIT_AND_LOSS[Id],_xlfn._xlws.FILTER(PBC_ACCOUNT_LIST[Id],PBC_ACCOUNT_LIST[Drivers Section]=$G111),PBC_PROFIT_AND_LOSS[Date],AP$5)),0)</f>
        <v>0</v>
      </c>
      <c r="AQ111" s="8" cm="1">
        <f t="array" ref="AQ111">IF(AQ$5&lt;=LatestMonthOfActuals,SUMIFS(AQ$10:AQ$66,PLSections,$G111)-SUM(SUMIFS(PBC_PROFIT_AND_LOSS[AccountBalance],PBC_PROFIT_AND_LOSS[Id],_xlfn._xlws.FILTER(PBC_ACCOUNT_LIST[Id],PBC_ACCOUNT_LIST[Drivers Section]=$G111),PBC_PROFIT_AND_LOSS[Date],AQ$5)),0)</f>
        <v>0</v>
      </c>
      <c r="AR111" s="8" cm="1">
        <f t="array" ref="AR111">IF(AR$5&lt;=LatestMonthOfActuals,SUMIFS(AR$10:AR$66,PLSections,$G111)-SUM(SUMIFS(PBC_PROFIT_AND_LOSS[AccountBalance],PBC_PROFIT_AND_LOSS[Id],_xlfn._xlws.FILTER(PBC_ACCOUNT_LIST[Id],PBC_ACCOUNT_LIST[Drivers Section]=$G111),PBC_PROFIT_AND_LOSS[Date],AR$5)),0)</f>
        <v>0</v>
      </c>
      <c r="AS111" s="8" cm="1">
        <f t="array" ref="AS111">IF(AS$5&lt;=LatestMonthOfActuals,SUMIFS(AS$10:AS$66,PLSections,$G111)-SUM(SUMIFS(PBC_PROFIT_AND_LOSS[AccountBalance],PBC_PROFIT_AND_LOSS[Id],_xlfn._xlws.FILTER(PBC_ACCOUNT_LIST[Id],PBC_ACCOUNT_LIST[Drivers Section]=$G111),PBC_PROFIT_AND_LOSS[Date],AS$5)),0)</f>
        <v>0</v>
      </c>
      <c r="AT111" s="8" cm="1">
        <f t="array" ref="AT111">IF(AT$5&lt;=LatestMonthOfActuals,SUMIFS(AT$10:AT$66,PLSections,$G111)-SUM(SUMIFS(PBC_PROFIT_AND_LOSS[AccountBalance],PBC_PROFIT_AND_LOSS[Id],_xlfn._xlws.FILTER(PBC_ACCOUNT_LIST[Id],PBC_ACCOUNT_LIST[Drivers Section]=$G111),PBC_PROFIT_AND_LOSS[Date],AT$5)),0)</f>
        <v>0</v>
      </c>
      <c r="AU111" s="8" cm="1">
        <f t="array" ref="AU111">IF(AU$5&lt;=LatestMonthOfActuals,SUMIFS(AU$10:AU$66,PLSections,$G111)-SUM(SUMIFS(PBC_PROFIT_AND_LOSS[AccountBalance],PBC_PROFIT_AND_LOSS[Id],_xlfn._xlws.FILTER(PBC_ACCOUNT_LIST[Id],PBC_ACCOUNT_LIST[Drivers Section]=$G111),PBC_PROFIT_AND_LOSS[Date],AU$5)),0)</f>
        <v>0</v>
      </c>
      <c r="AV111" s="8" cm="1">
        <f t="array" ref="AV111">IF(AV$5&lt;=LatestMonthOfActuals,SUMIFS(AV$10:AV$66,PLSections,$G111)-SUM(SUMIFS(PBC_PROFIT_AND_LOSS[AccountBalance],PBC_PROFIT_AND_LOSS[Id],_xlfn._xlws.FILTER(PBC_ACCOUNT_LIST[Id],PBC_ACCOUNT_LIST[Drivers Section]=$G111),PBC_PROFIT_AND_LOSS[Date],AV$5)),0)</f>
        <v>0</v>
      </c>
      <c r="AW111" s="8" cm="1">
        <f t="array" ref="AW111">IF(AW$5&lt;=LatestMonthOfActuals,SUMIFS(AW$10:AW$66,PLSections,$G111)-SUM(SUMIFS(PBC_PROFIT_AND_LOSS[AccountBalance],PBC_PROFIT_AND_LOSS[Id],_xlfn._xlws.FILTER(PBC_ACCOUNT_LIST[Id],PBC_ACCOUNT_LIST[Drivers Section]=$G111),PBC_PROFIT_AND_LOSS[Date],AW$5)),0)</f>
        <v>0</v>
      </c>
      <c r="AX111" s="8" cm="1">
        <f t="array" ref="AX111">IF(AX$5&lt;=LatestMonthOfActuals,SUMIFS(AX$10:AX$66,PLSections,$G111)-SUM(SUMIFS(PBC_PROFIT_AND_LOSS[AccountBalance],PBC_PROFIT_AND_LOSS[Id],_xlfn._xlws.FILTER(PBC_ACCOUNT_LIST[Id],PBC_ACCOUNT_LIST[Drivers Section]=$G111),PBC_PROFIT_AND_LOSS[Date],AX$5)),0)</f>
        <v>0</v>
      </c>
      <c r="AY111" s="8" cm="1">
        <f t="array" ref="AY111">IF(AY$5&lt;=LatestMonthOfActuals,SUMIFS(AY$10:AY$66,PLSections,$G111)-SUM(SUMIFS(PBC_PROFIT_AND_LOSS[AccountBalance],PBC_PROFIT_AND_LOSS[Id],_xlfn._xlws.FILTER(PBC_ACCOUNT_LIST[Id],PBC_ACCOUNT_LIST[Drivers Section]=$G111),PBC_PROFIT_AND_LOSS[Date],AY$5)),0)</f>
        <v>0</v>
      </c>
      <c r="AZ111" s="8" cm="1">
        <f t="array" ref="AZ111">IF(AZ$5&lt;=LatestMonthOfActuals,SUMIFS(AZ$10:AZ$66,PLSections,$G111)-SUM(SUMIFS(PBC_PROFIT_AND_LOSS[AccountBalance],PBC_PROFIT_AND_LOSS[Id],_xlfn._xlws.FILTER(PBC_ACCOUNT_LIST[Id],PBC_ACCOUNT_LIST[Drivers Section]=$G111),PBC_PROFIT_AND_LOSS[Date],AZ$5)),0)</f>
        <v>0</v>
      </c>
      <c r="BA111" s="8" cm="1">
        <f t="array" ref="BA111">IF(BA$5&lt;=LatestMonthOfActuals,SUMIFS(BA$10:BA$66,PLSections,$G111)-SUM(SUMIFS(PBC_PROFIT_AND_LOSS[AccountBalance],PBC_PROFIT_AND_LOSS[Id],_xlfn._xlws.FILTER(PBC_ACCOUNT_LIST[Id],PBC_ACCOUNT_LIST[Drivers Section]=$G111),PBC_PROFIT_AND_LOSS[Date],BA$5)),0)</f>
        <v>0</v>
      </c>
      <c r="BB111" s="8" cm="1">
        <f t="array" ref="BB111">IF(BB$5&lt;=LatestMonthOfActuals,SUMIFS(BB$10:BB$66,PLSections,$G111)-SUM(SUMIFS(PBC_PROFIT_AND_LOSS[AccountBalance],PBC_PROFIT_AND_LOSS[Id],_xlfn._xlws.FILTER(PBC_ACCOUNT_LIST[Id],PBC_ACCOUNT_LIST[Drivers Section]=$G111),PBC_PROFIT_AND_LOSS[Date],BB$5)),0)</f>
        <v>0</v>
      </c>
      <c r="BC111" s="8" cm="1">
        <f t="array" ref="BC111">IF(BC$5&lt;=LatestMonthOfActuals,SUMIFS(BC$10:BC$66,PLSections,$G111)-SUM(SUMIFS(PBC_PROFIT_AND_LOSS[AccountBalance],PBC_PROFIT_AND_LOSS[Id],_xlfn._xlws.FILTER(PBC_ACCOUNT_LIST[Id],PBC_ACCOUNT_LIST[Drivers Section]=$G111),PBC_PROFIT_AND_LOSS[Date],BC$5)),0)</f>
        <v>0</v>
      </c>
      <c r="BD111" s="8" cm="1">
        <f t="array" ref="BD111">IF(BD$5&lt;=LatestMonthOfActuals,SUMIFS(BD$10:BD$66,PLSections,$G111)-SUM(SUMIFS(PBC_PROFIT_AND_LOSS[AccountBalance],PBC_PROFIT_AND_LOSS[Id],_xlfn._xlws.FILTER(PBC_ACCOUNT_LIST[Id],PBC_ACCOUNT_LIST[Drivers Section]=$G111),PBC_PROFIT_AND_LOSS[Date],BD$5)),0)</f>
        <v>0</v>
      </c>
      <c r="BE111" s="8" cm="1">
        <f t="array" ref="BE111">IF(BE$5&lt;=LatestMonthOfActuals,SUMIFS(BE$10:BE$66,PLSections,$G111)-SUM(SUMIFS(PBC_PROFIT_AND_LOSS[AccountBalance],PBC_PROFIT_AND_LOSS[Id],_xlfn._xlws.FILTER(PBC_ACCOUNT_LIST[Id],PBC_ACCOUNT_LIST[Drivers Section]=$G111),PBC_PROFIT_AND_LOSS[Date],BE$5)),0)</f>
        <v>0</v>
      </c>
      <c r="BF111" s="8" cm="1">
        <f t="array" ref="BF111">IF(BF$5&lt;=LatestMonthOfActuals,SUMIFS(BF$10:BF$66,PLSections,$G111)-SUM(SUMIFS(PBC_PROFIT_AND_LOSS[AccountBalance],PBC_PROFIT_AND_LOSS[Id],_xlfn._xlws.FILTER(PBC_ACCOUNT_LIST[Id],PBC_ACCOUNT_LIST[Drivers Section]=$G111),PBC_PROFIT_AND_LOSS[Date],BF$5)),0)</f>
        <v>0</v>
      </c>
      <c r="BG111" s="8" cm="1">
        <f t="array" ref="BG111">IF(BG$5&lt;=LatestMonthOfActuals,SUMIFS(BG$10:BG$66,PLSections,$G111)-SUM(SUMIFS(PBC_PROFIT_AND_LOSS[AccountBalance],PBC_PROFIT_AND_LOSS[Id],_xlfn._xlws.FILTER(PBC_ACCOUNT_LIST[Id],PBC_ACCOUNT_LIST[Drivers Section]=$G111),PBC_PROFIT_AND_LOSS[Date],BG$5)),0)</f>
        <v>0</v>
      </c>
      <c r="BH111" s="8" cm="1">
        <f t="array" ref="BH111">IF(BH$5&lt;=LatestMonthOfActuals,SUMIFS(BH$10:BH$66,PLSections,$G111)-SUM(SUMIFS(PBC_PROFIT_AND_LOSS[AccountBalance],PBC_PROFIT_AND_LOSS[Id],_xlfn._xlws.FILTER(PBC_ACCOUNT_LIST[Id],PBC_ACCOUNT_LIST[Drivers Section]=$G111),PBC_PROFIT_AND_LOSS[Date],BH$5)),0)</f>
        <v>0</v>
      </c>
      <c r="BI111" s="8" cm="1">
        <f t="array" ref="BI111">IF(BI$5&lt;=LatestMonthOfActuals,SUMIFS(BI$10:BI$66,PLSections,$G111)-SUM(SUMIFS(PBC_PROFIT_AND_LOSS[AccountBalance],PBC_PROFIT_AND_LOSS[Id],_xlfn._xlws.FILTER(PBC_ACCOUNT_LIST[Id],PBC_ACCOUNT_LIST[Drivers Section]=$G111),PBC_PROFIT_AND_LOSS[Date],BI$5)),0)</f>
        <v>0</v>
      </c>
      <c r="BJ111" s="8" cm="1">
        <f t="array" ref="BJ111">IF(BJ$5&lt;=LatestMonthOfActuals,SUMIFS(BJ$10:BJ$66,PLSections,$G111)-SUM(SUMIFS(PBC_PROFIT_AND_LOSS[AccountBalance],PBC_PROFIT_AND_LOSS[Id],_xlfn._xlws.FILTER(PBC_ACCOUNT_LIST[Id],PBC_ACCOUNT_LIST[Drivers Section]=$G111),PBC_PROFIT_AND_LOSS[Date],BJ$5)),0)</f>
        <v>0</v>
      </c>
      <c r="BK111" s="8" cm="1">
        <f t="array" ref="BK111">IF(BK$5&lt;=LatestMonthOfActuals,SUMIFS(BK$10:BK$66,PLSections,$G111)-SUM(SUMIFS(PBC_PROFIT_AND_LOSS[AccountBalance],PBC_PROFIT_AND_LOSS[Id],_xlfn._xlws.FILTER(PBC_ACCOUNT_LIST[Id],PBC_ACCOUNT_LIST[Drivers Section]=$G111),PBC_PROFIT_AND_LOSS[Date],BK$5)),0)</f>
        <v>0</v>
      </c>
      <c r="BL111" s="8" cm="1">
        <f t="array" ref="BL111">IF(BL$5&lt;=LatestMonthOfActuals,SUMIFS(BL$10:BL$66,PLSections,$G111)-SUM(SUMIFS(PBC_PROFIT_AND_LOSS[AccountBalance],PBC_PROFIT_AND_LOSS[Id],_xlfn._xlws.FILTER(PBC_ACCOUNT_LIST[Id],PBC_ACCOUNT_LIST[Drivers Section]=$G111),PBC_PROFIT_AND_LOSS[Date],BL$5)),0)</f>
        <v>0</v>
      </c>
      <c r="BM111" s="8" cm="1">
        <f t="array" ref="BM111">IF(BM$5&lt;=LatestMonthOfActuals,SUMIFS(BM$10:BM$66,PLSections,$G111)-SUM(SUMIFS(PBC_PROFIT_AND_LOSS[AccountBalance],PBC_PROFIT_AND_LOSS[Id],_xlfn._xlws.FILTER(PBC_ACCOUNT_LIST[Id],PBC_ACCOUNT_LIST[Drivers Section]=$G111),PBC_PROFIT_AND_LOSS[Date],BM$5)),0)</f>
        <v>0</v>
      </c>
      <c r="BN111" s="8" cm="1">
        <f t="array" ref="BN111">IF(BN$5&lt;=LatestMonthOfActuals,SUMIFS(BN$10:BN$66,PLSections,$G111)-SUM(SUMIFS(PBC_PROFIT_AND_LOSS[AccountBalance],PBC_PROFIT_AND_LOSS[Id],_xlfn._xlws.FILTER(PBC_ACCOUNT_LIST[Id],PBC_ACCOUNT_LIST[Drivers Section]=$G111),PBC_PROFIT_AND_LOSS[Date],BN$5)),0)</f>
        <v>0</v>
      </c>
      <c r="BO111" s="8" cm="1">
        <f t="array" ref="BO111">IF(BO$5&lt;=LatestMonthOfActuals,SUMIFS(BO$10:BO$66,PLSections,$G111)-SUM(SUMIFS(PBC_PROFIT_AND_LOSS[AccountBalance],PBC_PROFIT_AND_LOSS[Id],_xlfn._xlws.FILTER(PBC_ACCOUNT_LIST[Id],PBC_ACCOUNT_LIST[Drivers Section]=$G111),PBC_PROFIT_AND_LOSS[Date],BO$5)),0)</f>
        <v>0</v>
      </c>
      <c r="BP111" s="8" cm="1">
        <f t="array" ref="BP111">IF(BP$5&lt;=LatestMonthOfActuals,SUMIFS(BP$10:BP$66,PLSections,$G111)-SUM(SUMIFS(PBC_PROFIT_AND_LOSS[AccountBalance],PBC_PROFIT_AND_LOSS[Id],_xlfn._xlws.FILTER(PBC_ACCOUNT_LIST[Id],PBC_ACCOUNT_LIST[Drivers Section]=$G111),PBC_PROFIT_AND_LOSS[Date],BP$5)),0)</f>
        <v>0</v>
      </c>
      <c r="BQ111" s="8" cm="1">
        <f t="array" ref="BQ111">IF(BQ$5&lt;=LatestMonthOfActuals,SUMIFS(BQ$10:BQ$66,PLSections,$G111)-SUM(SUMIFS(PBC_PROFIT_AND_LOSS[AccountBalance],PBC_PROFIT_AND_LOSS[Id],_xlfn._xlws.FILTER(PBC_ACCOUNT_LIST[Id],PBC_ACCOUNT_LIST[Drivers Section]=$G111),PBC_PROFIT_AND_LOSS[Date],BQ$5)),0)</f>
        <v>0</v>
      </c>
      <c r="BR111" s="8" cm="1">
        <f t="array" ref="BR111">IF(BR$5&lt;=LatestMonthOfActuals,SUMIFS(BR$10:BR$66,PLSections,$G111)-SUM(SUMIFS(PBC_PROFIT_AND_LOSS[AccountBalance],PBC_PROFIT_AND_LOSS[Id],_xlfn._xlws.FILTER(PBC_ACCOUNT_LIST[Id],PBC_ACCOUNT_LIST[Drivers Section]=$G111),PBC_PROFIT_AND_LOSS[Date],BR$5)),0)</f>
        <v>0</v>
      </c>
      <c r="BS111" s="8" cm="1">
        <f t="array" ref="BS111">IF(BS$5&lt;=LatestMonthOfActuals,SUMIFS(BS$10:BS$66,PLSections,$G111)-SUM(SUMIFS(PBC_PROFIT_AND_LOSS[AccountBalance],PBC_PROFIT_AND_LOSS[Id],_xlfn._xlws.FILTER(PBC_ACCOUNT_LIST[Id],PBC_ACCOUNT_LIST[Drivers Section]=$G111),PBC_PROFIT_AND_LOSS[Date],BS$5)),0)</f>
        <v>0</v>
      </c>
    </row>
    <row r="112" spans="2:71" ht="15.6" customHeight="1" outlineLevel="2">
      <c r="B112" s="10" t="s">
        <v>49</v>
      </c>
      <c r="G112" s="10" t="s">
        <v>49</v>
      </c>
      <c r="H112" s="10"/>
      <c r="I112" s="10"/>
      <c r="J112" s="10"/>
      <c r="K112" s="10"/>
      <c r="L112" s="10"/>
      <c r="O112" s="9"/>
      <c r="P112" s="9"/>
      <c r="Q112" s="9"/>
      <c r="R112" s="9"/>
      <c r="S112" s="9"/>
      <c r="T112" s="9"/>
      <c r="AH112" s="9"/>
      <c r="AI112" s="8" cm="1">
        <f t="array" ref="AI112">IF(AI$5&lt;=LatestMonthOfActuals,SUMIFS(AI$68:AI$103,BSSections,$G112)-SUM(SUMIFS(PBC_BALANCE_SHEET[AccountBalance],PBC_BALANCE_SHEET[Id],_xlfn._xlws.FILTER(PBC_ACCOUNT_LIST[Id],PBC_ACCOUNT_LIST[Drivers Section]=$G112),PBC_BALANCE_SHEET[Date],AI$5)),0)</f>
        <v>0</v>
      </c>
      <c r="AJ112" s="8" cm="1">
        <f t="array" ref="AJ112">IF(AJ$5&lt;=LatestMonthOfActuals,SUMIFS(AJ$68:AJ$103,BSSections,$G112)-SUM(SUMIFS(PBC_BALANCE_SHEET[AccountBalance],PBC_BALANCE_SHEET[Id],_xlfn._xlws.FILTER(PBC_ACCOUNT_LIST[Id],PBC_ACCOUNT_LIST[Drivers Section]=$G112),PBC_BALANCE_SHEET[Date],AJ$5)),0)</f>
        <v>0</v>
      </c>
      <c r="AK112" s="8" cm="1">
        <f t="array" ref="AK112">IF(AK$5&lt;=LatestMonthOfActuals,SUMIFS(AK$68:AK$103,BSSections,$G112)-SUM(SUMIFS(PBC_BALANCE_SHEET[AccountBalance],PBC_BALANCE_SHEET[Id],_xlfn._xlws.FILTER(PBC_ACCOUNT_LIST[Id],PBC_ACCOUNT_LIST[Drivers Section]=$G112),PBC_BALANCE_SHEET[Date],AK$5)),0)</f>
        <v>0</v>
      </c>
      <c r="AL112" s="8" cm="1">
        <f t="array" ref="AL112">IF(AL$5&lt;=LatestMonthOfActuals,SUMIFS(AL$68:AL$103,BSSections,$G112)-SUM(SUMIFS(PBC_BALANCE_SHEET[AccountBalance],PBC_BALANCE_SHEET[Id],_xlfn._xlws.FILTER(PBC_ACCOUNT_LIST[Id],PBC_ACCOUNT_LIST[Drivers Section]=$G112),PBC_BALANCE_SHEET[Date],AL$5)),0)</f>
        <v>0</v>
      </c>
      <c r="AM112" s="8" cm="1">
        <f t="array" ref="AM112">IF(AM$5&lt;=LatestMonthOfActuals,SUMIFS(AM$68:AM$103,BSSections,$G112)-SUM(SUMIFS(PBC_BALANCE_SHEET[AccountBalance],PBC_BALANCE_SHEET[Id],_xlfn._xlws.FILTER(PBC_ACCOUNT_LIST[Id],PBC_ACCOUNT_LIST[Drivers Section]=$G112),PBC_BALANCE_SHEET[Date],AM$5)),0)</f>
        <v>0</v>
      </c>
      <c r="AN112" s="8" cm="1">
        <f t="array" ref="AN112">IF(AN$5&lt;=LatestMonthOfActuals,SUMIFS(AN$68:AN$103,BSSections,$G112)-SUM(SUMIFS(PBC_BALANCE_SHEET[AccountBalance],PBC_BALANCE_SHEET[Id],_xlfn._xlws.FILTER(PBC_ACCOUNT_LIST[Id],PBC_ACCOUNT_LIST[Drivers Section]=$G112),PBC_BALANCE_SHEET[Date],AN$5)),0)</f>
        <v>0</v>
      </c>
      <c r="AO112" s="8" cm="1">
        <f t="array" ref="AO112">IF(AO$5&lt;=LatestMonthOfActuals,SUMIFS(AO$68:AO$103,BSSections,$G112)-SUM(SUMIFS(PBC_BALANCE_SHEET[AccountBalance],PBC_BALANCE_SHEET[Id],_xlfn._xlws.FILTER(PBC_ACCOUNT_LIST[Id],PBC_ACCOUNT_LIST[Drivers Section]=$G112),PBC_BALANCE_SHEET[Date],AO$5)),0)</f>
        <v>0</v>
      </c>
      <c r="AP112" s="8" cm="1">
        <f t="array" ref="AP112">IF(AP$5&lt;=LatestMonthOfActuals,SUMIFS(AP$68:AP$103,BSSections,$G112)-SUM(SUMIFS(PBC_BALANCE_SHEET[AccountBalance],PBC_BALANCE_SHEET[Id],_xlfn._xlws.FILTER(PBC_ACCOUNT_LIST[Id],PBC_ACCOUNT_LIST[Drivers Section]=$G112),PBC_BALANCE_SHEET[Date],AP$5)),0)</f>
        <v>0</v>
      </c>
      <c r="AQ112" s="8" cm="1">
        <f t="array" ref="AQ112">IF(AQ$5&lt;=LatestMonthOfActuals,SUMIFS(AQ$68:AQ$103,BSSections,$G112)-SUM(SUMIFS(PBC_BALANCE_SHEET[AccountBalance],PBC_BALANCE_SHEET[Id],_xlfn._xlws.FILTER(PBC_ACCOUNT_LIST[Id],PBC_ACCOUNT_LIST[Drivers Section]=$G112),PBC_BALANCE_SHEET[Date],AQ$5)),0)</f>
        <v>0</v>
      </c>
      <c r="AR112" s="8" cm="1">
        <f t="array" ref="AR112">IF(AR$5&lt;=LatestMonthOfActuals,SUMIFS(AR$68:AR$103,BSSections,$G112)-SUM(SUMIFS(PBC_BALANCE_SHEET[AccountBalance],PBC_BALANCE_SHEET[Id],_xlfn._xlws.FILTER(PBC_ACCOUNT_LIST[Id],PBC_ACCOUNT_LIST[Drivers Section]=$G112),PBC_BALANCE_SHEET[Date],AR$5)),0)</f>
        <v>0</v>
      </c>
      <c r="AS112" s="8" cm="1">
        <f t="array" ref="AS112">IF(AS$5&lt;=LatestMonthOfActuals,SUMIFS(AS$68:AS$103,BSSections,$G112)-SUM(SUMIFS(PBC_BALANCE_SHEET[AccountBalance],PBC_BALANCE_SHEET[Id],_xlfn._xlws.FILTER(PBC_ACCOUNT_LIST[Id],PBC_ACCOUNT_LIST[Drivers Section]=$G112),PBC_BALANCE_SHEET[Date],AS$5)),0)</f>
        <v>0</v>
      </c>
      <c r="AT112" s="8" cm="1">
        <f t="array" ref="AT112">IF(AT$5&lt;=LatestMonthOfActuals,SUMIFS(AT$68:AT$103,BSSections,$G112)-SUM(SUMIFS(PBC_BALANCE_SHEET[AccountBalance],PBC_BALANCE_SHEET[Id],_xlfn._xlws.FILTER(PBC_ACCOUNT_LIST[Id],PBC_ACCOUNT_LIST[Drivers Section]=$G112),PBC_BALANCE_SHEET[Date],AT$5)),0)</f>
        <v>0</v>
      </c>
      <c r="AU112" s="8" cm="1">
        <f t="array" ref="AU112">IF(AU$5&lt;=LatestMonthOfActuals,SUMIFS(AU$68:AU$103,BSSections,$G112)-SUM(SUMIFS(PBC_BALANCE_SHEET[AccountBalance],PBC_BALANCE_SHEET[Id],_xlfn._xlws.FILTER(PBC_ACCOUNT_LIST[Id],PBC_ACCOUNT_LIST[Drivers Section]=$G112),PBC_BALANCE_SHEET[Date],AU$5)),0)</f>
        <v>0</v>
      </c>
      <c r="AV112" s="8" cm="1">
        <f t="array" ref="AV112">IF(AV$5&lt;=LatestMonthOfActuals,SUMIFS(AV$68:AV$103,BSSections,$G112)-SUM(SUMIFS(PBC_BALANCE_SHEET[AccountBalance],PBC_BALANCE_SHEET[Id],_xlfn._xlws.FILTER(PBC_ACCOUNT_LIST[Id],PBC_ACCOUNT_LIST[Drivers Section]=$G112),PBC_BALANCE_SHEET[Date],AV$5)),0)</f>
        <v>0</v>
      </c>
      <c r="AW112" s="8" cm="1">
        <f t="array" ref="AW112">IF(AW$5&lt;=LatestMonthOfActuals,SUMIFS(AW$68:AW$103,BSSections,$G112)-SUM(SUMIFS(PBC_BALANCE_SHEET[AccountBalance],PBC_BALANCE_SHEET[Id],_xlfn._xlws.FILTER(PBC_ACCOUNT_LIST[Id],PBC_ACCOUNT_LIST[Drivers Section]=$G112),PBC_BALANCE_SHEET[Date],AW$5)),0)</f>
        <v>-4.6566128730773926E-10</v>
      </c>
      <c r="AX112" s="8" cm="1">
        <f t="array" ref="AX112">IF(AX$5&lt;=LatestMonthOfActuals,SUMIFS(AX$68:AX$103,BSSections,$G112)-SUM(SUMIFS(PBC_BALANCE_SHEET[AccountBalance],PBC_BALANCE_SHEET[Id],_xlfn._xlws.FILTER(PBC_ACCOUNT_LIST[Id],PBC_ACCOUNT_LIST[Drivers Section]=$G112),PBC_BALANCE_SHEET[Date],AX$5)),0)</f>
        <v>0</v>
      </c>
      <c r="AY112" s="8" cm="1">
        <f t="array" ref="AY112">IF(AY$5&lt;=LatestMonthOfActuals,SUMIFS(AY$68:AY$103,BSSections,$G112)-SUM(SUMIFS(PBC_BALANCE_SHEET[AccountBalance],PBC_BALANCE_SHEET[Id],_xlfn._xlws.FILTER(PBC_ACCOUNT_LIST[Id],PBC_ACCOUNT_LIST[Drivers Section]=$G112),PBC_BALANCE_SHEET[Date],AY$5)),0)</f>
        <v>4.6566128730773926E-10</v>
      </c>
      <c r="AZ112" s="8" cm="1">
        <f t="array" ref="AZ112">IF(AZ$5&lt;=LatestMonthOfActuals,SUMIFS(AZ$68:AZ$103,BSSections,$G112)-SUM(SUMIFS(PBC_BALANCE_SHEET[AccountBalance],PBC_BALANCE_SHEET[Id],_xlfn._xlws.FILTER(PBC_ACCOUNT_LIST[Id],PBC_ACCOUNT_LIST[Drivers Section]=$G112),PBC_BALANCE_SHEET[Date],AZ$5)),0)</f>
        <v>0</v>
      </c>
      <c r="BA112" s="8" cm="1">
        <f t="array" ref="BA112">IF(BA$5&lt;=LatestMonthOfActuals,SUMIFS(BA$68:BA$103,BSSections,$G112)-SUM(SUMIFS(PBC_BALANCE_SHEET[AccountBalance],PBC_BALANCE_SHEET[Id],_xlfn._xlws.FILTER(PBC_ACCOUNT_LIST[Id],PBC_ACCOUNT_LIST[Drivers Section]=$G112),PBC_BALANCE_SHEET[Date],BA$5)),0)</f>
        <v>2.3283064365386963E-10</v>
      </c>
      <c r="BB112" s="8" cm="1">
        <f t="array" ref="BB112">IF(BB$5&lt;=LatestMonthOfActuals,SUMIFS(BB$68:BB$103,BSSections,$G112)-SUM(SUMIFS(PBC_BALANCE_SHEET[AccountBalance],PBC_BALANCE_SHEET[Id],_xlfn._xlws.FILTER(PBC_ACCOUNT_LIST[Id],PBC_ACCOUNT_LIST[Drivers Section]=$G112),PBC_BALANCE_SHEET[Date],BB$5)),0)</f>
        <v>0</v>
      </c>
      <c r="BC112" s="8" cm="1">
        <f t="array" ref="BC112">IF(BC$5&lt;=LatestMonthOfActuals,SUMIFS(BC$68:BC$103,BSSections,$G112)-SUM(SUMIFS(PBC_BALANCE_SHEET[AccountBalance],PBC_BALANCE_SHEET[Id],_xlfn._xlws.FILTER(PBC_ACCOUNT_LIST[Id],PBC_ACCOUNT_LIST[Drivers Section]=$G112),PBC_BALANCE_SHEET[Date],BC$5)),0)</f>
        <v>0</v>
      </c>
      <c r="BD112" s="8" cm="1">
        <f t="array" ref="BD112">IF(BD$5&lt;=LatestMonthOfActuals,SUMIFS(BD$68:BD$103,BSSections,$G112)-SUM(SUMIFS(PBC_BALANCE_SHEET[AccountBalance],PBC_BALANCE_SHEET[Id],_xlfn._xlws.FILTER(PBC_ACCOUNT_LIST[Id],PBC_ACCOUNT_LIST[Drivers Section]=$G112),PBC_BALANCE_SHEET[Date],BD$5)),0)</f>
        <v>2.3283064365386963E-10</v>
      </c>
      <c r="BE112" s="8" cm="1">
        <f t="array" ref="BE112">IF(BE$5&lt;=LatestMonthOfActuals,SUMIFS(BE$68:BE$103,BSSections,$G112)-SUM(SUMIFS(PBC_BALANCE_SHEET[AccountBalance],PBC_BALANCE_SHEET[Id],_xlfn._xlws.FILTER(PBC_ACCOUNT_LIST[Id],PBC_ACCOUNT_LIST[Drivers Section]=$G112),PBC_BALANCE_SHEET[Date],BE$5)),0)</f>
        <v>0</v>
      </c>
      <c r="BF112" s="8" cm="1">
        <f t="array" ref="BF112">IF(BF$5&lt;=LatestMonthOfActuals,SUMIFS(BF$68:BF$103,BSSections,$G112)-SUM(SUMIFS(PBC_BALANCE_SHEET[AccountBalance],PBC_BALANCE_SHEET[Id],_xlfn._xlws.FILTER(PBC_ACCOUNT_LIST[Id],PBC_ACCOUNT_LIST[Drivers Section]=$G112),PBC_BALANCE_SHEET[Date],BF$5)),0)</f>
        <v>0</v>
      </c>
      <c r="BG112" s="8" cm="1">
        <f t="array" ref="BG112">IF(BG$5&lt;=LatestMonthOfActuals,SUMIFS(BG$68:BG$103,BSSections,$G112)-SUM(SUMIFS(PBC_BALANCE_SHEET[AccountBalance],PBC_BALANCE_SHEET[Id],_xlfn._xlws.FILTER(PBC_ACCOUNT_LIST[Id],PBC_ACCOUNT_LIST[Drivers Section]=$G112),PBC_BALANCE_SHEET[Date],BG$5)),0)</f>
        <v>0</v>
      </c>
      <c r="BH112" s="8" cm="1">
        <f t="array" ref="BH112">IF(BH$5&lt;=LatestMonthOfActuals,SUMIFS(BH$68:BH$103,BSSections,$G112)-SUM(SUMIFS(PBC_BALANCE_SHEET[AccountBalance],PBC_BALANCE_SHEET[Id],_xlfn._xlws.FILTER(PBC_ACCOUNT_LIST[Id],PBC_ACCOUNT_LIST[Drivers Section]=$G112),PBC_BALANCE_SHEET[Date],BH$5)),0)</f>
        <v>0</v>
      </c>
      <c r="BI112" s="8" cm="1">
        <f t="array" ref="BI112">IF(BI$5&lt;=LatestMonthOfActuals,SUMIFS(BI$68:BI$103,BSSections,$G112)-SUM(SUMIFS(PBC_BALANCE_SHEET[AccountBalance],PBC_BALANCE_SHEET[Id],_xlfn._xlws.FILTER(PBC_ACCOUNT_LIST[Id],PBC_ACCOUNT_LIST[Drivers Section]=$G112),PBC_BALANCE_SHEET[Date],BI$5)),0)</f>
        <v>0</v>
      </c>
      <c r="BJ112" s="8" cm="1">
        <f t="array" ref="BJ112">IF(BJ$5&lt;=LatestMonthOfActuals,SUMIFS(BJ$68:BJ$103,BSSections,$G112)-SUM(SUMIFS(PBC_BALANCE_SHEET[AccountBalance],PBC_BALANCE_SHEET[Id],_xlfn._xlws.FILTER(PBC_ACCOUNT_LIST[Id],PBC_ACCOUNT_LIST[Drivers Section]=$G112),PBC_BALANCE_SHEET[Date],BJ$5)),0)</f>
        <v>0</v>
      </c>
      <c r="BK112" s="8" cm="1">
        <f t="array" ref="BK112">IF(BK$5&lt;=LatestMonthOfActuals,SUMIFS(BK$68:BK$103,BSSections,$G112)-SUM(SUMIFS(PBC_BALANCE_SHEET[AccountBalance],PBC_BALANCE_SHEET[Id],_xlfn._xlws.FILTER(PBC_ACCOUNT_LIST[Id],PBC_ACCOUNT_LIST[Drivers Section]=$G112),PBC_BALANCE_SHEET[Date],BK$5)),0)</f>
        <v>0</v>
      </c>
      <c r="BL112" s="8" cm="1">
        <f t="array" ref="BL112">IF(BL$5&lt;=LatestMonthOfActuals,SUMIFS(BL$68:BL$103,BSSections,$G112)-SUM(SUMIFS(PBC_BALANCE_SHEET[AccountBalance],PBC_BALANCE_SHEET[Id],_xlfn._xlws.FILTER(PBC_ACCOUNT_LIST[Id],PBC_ACCOUNT_LIST[Drivers Section]=$G112),PBC_BALANCE_SHEET[Date],BL$5)),0)</f>
        <v>0</v>
      </c>
      <c r="BM112" s="8" cm="1">
        <f t="array" ref="BM112">IF(BM$5&lt;=LatestMonthOfActuals,SUMIFS(BM$68:BM$103,BSSections,$G112)-SUM(SUMIFS(PBC_BALANCE_SHEET[AccountBalance],PBC_BALANCE_SHEET[Id],_xlfn._xlws.FILTER(PBC_ACCOUNT_LIST[Id],PBC_ACCOUNT_LIST[Drivers Section]=$G112),PBC_BALANCE_SHEET[Date],BM$5)),0)</f>
        <v>0</v>
      </c>
      <c r="BN112" s="8" cm="1">
        <f t="array" ref="BN112">IF(BN$5&lt;=LatestMonthOfActuals,SUMIFS(BN$68:BN$103,BSSections,$G112)-SUM(SUMIFS(PBC_BALANCE_SHEET[AccountBalance],PBC_BALANCE_SHEET[Id],_xlfn._xlws.FILTER(PBC_ACCOUNT_LIST[Id],PBC_ACCOUNT_LIST[Drivers Section]=$G112),PBC_BALANCE_SHEET[Date],BN$5)),0)</f>
        <v>0</v>
      </c>
      <c r="BO112" s="8" cm="1">
        <f t="array" ref="BO112">IF(BO$5&lt;=LatestMonthOfActuals,SUMIFS(BO$68:BO$103,BSSections,$G112)-SUM(SUMIFS(PBC_BALANCE_SHEET[AccountBalance],PBC_BALANCE_SHEET[Id],_xlfn._xlws.FILTER(PBC_ACCOUNT_LIST[Id],PBC_ACCOUNT_LIST[Drivers Section]=$G112),PBC_BALANCE_SHEET[Date],BO$5)),0)</f>
        <v>0</v>
      </c>
      <c r="BP112" s="8" cm="1">
        <f t="array" ref="BP112">IF(BP$5&lt;=LatestMonthOfActuals,SUMIFS(BP$68:BP$103,BSSections,$G112)-SUM(SUMIFS(PBC_BALANCE_SHEET[AccountBalance],PBC_BALANCE_SHEET[Id],_xlfn._xlws.FILTER(PBC_ACCOUNT_LIST[Id],PBC_ACCOUNT_LIST[Drivers Section]=$G112),PBC_BALANCE_SHEET[Date],BP$5)),0)</f>
        <v>0</v>
      </c>
      <c r="BQ112" s="8" cm="1">
        <f t="array" ref="BQ112">IF(BQ$5&lt;=LatestMonthOfActuals,SUMIFS(BQ$68:BQ$103,BSSections,$G112)-SUM(SUMIFS(PBC_BALANCE_SHEET[AccountBalance],PBC_BALANCE_SHEET[Id],_xlfn._xlws.FILTER(PBC_ACCOUNT_LIST[Id],PBC_ACCOUNT_LIST[Drivers Section]=$G112),PBC_BALANCE_SHEET[Date],BQ$5)),0)</f>
        <v>0</v>
      </c>
      <c r="BR112" s="8" cm="1">
        <f t="array" ref="BR112">IF(BR$5&lt;=LatestMonthOfActuals,SUMIFS(BR$68:BR$103,BSSections,$G112)-SUM(SUMIFS(PBC_BALANCE_SHEET[AccountBalance],PBC_BALANCE_SHEET[Id],_xlfn._xlws.FILTER(PBC_ACCOUNT_LIST[Id],PBC_ACCOUNT_LIST[Drivers Section]=$G112),PBC_BALANCE_SHEET[Date],BR$5)),0)</f>
        <v>0</v>
      </c>
      <c r="BS112" s="8" cm="1">
        <f t="array" ref="BS112">IF(BS$5&lt;=LatestMonthOfActuals,SUMIFS(BS$68:BS$103,BSSections,$G112)-SUM(SUMIFS(PBC_BALANCE_SHEET[AccountBalance],PBC_BALANCE_SHEET[Id],_xlfn._xlws.FILTER(PBC_ACCOUNT_LIST[Id],PBC_ACCOUNT_LIST[Drivers Section]=$G112),PBC_BALANCE_SHEET[Date],BS$5)),0)</f>
        <v>0</v>
      </c>
    </row>
    <row r="113" spans="2:71" ht="15.6" customHeight="1" outlineLevel="2">
      <c r="B113" s="10" t="s">
        <v>56</v>
      </c>
      <c r="G113" s="10" t="s">
        <v>56</v>
      </c>
      <c r="H113" s="10"/>
      <c r="I113" s="10"/>
      <c r="J113" s="10"/>
      <c r="K113" s="10"/>
      <c r="L113" s="10"/>
      <c r="O113" s="9"/>
      <c r="P113" s="9"/>
      <c r="Q113" s="9"/>
      <c r="R113" s="9"/>
      <c r="S113" s="9"/>
      <c r="T113" s="9"/>
      <c r="AH113" s="9"/>
      <c r="AI113" s="8" cm="1">
        <f t="array" ref="AI113">IF(AI$5&lt;=LatestMonthOfActuals,SUMIFS(AI$68:AI$103,BSSections,$G113)-SUM(SUMIFS(PBC_BALANCE_SHEET[AccountBalance],PBC_BALANCE_SHEET[Id],_xlfn._xlws.FILTER(PBC_ACCOUNT_LIST[Id],PBC_ACCOUNT_LIST[Drivers Section]=$G113),PBC_BALANCE_SHEET[Date],AI$5)),0)</f>
        <v>0</v>
      </c>
      <c r="AJ113" s="8" cm="1">
        <f t="array" ref="AJ113">IF(AJ$5&lt;=LatestMonthOfActuals,SUMIFS(AJ$68:AJ$103,BSSections,$G113)-SUM(SUMIFS(PBC_BALANCE_SHEET[AccountBalance],PBC_BALANCE_SHEET[Id],_xlfn._xlws.FILTER(PBC_ACCOUNT_LIST[Id],PBC_ACCOUNT_LIST[Drivers Section]=$G113),PBC_BALANCE_SHEET[Date],AJ$5)),0)</f>
        <v>0</v>
      </c>
      <c r="AK113" s="8" cm="1">
        <f t="array" ref="AK113">IF(AK$5&lt;=LatestMonthOfActuals,SUMIFS(AK$68:AK$103,BSSections,$G113)-SUM(SUMIFS(PBC_BALANCE_SHEET[AccountBalance],PBC_BALANCE_SHEET[Id],_xlfn._xlws.FILTER(PBC_ACCOUNT_LIST[Id],PBC_ACCOUNT_LIST[Drivers Section]=$G113),PBC_BALANCE_SHEET[Date],AK$5)),0)</f>
        <v>0</v>
      </c>
      <c r="AL113" s="8" cm="1">
        <f t="array" ref="AL113">IF(AL$5&lt;=LatestMonthOfActuals,SUMIFS(AL$68:AL$103,BSSections,$G113)-SUM(SUMIFS(PBC_BALANCE_SHEET[AccountBalance],PBC_BALANCE_SHEET[Id],_xlfn._xlws.FILTER(PBC_ACCOUNT_LIST[Id],PBC_ACCOUNT_LIST[Drivers Section]=$G113),PBC_BALANCE_SHEET[Date],AL$5)),0)</f>
        <v>0</v>
      </c>
      <c r="AM113" s="8" cm="1">
        <f t="array" ref="AM113">IF(AM$5&lt;=LatestMonthOfActuals,SUMIFS(AM$68:AM$103,BSSections,$G113)-SUM(SUMIFS(PBC_BALANCE_SHEET[AccountBalance],PBC_BALANCE_SHEET[Id],_xlfn._xlws.FILTER(PBC_ACCOUNT_LIST[Id],PBC_ACCOUNT_LIST[Drivers Section]=$G113),PBC_BALANCE_SHEET[Date],AM$5)),0)</f>
        <v>0</v>
      </c>
      <c r="AN113" s="8" cm="1">
        <f t="array" ref="AN113">IF(AN$5&lt;=LatestMonthOfActuals,SUMIFS(AN$68:AN$103,BSSections,$G113)-SUM(SUMIFS(PBC_BALANCE_SHEET[AccountBalance],PBC_BALANCE_SHEET[Id],_xlfn._xlws.FILTER(PBC_ACCOUNT_LIST[Id],PBC_ACCOUNT_LIST[Drivers Section]=$G113),PBC_BALANCE_SHEET[Date],AN$5)),0)</f>
        <v>0</v>
      </c>
      <c r="AO113" s="8" cm="1">
        <f t="array" ref="AO113">IF(AO$5&lt;=LatestMonthOfActuals,SUMIFS(AO$68:AO$103,BSSections,$G113)-SUM(SUMIFS(PBC_BALANCE_SHEET[AccountBalance],PBC_BALANCE_SHEET[Id],_xlfn._xlws.FILTER(PBC_ACCOUNT_LIST[Id],PBC_ACCOUNT_LIST[Drivers Section]=$G113),PBC_BALANCE_SHEET[Date],AO$5)),0)</f>
        <v>0</v>
      </c>
      <c r="AP113" s="8" cm="1">
        <f t="array" ref="AP113">IF(AP$5&lt;=LatestMonthOfActuals,SUMIFS(AP$68:AP$103,BSSections,$G113)-SUM(SUMIFS(PBC_BALANCE_SHEET[AccountBalance],PBC_BALANCE_SHEET[Id],_xlfn._xlws.FILTER(PBC_ACCOUNT_LIST[Id],PBC_ACCOUNT_LIST[Drivers Section]=$G113),PBC_BALANCE_SHEET[Date],AP$5)),0)</f>
        <v>0</v>
      </c>
      <c r="AQ113" s="8" cm="1">
        <f t="array" ref="AQ113">IF(AQ$5&lt;=LatestMonthOfActuals,SUMIFS(AQ$68:AQ$103,BSSections,$G113)-SUM(SUMIFS(PBC_BALANCE_SHEET[AccountBalance],PBC_BALANCE_SHEET[Id],_xlfn._xlws.FILTER(PBC_ACCOUNT_LIST[Id],PBC_ACCOUNT_LIST[Drivers Section]=$G113),PBC_BALANCE_SHEET[Date],AQ$5)),0)</f>
        <v>0</v>
      </c>
      <c r="AR113" s="8" cm="1">
        <f t="array" ref="AR113">IF(AR$5&lt;=LatestMonthOfActuals,SUMIFS(AR$68:AR$103,BSSections,$G113)-SUM(SUMIFS(PBC_BALANCE_SHEET[AccountBalance],PBC_BALANCE_SHEET[Id],_xlfn._xlws.FILTER(PBC_ACCOUNT_LIST[Id],PBC_ACCOUNT_LIST[Drivers Section]=$G113),PBC_BALANCE_SHEET[Date],AR$5)),0)</f>
        <v>0</v>
      </c>
      <c r="AS113" s="8" cm="1">
        <f t="array" ref="AS113">IF(AS$5&lt;=LatestMonthOfActuals,SUMIFS(AS$68:AS$103,BSSections,$G113)-SUM(SUMIFS(PBC_BALANCE_SHEET[AccountBalance],PBC_BALANCE_SHEET[Id],_xlfn._xlws.FILTER(PBC_ACCOUNT_LIST[Id],PBC_ACCOUNT_LIST[Drivers Section]=$G113),PBC_BALANCE_SHEET[Date],AS$5)),0)</f>
        <v>0</v>
      </c>
      <c r="AT113" s="8" cm="1">
        <f t="array" ref="AT113">IF(AT$5&lt;=LatestMonthOfActuals,SUMIFS(AT$68:AT$103,BSSections,$G113)-SUM(SUMIFS(PBC_BALANCE_SHEET[AccountBalance],PBC_BALANCE_SHEET[Id],_xlfn._xlws.FILTER(PBC_ACCOUNT_LIST[Id],PBC_ACCOUNT_LIST[Drivers Section]=$G113),PBC_BALANCE_SHEET[Date],AT$5)),0)</f>
        <v>0</v>
      </c>
      <c r="AU113" s="8" cm="1">
        <f t="array" ref="AU113">IF(AU$5&lt;=LatestMonthOfActuals,SUMIFS(AU$68:AU$103,BSSections,$G113)-SUM(SUMIFS(PBC_BALANCE_SHEET[AccountBalance],PBC_BALANCE_SHEET[Id],_xlfn._xlws.FILTER(PBC_ACCOUNT_LIST[Id],PBC_ACCOUNT_LIST[Drivers Section]=$G113),PBC_BALANCE_SHEET[Date],AU$5)),0)</f>
        <v>0</v>
      </c>
      <c r="AV113" s="8" cm="1">
        <f t="array" ref="AV113">IF(AV$5&lt;=LatestMonthOfActuals,SUMIFS(AV$68:AV$103,BSSections,$G113)-SUM(SUMIFS(PBC_BALANCE_SHEET[AccountBalance],PBC_BALANCE_SHEET[Id],_xlfn._xlws.FILTER(PBC_ACCOUNT_LIST[Id],PBC_ACCOUNT_LIST[Drivers Section]=$G113),PBC_BALANCE_SHEET[Date],AV$5)),0)</f>
        <v>0</v>
      </c>
      <c r="AW113" s="8" cm="1">
        <f t="array" ref="AW113">IF(AW$5&lt;=LatestMonthOfActuals,SUMIFS(AW$68:AW$103,BSSections,$G113)-SUM(SUMIFS(PBC_BALANCE_SHEET[AccountBalance],PBC_BALANCE_SHEET[Id],_xlfn._xlws.FILTER(PBC_ACCOUNT_LIST[Id],PBC_ACCOUNT_LIST[Drivers Section]=$G113),PBC_BALANCE_SHEET[Date],AW$5)),0)</f>
        <v>0</v>
      </c>
      <c r="AX113" s="8" cm="1">
        <f t="array" ref="AX113">IF(AX$5&lt;=LatestMonthOfActuals,SUMIFS(AX$68:AX$103,BSSections,$G113)-SUM(SUMIFS(PBC_BALANCE_SHEET[AccountBalance],PBC_BALANCE_SHEET[Id],_xlfn._xlws.FILTER(PBC_ACCOUNT_LIST[Id],PBC_ACCOUNT_LIST[Drivers Section]=$G113),PBC_BALANCE_SHEET[Date],AX$5)),0)</f>
        <v>0</v>
      </c>
      <c r="AY113" s="8" cm="1">
        <f t="array" ref="AY113">IF(AY$5&lt;=LatestMonthOfActuals,SUMIFS(AY$68:AY$103,BSSections,$G113)-SUM(SUMIFS(PBC_BALANCE_SHEET[AccountBalance],PBC_BALANCE_SHEET[Id],_xlfn._xlws.FILTER(PBC_ACCOUNT_LIST[Id],PBC_ACCOUNT_LIST[Drivers Section]=$G113),PBC_BALANCE_SHEET[Date],AY$5)),0)</f>
        <v>0</v>
      </c>
      <c r="AZ113" s="8" cm="1">
        <f t="array" ref="AZ113">IF(AZ$5&lt;=LatestMonthOfActuals,SUMIFS(AZ$68:AZ$103,BSSections,$G113)-SUM(SUMIFS(PBC_BALANCE_SHEET[AccountBalance],PBC_BALANCE_SHEET[Id],_xlfn._xlws.FILTER(PBC_ACCOUNT_LIST[Id],PBC_ACCOUNT_LIST[Drivers Section]=$G113),PBC_BALANCE_SHEET[Date],AZ$5)),0)</f>
        <v>0</v>
      </c>
      <c r="BA113" s="8" cm="1">
        <f t="array" ref="BA113">IF(BA$5&lt;=LatestMonthOfActuals,SUMIFS(BA$68:BA$103,BSSections,$G113)-SUM(SUMIFS(PBC_BALANCE_SHEET[AccountBalance],PBC_BALANCE_SHEET[Id],_xlfn._xlws.FILTER(PBC_ACCOUNT_LIST[Id],PBC_ACCOUNT_LIST[Drivers Section]=$G113),PBC_BALANCE_SHEET[Date],BA$5)),0)</f>
        <v>0</v>
      </c>
      <c r="BB113" s="8" cm="1">
        <f t="array" ref="BB113">IF(BB$5&lt;=LatestMonthOfActuals,SUMIFS(BB$68:BB$103,BSSections,$G113)-SUM(SUMIFS(PBC_BALANCE_SHEET[AccountBalance],PBC_BALANCE_SHEET[Id],_xlfn._xlws.FILTER(PBC_ACCOUNT_LIST[Id],PBC_ACCOUNT_LIST[Drivers Section]=$G113),PBC_BALANCE_SHEET[Date],BB$5)),0)</f>
        <v>0</v>
      </c>
      <c r="BC113" s="8" cm="1">
        <f t="array" ref="BC113">IF(BC$5&lt;=LatestMonthOfActuals,SUMIFS(BC$68:BC$103,BSSections,$G113)-SUM(SUMIFS(PBC_BALANCE_SHEET[AccountBalance],PBC_BALANCE_SHEET[Id],_xlfn._xlws.FILTER(PBC_ACCOUNT_LIST[Id],PBC_ACCOUNT_LIST[Drivers Section]=$G113),PBC_BALANCE_SHEET[Date],BC$5)),0)</f>
        <v>0</v>
      </c>
      <c r="BD113" s="8" cm="1">
        <f t="array" ref="BD113">IF(BD$5&lt;=LatestMonthOfActuals,SUMIFS(BD$68:BD$103,BSSections,$G113)-SUM(SUMIFS(PBC_BALANCE_SHEET[AccountBalance],PBC_BALANCE_SHEET[Id],_xlfn._xlws.FILTER(PBC_ACCOUNT_LIST[Id],PBC_ACCOUNT_LIST[Drivers Section]=$G113),PBC_BALANCE_SHEET[Date],BD$5)),0)</f>
        <v>0</v>
      </c>
      <c r="BE113" s="8" cm="1">
        <f t="array" ref="BE113">IF(BE$5&lt;=LatestMonthOfActuals,SUMIFS(BE$68:BE$103,BSSections,$G113)-SUM(SUMIFS(PBC_BALANCE_SHEET[AccountBalance],PBC_BALANCE_SHEET[Id],_xlfn._xlws.FILTER(PBC_ACCOUNT_LIST[Id],PBC_ACCOUNT_LIST[Drivers Section]=$G113),PBC_BALANCE_SHEET[Date],BE$5)),0)</f>
        <v>0</v>
      </c>
      <c r="BF113" s="8" cm="1">
        <f t="array" ref="BF113">IF(BF$5&lt;=LatestMonthOfActuals,SUMIFS(BF$68:BF$103,BSSections,$G113)-SUM(SUMIFS(PBC_BALANCE_SHEET[AccountBalance],PBC_BALANCE_SHEET[Id],_xlfn._xlws.FILTER(PBC_ACCOUNT_LIST[Id],PBC_ACCOUNT_LIST[Drivers Section]=$G113),PBC_BALANCE_SHEET[Date],BF$5)),0)</f>
        <v>0</v>
      </c>
      <c r="BG113" s="8" cm="1">
        <f t="array" ref="BG113">IF(BG$5&lt;=LatestMonthOfActuals,SUMIFS(BG$68:BG$103,BSSections,$G113)-SUM(SUMIFS(PBC_BALANCE_SHEET[AccountBalance],PBC_BALANCE_SHEET[Id],_xlfn._xlws.FILTER(PBC_ACCOUNT_LIST[Id],PBC_ACCOUNT_LIST[Drivers Section]=$G113),PBC_BALANCE_SHEET[Date],BG$5)),0)</f>
        <v>0</v>
      </c>
      <c r="BH113" s="8" cm="1">
        <f t="array" ref="BH113">IF(BH$5&lt;=LatestMonthOfActuals,SUMIFS(BH$68:BH$103,BSSections,$G113)-SUM(SUMIFS(PBC_BALANCE_SHEET[AccountBalance],PBC_BALANCE_SHEET[Id],_xlfn._xlws.FILTER(PBC_ACCOUNT_LIST[Id],PBC_ACCOUNT_LIST[Drivers Section]=$G113),PBC_BALANCE_SHEET[Date],BH$5)),0)</f>
        <v>0</v>
      </c>
      <c r="BI113" s="8" cm="1">
        <f t="array" ref="BI113">IF(BI$5&lt;=LatestMonthOfActuals,SUMIFS(BI$68:BI$103,BSSections,$G113)-SUM(SUMIFS(PBC_BALANCE_SHEET[AccountBalance],PBC_BALANCE_SHEET[Id],_xlfn._xlws.FILTER(PBC_ACCOUNT_LIST[Id],PBC_ACCOUNT_LIST[Drivers Section]=$G113),PBC_BALANCE_SHEET[Date],BI$5)),0)</f>
        <v>0</v>
      </c>
      <c r="BJ113" s="8" cm="1">
        <f t="array" ref="BJ113">IF(BJ$5&lt;=LatestMonthOfActuals,SUMIFS(BJ$68:BJ$103,BSSections,$G113)-SUM(SUMIFS(PBC_BALANCE_SHEET[AccountBalance],PBC_BALANCE_SHEET[Id],_xlfn._xlws.FILTER(PBC_ACCOUNT_LIST[Id],PBC_ACCOUNT_LIST[Drivers Section]=$G113),PBC_BALANCE_SHEET[Date],BJ$5)),0)</f>
        <v>0</v>
      </c>
      <c r="BK113" s="8" cm="1">
        <f t="array" ref="BK113">IF(BK$5&lt;=LatestMonthOfActuals,SUMIFS(BK$68:BK$103,BSSections,$G113)-SUM(SUMIFS(PBC_BALANCE_SHEET[AccountBalance],PBC_BALANCE_SHEET[Id],_xlfn._xlws.FILTER(PBC_ACCOUNT_LIST[Id],PBC_ACCOUNT_LIST[Drivers Section]=$G113),PBC_BALANCE_SHEET[Date],BK$5)),0)</f>
        <v>0</v>
      </c>
      <c r="BL113" s="8" cm="1">
        <f t="array" ref="BL113">IF(BL$5&lt;=LatestMonthOfActuals,SUMIFS(BL$68:BL$103,BSSections,$G113)-SUM(SUMIFS(PBC_BALANCE_SHEET[AccountBalance],PBC_BALANCE_SHEET[Id],_xlfn._xlws.FILTER(PBC_ACCOUNT_LIST[Id],PBC_ACCOUNT_LIST[Drivers Section]=$G113),PBC_BALANCE_SHEET[Date],BL$5)),0)</f>
        <v>0</v>
      </c>
      <c r="BM113" s="8" cm="1">
        <f t="array" ref="BM113">IF(BM$5&lt;=LatestMonthOfActuals,SUMIFS(BM$68:BM$103,BSSections,$G113)-SUM(SUMIFS(PBC_BALANCE_SHEET[AccountBalance],PBC_BALANCE_SHEET[Id],_xlfn._xlws.FILTER(PBC_ACCOUNT_LIST[Id],PBC_ACCOUNT_LIST[Drivers Section]=$G113),PBC_BALANCE_SHEET[Date],BM$5)),0)</f>
        <v>0</v>
      </c>
      <c r="BN113" s="8" cm="1">
        <f t="array" ref="BN113">IF(BN$5&lt;=LatestMonthOfActuals,SUMIFS(BN$68:BN$103,BSSections,$G113)-SUM(SUMIFS(PBC_BALANCE_SHEET[AccountBalance],PBC_BALANCE_SHEET[Id],_xlfn._xlws.FILTER(PBC_ACCOUNT_LIST[Id],PBC_ACCOUNT_LIST[Drivers Section]=$G113),PBC_BALANCE_SHEET[Date],BN$5)),0)</f>
        <v>0</v>
      </c>
      <c r="BO113" s="8" cm="1">
        <f t="array" ref="BO113">IF(BO$5&lt;=LatestMonthOfActuals,SUMIFS(BO$68:BO$103,BSSections,$G113)-SUM(SUMIFS(PBC_BALANCE_SHEET[AccountBalance],PBC_BALANCE_SHEET[Id],_xlfn._xlws.FILTER(PBC_ACCOUNT_LIST[Id],PBC_ACCOUNT_LIST[Drivers Section]=$G113),PBC_BALANCE_SHEET[Date],BO$5)),0)</f>
        <v>0</v>
      </c>
      <c r="BP113" s="8" cm="1">
        <f t="array" ref="BP113">IF(BP$5&lt;=LatestMonthOfActuals,SUMIFS(BP$68:BP$103,BSSections,$G113)-SUM(SUMIFS(PBC_BALANCE_SHEET[AccountBalance],PBC_BALANCE_SHEET[Id],_xlfn._xlws.FILTER(PBC_ACCOUNT_LIST[Id],PBC_ACCOUNT_LIST[Drivers Section]=$G113),PBC_BALANCE_SHEET[Date],BP$5)),0)</f>
        <v>0</v>
      </c>
      <c r="BQ113" s="8" cm="1">
        <f t="array" ref="BQ113">IF(BQ$5&lt;=LatestMonthOfActuals,SUMIFS(BQ$68:BQ$103,BSSections,$G113)-SUM(SUMIFS(PBC_BALANCE_SHEET[AccountBalance],PBC_BALANCE_SHEET[Id],_xlfn._xlws.FILTER(PBC_ACCOUNT_LIST[Id],PBC_ACCOUNT_LIST[Drivers Section]=$G113),PBC_BALANCE_SHEET[Date],BQ$5)),0)</f>
        <v>0</v>
      </c>
      <c r="BR113" s="8" cm="1">
        <f t="array" ref="BR113">IF(BR$5&lt;=LatestMonthOfActuals,SUMIFS(BR$68:BR$103,BSSections,$G113)-SUM(SUMIFS(PBC_BALANCE_SHEET[AccountBalance],PBC_BALANCE_SHEET[Id],_xlfn._xlws.FILTER(PBC_ACCOUNT_LIST[Id],PBC_ACCOUNT_LIST[Drivers Section]=$G113),PBC_BALANCE_SHEET[Date],BR$5)),0)</f>
        <v>0</v>
      </c>
      <c r="BS113" s="8" cm="1">
        <f t="array" ref="BS113">IF(BS$5&lt;=LatestMonthOfActuals,SUMIFS(BS$68:BS$103,BSSections,$G113)-SUM(SUMIFS(PBC_BALANCE_SHEET[AccountBalance],PBC_BALANCE_SHEET[Id],_xlfn._xlws.FILTER(PBC_ACCOUNT_LIST[Id],PBC_ACCOUNT_LIST[Drivers Section]=$G113),PBC_BALANCE_SHEET[Date],BS$5)),0)</f>
        <v>0</v>
      </c>
    </row>
    <row r="114" spans="2:71" ht="15.6" customHeight="1" outlineLevel="2">
      <c r="B114" s="10" t="s">
        <v>225</v>
      </c>
      <c r="G114" s="10" t="s">
        <v>225</v>
      </c>
      <c r="H114" s="10"/>
      <c r="I114" s="10"/>
      <c r="J114" s="10"/>
      <c r="K114" s="10"/>
      <c r="L114" s="10"/>
      <c r="O114" s="9"/>
      <c r="P114" s="9"/>
      <c r="Q114" s="9"/>
      <c r="R114" s="9"/>
      <c r="S114" s="9"/>
      <c r="T114" s="9"/>
      <c r="AH114" s="9"/>
      <c r="AI114" s="8" cm="1">
        <f t="array" ref="AI114">IF(AI$5&lt;=LatestMonthOfActuals,SUMIFS(AI$68:AI$103,BSSections,$G114)-SUM(SUMIFS(PBC_BALANCE_SHEET[AccountBalance],PBC_BALANCE_SHEET[Id],_xlfn._xlws.FILTER(PBC_ACCOUNT_LIST[Id],PBC_ACCOUNT_LIST[Drivers Section]=$G114),PBC_BALANCE_SHEET[Date],AI$5)),0)</f>
        <v>0</v>
      </c>
      <c r="AJ114" s="8" cm="1">
        <f t="array" ref="AJ114">IF(AJ$5&lt;=LatestMonthOfActuals,SUMIFS(AJ$68:AJ$103,BSSections,$G114)-SUM(SUMIFS(PBC_BALANCE_SHEET[AccountBalance],PBC_BALANCE_SHEET[Id],_xlfn._xlws.FILTER(PBC_ACCOUNT_LIST[Id],PBC_ACCOUNT_LIST[Drivers Section]=$G114),PBC_BALANCE_SHEET[Date],AJ$5)),0)</f>
        <v>0</v>
      </c>
      <c r="AK114" s="8" cm="1">
        <f t="array" ref="AK114">IF(AK$5&lt;=LatestMonthOfActuals,SUMIFS(AK$68:AK$103,BSSections,$G114)-SUM(SUMIFS(PBC_BALANCE_SHEET[AccountBalance],PBC_BALANCE_SHEET[Id],_xlfn._xlws.FILTER(PBC_ACCOUNT_LIST[Id],PBC_ACCOUNT_LIST[Drivers Section]=$G114),PBC_BALANCE_SHEET[Date],AK$5)),0)</f>
        <v>0</v>
      </c>
      <c r="AL114" s="8" cm="1">
        <f t="array" ref="AL114">IF(AL$5&lt;=LatestMonthOfActuals,SUMIFS(AL$68:AL$103,BSSections,$G114)-SUM(SUMIFS(PBC_BALANCE_SHEET[AccountBalance],PBC_BALANCE_SHEET[Id],_xlfn._xlws.FILTER(PBC_ACCOUNT_LIST[Id],PBC_ACCOUNT_LIST[Drivers Section]=$G114),PBC_BALANCE_SHEET[Date],AL$5)),0)</f>
        <v>0</v>
      </c>
      <c r="AM114" s="8" cm="1">
        <f t="array" ref="AM114">IF(AM$5&lt;=LatestMonthOfActuals,SUMIFS(AM$68:AM$103,BSSections,$G114)-SUM(SUMIFS(PBC_BALANCE_SHEET[AccountBalance],PBC_BALANCE_SHEET[Id],_xlfn._xlws.FILTER(PBC_ACCOUNT_LIST[Id],PBC_ACCOUNT_LIST[Drivers Section]=$G114),PBC_BALANCE_SHEET[Date],AM$5)),0)</f>
        <v>0</v>
      </c>
      <c r="AN114" s="8" cm="1">
        <f t="array" ref="AN114">IF(AN$5&lt;=LatestMonthOfActuals,SUMIFS(AN$68:AN$103,BSSections,$G114)-SUM(SUMIFS(PBC_BALANCE_SHEET[AccountBalance],PBC_BALANCE_SHEET[Id],_xlfn._xlws.FILTER(PBC_ACCOUNT_LIST[Id],PBC_ACCOUNT_LIST[Drivers Section]=$G114),PBC_BALANCE_SHEET[Date],AN$5)),0)</f>
        <v>0</v>
      </c>
      <c r="AO114" s="8" cm="1">
        <f t="array" ref="AO114">IF(AO$5&lt;=LatestMonthOfActuals,SUMIFS(AO$68:AO$103,BSSections,$G114)-SUM(SUMIFS(PBC_BALANCE_SHEET[AccountBalance],PBC_BALANCE_SHEET[Id],_xlfn._xlws.FILTER(PBC_ACCOUNT_LIST[Id],PBC_ACCOUNT_LIST[Drivers Section]=$G114),PBC_BALANCE_SHEET[Date],AO$5)),0)</f>
        <v>0</v>
      </c>
      <c r="AP114" s="8" cm="1">
        <f t="array" ref="AP114">IF(AP$5&lt;=LatestMonthOfActuals,SUMIFS(AP$68:AP$103,BSSections,$G114)-SUM(SUMIFS(PBC_BALANCE_SHEET[AccountBalance],PBC_BALANCE_SHEET[Id],_xlfn._xlws.FILTER(PBC_ACCOUNT_LIST[Id],PBC_ACCOUNT_LIST[Drivers Section]=$G114),PBC_BALANCE_SHEET[Date],AP$5)),0)</f>
        <v>0</v>
      </c>
      <c r="AQ114" s="8" cm="1">
        <f t="array" ref="AQ114">IF(AQ$5&lt;=LatestMonthOfActuals,SUMIFS(AQ$68:AQ$103,BSSections,$G114)-SUM(SUMIFS(PBC_BALANCE_SHEET[AccountBalance],PBC_BALANCE_SHEET[Id],_xlfn._xlws.FILTER(PBC_ACCOUNT_LIST[Id],PBC_ACCOUNT_LIST[Drivers Section]=$G114),PBC_BALANCE_SHEET[Date],AQ$5)),0)</f>
        <v>0</v>
      </c>
      <c r="AR114" s="8" cm="1">
        <f t="array" ref="AR114">IF(AR$5&lt;=LatestMonthOfActuals,SUMIFS(AR$68:AR$103,BSSections,$G114)-SUM(SUMIFS(PBC_BALANCE_SHEET[AccountBalance],PBC_BALANCE_SHEET[Id],_xlfn._xlws.FILTER(PBC_ACCOUNT_LIST[Id],PBC_ACCOUNT_LIST[Drivers Section]=$G114),PBC_BALANCE_SHEET[Date],AR$5)),0)</f>
        <v>0</v>
      </c>
      <c r="AS114" s="8" cm="1">
        <f t="array" ref="AS114">IF(AS$5&lt;=LatestMonthOfActuals,SUMIFS(AS$68:AS$103,BSSections,$G114)-SUM(SUMIFS(PBC_BALANCE_SHEET[AccountBalance],PBC_BALANCE_SHEET[Id],_xlfn._xlws.FILTER(PBC_ACCOUNT_LIST[Id],PBC_ACCOUNT_LIST[Drivers Section]=$G114),PBC_BALANCE_SHEET[Date],AS$5)),0)</f>
        <v>0</v>
      </c>
      <c r="AT114" s="8" cm="1">
        <f t="array" ref="AT114">IF(AT$5&lt;=LatestMonthOfActuals,SUMIFS(AT$68:AT$103,BSSections,$G114)-SUM(SUMIFS(PBC_BALANCE_SHEET[AccountBalance],PBC_BALANCE_SHEET[Id],_xlfn._xlws.FILTER(PBC_ACCOUNT_LIST[Id],PBC_ACCOUNT_LIST[Drivers Section]=$G114),PBC_BALANCE_SHEET[Date],AT$5)),0)</f>
        <v>0</v>
      </c>
      <c r="AU114" s="8" cm="1">
        <f t="array" ref="AU114">IF(AU$5&lt;=LatestMonthOfActuals,SUMIFS(AU$68:AU$103,BSSections,$G114)-SUM(SUMIFS(PBC_BALANCE_SHEET[AccountBalance],PBC_BALANCE_SHEET[Id],_xlfn._xlws.FILTER(PBC_ACCOUNT_LIST[Id],PBC_ACCOUNT_LIST[Drivers Section]=$G114),PBC_BALANCE_SHEET[Date],AU$5)),0)</f>
        <v>0</v>
      </c>
      <c r="AV114" s="8" cm="1">
        <f t="array" ref="AV114">IF(AV$5&lt;=LatestMonthOfActuals,SUMIFS(AV$68:AV$103,BSSections,$G114)-SUM(SUMIFS(PBC_BALANCE_SHEET[AccountBalance],PBC_BALANCE_SHEET[Id],_xlfn._xlws.FILTER(PBC_ACCOUNT_LIST[Id],PBC_ACCOUNT_LIST[Drivers Section]=$G114),PBC_BALANCE_SHEET[Date],AV$5)),0)</f>
        <v>0</v>
      </c>
      <c r="AW114" s="8" cm="1">
        <f t="array" ref="AW114">IF(AW$5&lt;=LatestMonthOfActuals,SUMIFS(AW$68:AW$103,BSSections,$G114)-SUM(SUMIFS(PBC_BALANCE_SHEET[AccountBalance],PBC_BALANCE_SHEET[Id],_xlfn._xlws.FILTER(PBC_ACCOUNT_LIST[Id],PBC_ACCOUNT_LIST[Drivers Section]=$G114),PBC_BALANCE_SHEET[Date],AW$5)),0)</f>
        <v>0</v>
      </c>
      <c r="AX114" s="8" cm="1">
        <f t="array" ref="AX114">IF(AX$5&lt;=LatestMonthOfActuals,SUMIFS(AX$68:AX$103,BSSections,$G114)-SUM(SUMIFS(PBC_BALANCE_SHEET[AccountBalance],PBC_BALANCE_SHEET[Id],_xlfn._xlws.FILTER(PBC_ACCOUNT_LIST[Id],PBC_ACCOUNT_LIST[Drivers Section]=$G114),PBC_BALANCE_SHEET[Date],AX$5)),0)</f>
        <v>0</v>
      </c>
      <c r="AY114" s="8" cm="1">
        <f t="array" ref="AY114">IF(AY$5&lt;=LatestMonthOfActuals,SUMIFS(AY$68:AY$103,BSSections,$G114)-SUM(SUMIFS(PBC_BALANCE_SHEET[AccountBalance],PBC_BALANCE_SHEET[Id],_xlfn._xlws.FILTER(PBC_ACCOUNT_LIST[Id],PBC_ACCOUNT_LIST[Drivers Section]=$G114),PBC_BALANCE_SHEET[Date],AY$5)),0)</f>
        <v>0</v>
      </c>
      <c r="AZ114" s="8" cm="1">
        <f t="array" ref="AZ114">IF(AZ$5&lt;=LatestMonthOfActuals,SUMIFS(AZ$68:AZ$103,BSSections,$G114)-SUM(SUMIFS(PBC_BALANCE_SHEET[AccountBalance],PBC_BALANCE_SHEET[Id],_xlfn._xlws.FILTER(PBC_ACCOUNT_LIST[Id],PBC_ACCOUNT_LIST[Drivers Section]=$G114),PBC_BALANCE_SHEET[Date],AZ$5)),0)</f>
        <v>0</v>
      </c>
      <c r="BA114" s="8" cm="1">
        <f t="array" ref="BA114">IF(BA$5&lt;=LatestMonthOfActuals,SUMIFS(BA$68:BA$103,BSSections,$G114)-SUM(SUMIFS(PBC_BALANCE_SHEET[AccountBalance],PBC_BALANCE_SHEET[Id],_xlfn._xlws.FILTER(PBC_ACCOUNT_LIST[Id],PBC_ACCOUNT_LIST[Drivers Section]=$G114),PBC_BALANCE_SHEET[Date],BA$5)),0)</f>
        <v>0</v>
      </c>
      <c r="BB114" s="8" cm="1">
        <f t="array" ref="BB114">IF(BB$5&lt;=LatestMonthOfActuals,SUMIFS(BB$68:BB$103,BSSections,$G114)-SUM(SUMIFS(PBC_BALANCE_SHEET[AccountBalance],PBC_BALANCE_SHEET[Id],_xlfn._xlws.FILTER(PBC_ACCOUNT_LIST[Id],PBC_ACCOUNT_LIST[Drivers Section]=$G114),PBC_BALANCE_SHEET[Date],BB$5)),0)</f>
        <v>0</v>
      </c>
      <c r="BC114" s="8" cm="1">
        <f t="array" ref="BC114">IF(BC$5&lt;=LatestMonthOfActuals,SUMIFS(BC$68:BC$103,BSSections,$G114)-SUM(SUMIFS(PBC_BALANCE_SHEET[AccountBalance],PBC_BALANCE_SHEET[Id],_xlfn._xlws.FILTER(PBC_ACCOUNT_LIST[Id],PBC_ACCOUNT_LIST[Drivers Section]=$G114),PBC_BALANCE_SHEET[Date],BC$5)),0)</f>
        <v>0</v>
      </c>
      <c r="BD114" s="8" cm="1">
        <f t="array" ref="BD114">IF(BD$5&lt;=LatestMonthOfActuals,SUMIFS(BD$68:BD$103,BSSections,$G114)-SUM(SUMIFS(PBC_BALANCE_SHEET[AccountBalance],PBC_BALANCE_SHEET[Id],_xlfn._xlws.FILTER(PBC_ACCOUNT_LIST[Id],PBC_ACCOUNT_LIST[Drivers Section]=$G114),PBC_BALANCE_SHEET[Date],BD$5)),0)</f>
        <v>0</v>
      </c>
      <c r="BE114" s="8" cm="1">
        <f t="array" ref="BE114">IF(BE$5&lt;=LatestMonthOfActuals,SUMIFS(BE$68:BE$103,BSSections,$G114)-SUM(SUMIFS(PBC_BALANCE_SHEET[AccountBalance],PBC_BALANCE_SHEET[Id],_xlfn._xlws.FILTER(PBC_ACCOUNT_LIST[Id],PBC_ACCOUNT_LIST[Drivers Section]=$G114),PBC_BALANCE_SHEET[Date],BE$5)),0)</f>
        <v>0</v>
      </c>
      <c r="BF114" s="8" cm="1">
        <f t="array" ref="BF114">IF(BF$5&lt;=LatestMonthOfActuals,SUMIFS(BF$68:BF$103,BSSections,$G114)-SUM(SUMIFS(PBC_BALANCE_SHEET[AccountBalance],PBC_BALANCE_SHEET[Id],_xlfn._xlws.FILTER(PBC_ACCOUNT_LIST[Id],PBC_ACCOUNT_LIST[Drivers Section]=$G114),PBC_BALANCE_SHEET[Date],BF$5)),0)</f>
        <v>0</v>
      </c>
      <c r="BG114" s="8" cm="1">
        <f t="array" ref="BG114">IF(BG$5&lt;=LatestMonthOfActuals,SUMIFS(BG$68:BG$103,BSSections,$G114)-SUM(SUMIFS(PBC_BALANCE_SHEET[AccountBalance],PBC_BALANCE_SHEET[Id],_xlfn._xlws.FILTER(PBC_ACCOUNT_LIST[Id],PBC_ACCOUNT_LIST[Drivers Section]=$G114),PBC_BALANCE_SHEET[Date],BG$5)),0)</f>
        <v>0</v>
      </c>
      <c r="BH114" s="8" cm="1">
        <f t="array" ref="BH114">IF(BH$5&lt;=LatestMonthOfActuals,SUMIFS(BH$68:BH$103,BSSections,$G114)-SUM(SUMIFS(PBC_BALANCE_SHEET[AccountBalance],PBC_BALANCE_SHEET[Id],_xlfn._xlws.FILTER(PBC_ACCOUNT_LIST[Id],PBC_ACCOUNT_LIST[Drivers Section]=$G114),PBC_BALANCE_SHEET[Date],BH$5)),0)</f>
        <v>0</v>
      </c>
      <c r="BI114" s="8" cm="1">
        <f t="array" ref="BI114">IF(BI$5&lt;=LatestMonthOfActuals,SUMIFS(BI$68:BI$103,BSSections,$G114)-SUM(SUMIFS(PBC_BALANCE_SHEET[AccountBalance],PBC_BALANCE_SHEET[Id],_xlfn._xlws.FILTER(PBC_ACCOUNT_LIST[Id],PBC_ACCOUNT_LIST[Drivers Section]=$G114),PBC_BALANCE_SHEET[Date],BI$5)),0)</f>
        <v>0</v>
      </c>
      <c r="BJ114" s="8" cm="1">
        <f t="array" ref="BJ114">IF(BJ$5&lt;=LatestMonthOfActuals,SUMIFS(BJ$68:BJ$103,BSSections,$G114)-SUM(SUMIFS(PBC_BALANCE_SHEET[AccountBalance],PBC_BALANCE_SHEET[Id],_xlfn._xlws.FILTER(PBC_ACCOUNT_LIST[Id],PBC_ACCOUNT_LIST[Drivers Section]=$G114),PBC_BALANCE_SHEET[Date],BJ$5)),0)</f>
        <v>0</v>
      </c>
      <c r="BK114" s="8" cm="1">
        <f t="array" ref="BK114">IF(BK$5&lt;=LatestMonthOfActuals,SUMIFS(BK$68:BK$103,BSSections,$G114)-SUM(SUMIFS(PBC_BALANCE_SHEET[AccountBalance],PBC_BALANCE_SHEET[Id],_xlfn._xlws.FILTER(PBC_ACCOUNT_LIST[Id],PBC_ACCOUNT_LIST[Drivers Section]=$G114),PBC_BALANCE_SHEET[Date],BK$5)),0)</f>
        <v>0</v>
      </c>
      <c r="BL114" s="8" cm="1">
        <f t="array" ref="BL114">IF(BL$5&lt;=LatestMonthOfActuals,SUMIFS(BL$68:BL$103,BSSections,$G114)-SUM(SUMIFS(PBC_BALANCE_SHEET[AccountBalance],PBC_BALANCE_SHEET[Id],_xlfn._xlws.FILTER(PBC_ACCOUNT_LIST[Id],PBC_ACCOUNT_LIST[Drivers Section]=$G114),PBC_BALANCE_SHEET[Date],BL$5)),0)</f>
        <v>0</v>
      </c>
      <c r="BM114" s="8" cm="1">
        <f t="array" ref="BM114">IF(BM$5&lt;=LatestMonthOfActuals,SUMIFS(BM$68:BM$103,BSSections,$G114)-SUM(SUMIFS(PBC_BALANCE_SHEET[AccountBalance],PBC_BALANCE_SHEET[Id],_xlfn._xlws.FILTER(PBC_ACCOUNT_LIST[Id],PBC_ACCOUNT_LIST[Drivers Section]=$G114),PBC_BALANCE_SHEET[Date],BM$5)),0)</f>
        <v>0</v>
      </c>
      <c r="BN114" s="8" cm="1">
        <f t="array" ref="BN114">IF(BN$5&lt;=LatestMonthOfActuals,SUMIFS(BN$68:BN$103,BSSections,$G114)-SUM(SUMIFS(PBC_BALANCE_SHEET[AccountBalance],PBC_BALANCE_SHEET[Id],_xlfn._xlws.FILTER(PBC_ACCOUNT_LIST[Id],PBC_ACCOUNT_LIST[Drivers Section]=$G114),PBC_BALANCE_SHEET[Date],BN$5)),0)</f>
        <v>0</v>
      </c>
      <c r="BO114" s="8" cm="1">
        <f t="array" ref="BO114">IF(BO$5&lt;=LatestMonthOfActuals,SUMIFS(BO$68:BO$103,BSSections,$G114)-SUM(SUMIFS(PBC_BALANCE_SHEET[AccountBalance],PBC_BALANCE_SHEET[Id],_xlfn._xlws.FILTER(PBC_ACCOUNT_LIST[Id],PBC_ACCOUNT_LIST[Drivers Section]=$G114),PBC_BALANCE_SHEET[Date],BO$5)),0)</f>
        <v>0</v>
      </c>
      <c r="BP114" s="8" cm="1">
        <f t="array" ref="BP114">IF(BP$5&lt;=LatestMonthOfActuals,SUMIFS(BP$68:BP$103,BSSections,$G114)-SUM(SUMIFS(PBC_BALANCE_SHEET[AccountBalance],PBC_BALANCE_SHEET[Id],_xlfn._xlws.FILTER(PBC_ACCOUNT_LIST[Id],PBC_ACCOUNT_LIST[Drivers Section]=$G114),PBC_BALANCE_SHEET[Date],BP$5)),0)</f>
        <v>0</v>
      </c>
      <c r="BQ114" s="8" cm="1">
        <f t="array" ref="BQ114">IF(BQ$5&lt;=LatestMonthOfActuals,SUMIFS(BQ$68:BQ$103,BSSections,$G114)-SUM(SUMIFS(PBC_BALANCE_SHEET[AccountBalance],PBC_BALANCE_SHEET[Id],_xlfn._xlws.FILTER(PBC_ACCOUNT_LIST[Id],PBC_ACCOUNT_LIST[Drivers Section]=$G114),PBC_BALANCE_SHEET[Date],BQ$5)),0)</f>
        <v>0</v>
      </c>
      <c r="BR114" s="8" cm="1">
        <f t="array" ref="BR114">IF(BR$5&lt;=LatestMonthOfActuals,SUMIFS(BR$68:BR$103,BSSections,$G114)-SUM(SUMIFS(PBC_BALANCE_SHEET[AccountBalance],PBC_BALANCE_SHEET[Id],_xlfn._xlws.FILTER(PBC_ACCOUNT_LIST[Id],PBC_ACCOUNT_LIST[Drivers Section]=$G114),PBC_BALANCE_SHEET[Date],BR$5)),0)</f>
        <v>0</v>
      </c>
      <c r="BS114" s="8" cm="1">
        <f t="array" ref="BS114">IF(BS$5&lt;=LatestMonthOfActuals,SUMIFS(BS$68:BS$103,BSSections,$G114)-SUM(SUMIFS(PBC_BALANCE_SHEET[AccountBalance],PBC_BALANCE_SHEET[Id],_xlfn._xlws.FILTER(PBC_ACCOUNT_LIST[Id],PBC_ACCOUNT_LIST[Drivers Section]=$G114),PBC_BALANCE_SHEET[Date],BS$5)),0)</f>
        <v>0</v>
      </c>
    </row>
    <row r="115" spans="2:71" ht="15.6" customHeight="1" outlineLevel="2">
      <c r="B115" s="10" t="s">
        <v>233</v>
      </c>
      <c r="G115" s="10"/>
      <c r="H115" s="10"/>
      <c r="I115" s="10"/>
      <c r="J115" s="10"/>
      <c r="K115" s="10"/>
      <c r="L115" s="10"/>
      <c r="O115" s="9"/>
      <c r="P115" s="9"/>
      <c r="Q115" s="9"/>
      <c r="R115" s="9"/>
      <c r="S115" s="9"/>
      <c r="T115" s="9"/>
      <c r="AH115" s="9"/>
      <c r="AI115" s="8">
        <f t="shared" ref="AI115:BS115" si="230">SUMIFS(AI$68:AI$103,BSSections,"Assets")-SUMIFS(AI$68:AI$103,BSSections,"Liabilities")-SUMIFS(AI$68:AI$103,BSSections,"Owners Equity")</f>
        <v>0</v>
      </c>
      <c r="AJ115" s="8">
        <f t="shared" si="230"/>
        <v>0</v>
      </c>
      <c r="AK115" s="8">
        <f t="shared" si="230"/>
        <v>0</v>
      </c>
      <c r="AL115" s="8">
        <f t="shared" si="230"/>
        <v>0</v>
      </c>
      <c r="AM115" s="8">
        <f t="shared" si="230"/>
        <v>0</v>
      </c>
      <c r="AN115" s="8">
        <f t="shared" si="230"/>
        <v>0</v>
      </c>
      <c r="AO115" s="8">
        <f t="shared" si="230"/>
        <v>0</v>
      </c>
      <c r="AP115" s="8">
        <f t="shared" si="230"/>
        <v>0</v>
      </c>
      <c r="AQ115" s="8">
        <f t="shared" si="230"/>
        <v>0</v>
      </c>
      <c r="AR115" s="8">
        <f t="shared" si="230"/>
        <v>0</v>
      </c>
      <c r="AS115" s="8">
        <f t="shared" si="230"/>
        <v>0</v>
      </c>
      <c r="AT115" s="8">
        <f t="shared" si="230"/>
        <v>0</v>
      </c>
      <c r="AU115" s="8">
        <f t="shared" si="230"/>
        <v>0</v>
      </c>
      <c r="AV115" s="8">
        <f t="shared" si="230"/>
        <v>0</v>
      </c>
      <c r="AW115" s="8">
        <f t="shared" si="230"/>
        <v>0</v>
      </c>
      <c r="AX115" s="8">
        <f t="shared" si="230"/>
        <v>0</v>
      </c>
      <c r="AY115" s="8">
        <f t="shared" si="230"/>
        <v>0</v>
      </c>
      <c r="AZ115" s="8">
        <f t="shared" si="230"/>
        <v>0</v>
      </c>
      <c r="BA115" s="8">
        <f t="shared" si="230"/>
        <v>0</v>
      </c>
      <c r="BB115" s="8">
        <f t="shared" si="230"/>
        <v>0</v>
      </c>
      <c r="BC115" s="8">
        <f t="shared" si="230"/>
        <v>0</v>
      </c>
      <c r="BD115" s="8">
        <f t="shared" si="230"/>
        <v>0</v>
      </c>
      <c r="BE115" s="8">
        <f t="shared" si="230"/>
        <v>0</v>
      </c>
      <c r="BF115" s="8">
        <f t="shared" si="230"/>
        <v>-8.7311491370201111E-11</v>
      </c>
      <c r="BG115" s="8">
        <f t="shared" si="230"/>
        <v>0</v>
      </c>
      <c r="BH115" s="8">
        <f t="shared" si="230"/>
        <v>0</v>
      </c>
      <c r="BI115" s="8">
        <f t="shared" si="230"/>
        <v>0</v>
      </c>
      <c r="BJ115" s="8">
        <f t="shared" si="230"/>
        <v>0</v>
      </c>
      <c r="BK115" s="8">
        <f t="shared" si="230"/>
        <v>0</v>
      </c>
      <c r="BL115" s="8">
        <f t="shared" si="230"/>
        <v>0</v>
      </c>
      <c r="BM115" s="8">
        <f t="shared" si="230"/>
        <v>0</v>
      </c>
      <c r="BN115" s="8">
        <f t="shared" si="230"/>
        <v>0</v>
      </c>
      <c r="BO115" s="8">
        <f t="shared" si="230"/>
        <v>0</v>
      </c>
      <c r="BP115" s="8">
        <f t="shared" si="230"/>
        <v>0</v>
      </c>
      <c r="BQ115" s="8">
        <f t="shared" si="230"/>
        <v>0</v>
      </c>
      <c r="BR115" s="8">
        <f t="shared" si="230"/>
        <v>0</v>
      </c>
      <c r="BS115" s="8">
        <f t="shared" si="230"/>
        <v>0</v>
      </c>
    </row>
    <row r="116" spans="2:71" ht="15.6" customHeight="1" outlineLevel="2">
      <c r="B116" s="10" t="s">
        <v>234</v>
      </c>
      <c r="G116" s="10" t="s">
        <v>49</v>
      </c>
      <c r="H116" s="10"/>
      <c r="I116" s="10"/>
      <c r="J116" s="10"/>
      <c r="K116" s="10"/>
      <c r="L116" s="10" t="s">
        <v>235</v>
      </c>
      <c r="O116" s="9"/>
      <c r="P116" s="9"/>
      <c r="Q116" s="9"/>
      <c r="R116" s="9"/>
      <c r="S116" s="9"/>
      <c r="T116" s="9"/>
      <c r="AH116" s="9"/>
      <c r="AI116" s="8" cm="1">
        <f t="array" ref="AI116">IF(AI$5&lt;=LatestMonthOfActuals,SUMIFS(AI$68:AI$103,BSAcctIDs,$L116)- SUM(SUMIFS(PBC_BALANCE_SHEET[AccountBalance],PBC_BALANCE_SHEET[Id],_xlfn._xlws.FILTER(PBC_ACCOUNT_LIST[Id],PBC_ACCOUNT_LIST[AccountType]="Bank"),PBC_BALANCE_SHEET[Date],AI$5)),0)</f>
        <v>0</v>
      </c>
      <c r="AJ116" s="8" cm="1">
        <f t="array" ref="AJ116">IF(AJ$5&lt;=LatestMonthOfActuals,SUMIFS(AJ$68:AJ$103,BSAcctIDs,$L116)- SUM(SUMIFS(PBC_BALANCE_SHEET[AccountBalance],PBC_BALANCE_SHEET[Id],_xlfn._xlws.FILTER(PBC_ACCOUNT_LIST[Id],PBC_ACCOUNT_LIST[AccountType]="Bank"),PBC_BALANCE_SHEET[Date],AJ$5)),0)</f>
        <v>0</v>
      </c>
      <c r="AK116" s="8" cm="1">
        <f t="array" ref="AK116">IF(AK$5&lt;=LatestMonthOfActuals,SUMIFS(AK$68:AK$103,BSAcctIDs,$L116)- SUM(SUMIFS(PBC_BALANCE_SHEET[AccountBalance],PBC_BALANCE_SHEET[Id],_xlfn._xlws.FILTER(PBC_ACCOUNT_LIST[Id],PBC_ACCOUNT_LIST[AccountType]="Bank"),PBC_BALANCE_SHEET[Date],AK$5)),0)</f>
        <v>0</v>
      </c>
      <c r="AL116" s="8" cm="1">
        <f t="array" ref="AL116">IF(AL$5&lt;=LatestMonthOfActuals,SUMIFS(AL$68:AL$103,BSAcctIDs,$L116)- SUM(SUMIFS(PBC_BALANCE_SHEET[AccountBalance],PBC_BALANCE_SHEET[Id],_xlfn._xlws.FILTER(PBC_ACCOUNT_LIST[Id],PBC_ACCOUNT_LIST[AccountType]="Bank"),PBC_BALANCE_SHEET[Date],AL$5)),0)</f>
        <v>0</v>
      </c>
      <c r="AM116" s="8" cm="1">
        <f t="array" ref="AM116">IF(AM$5&lt;=LatestMonthOfActuals,SUMIFS(AM$68:AM$103,BSAcctIDs,$L116)- SUM(SUMIFS(PBC_BALANCE_SHEET[AccountBalance],PBC_BALANCE_SHEET[Id],_xlfn._xlws.FILTER(PBC_ACCOUNT_LIST[Id],PBC_ACCOUNT_LIST[AccountType]="Bank"),PBC_BALANCE_SHEET[Date],AM$5)),0)</f>
        <v>0</v>
      </c>
      <c r="AN116" s="8" cm="1">
        <f t="array" ref="AN116">IF(AN$5&lt;=LatestMonthOfActuals,SUMIFS(AN$68:AN$103,BSAcctIDs,$L116)- SUM(SUMIFS(PBC_BALANCE_SHEET[AccountBalance],PBC_BALANCE_SHEET[Id],_xlfn._xlws.FILTER(PBC_ACCOUNT_LIST[Id],PBC_ACCOUNT_LIST[AccountType]="Bank"),PBC_BALANCE_SHEET[Date],AN$5)),0)</f>
        <v>0</v>
      </c>
      <c r="AO116" s="8" cm="1">
        <f t="array" ref="AO116">IF(AO$5&lt;=LatestMonthOfActuals,SUMIFS(AO$68:AO$103,BSAcctIDs,$L116)- SUM(SUMIFS(PBC_BALANCE_SHEET[AccountBalance],PBC_BALANCE_SHEET[Id],_xlfn._xlws.FILTER(PBC_ACCOUNT_LIST[Id],PBC_ACCOUNT_LIST[AccountType]="Bank"),PBC_BALANCE_SHEET[Date],AO$5)),0)</f>
        <v>0</v>
      </c>
      <c r="AP116" s="8" cm="1">
        <f t="array" ref="AP116">IF(AP$5&lt;=LatestMonthOfActuals,SUMIFS(AP$68:AP$103,BSAcctIDs,$L116)- SUM(SUMIFS(PBC_BALANCE_SHEET[AccountBalance],PBC_BALANCE_SHEET[Id],_xlfn._xlws.FILTER(PBC_ACCOUNT_LIST[Id],PBC_ACCOUNT_LIST[AccountType]="Bank"),PBC_BALANCE_SHEET[Date],AP$5)),0)</f>
        <v>0</v>
      </c>
      <c r="AQ116" s="8" cm="1">
        <f t="array" ref="AQ116">IF(AQ$5&lt;=LatestMonthOfActuals,SUMIFS(AQ$68:AQ$103,BSAcctIDs,$L116)- SUM(SUMIFS(PBC_BALANCE_SHEET[AccountBalance],PBC_BALANCE_SHEET[Id],_xlfn._xlws.FILTER(PBC_ACCOUNT_LIST[Id],PBC_ACCOUNT_LIST[AccountType]="Bank"),PBC_BALANCE_SHEET[Date],AQ$5)),0)</f>
        <v>0</v>
      </c>
      <c r="AR116" s="8" cm="1">
        <f t="array" ref="AR116">IF(AR$5&lt;=LatestMonthOfActuals,SUMIFS(AR$68:AR$103,BSAcctIDs,$L116)- SUM(SUMIFS(PBC_BALANCE_SHEET[AccountBalance],PBC_BALANCE_SHEET[Id],_xlfn._xlws.FILTER(PBC_ACCOUNT_LIST[Id],PBC_ACCOUNT_LIST[AccountType]="Bank"),PBC_BALANCE_SHEET[Date],AR$5)),0)</f>
        <v>0</v>
      </c>
      <c r="AS116" s="8" cm="1">
        <f t="array" ref="AS116">IF(AS$5&lt;=LatestMonthOfActuals,SUMIFS(AS$68:AS$103,BSAcctIDs,$L116)- SUM(SUMIFS(PBC_BALANCE_SHEET[AccountBalance],PBC_BALANCE_SHEET[Id],_xlfn._xlws.FILTER(PBC_ACCOUNT_LIST[Id],PBC_ACCOUNT_LIST[AccountType]="Bank"),PBC_BALANCE_SHEET[Date],AS$5)),0)</f>
        <v>0</v>
      </c>
      <c r="AT116" s="8" cm="1">
        <f t="array" ref="AT116">IF(AT$5&lt;=LatestMonthOfActuals,SUMIFS(AT$68:AT$103,BSAcctIDs,$L116)- SUM(SUMIFS(PBC_BALANCE_SHEET[AccountBalance],PBC_BALANCE_SHEET[Id],_xlfn._xlws.FILTER(PBC_ACCOUNT_LIST[Id],PBC_ACCOUNT_LIST[AccountType]="Bank"),PBC_BALANCE_SHEET[Date],AT$5)),0)</f>
        <v>0</v>
      </c>
      <c r="AU116" s="8" cm="1">
        <f t="array" ref="AU116">IF(AU$5&lt;=LatestMonthOfActuals,SUMIFS(AU$68:AU$103,BSAcctIDs,$L116)- SUM(SUMIFS(PBC_BALANCE_SHEET[AccountBalance],PBC_BALANCE_SHEET[Id],_xlfn._xlws.FILTER(PBC_ACCOUNT_LIST[Id],PBC_ACCOUNT_LIST[AccountType]="Bank"),PBC_BALANCE_SHEET[Date],AU$5)),0)</f>
        <v>0</v>
      </c>
      <c r="AV116" s="8" cm="1">
        <f t="array" ref="AV116">IF(AV$5&lt;=LatestMonthOfActuals,SUMIFS(AV$68:AV$103,BSAcctIDs,$L116)- SUM(SUMIFS(PBC_BALANCE_SHEET[AccountBalance],PBC_BALANCE_SHEET[Id],_xlfn._xlws.FILTER(PBC_ACCOUNT_LIST[Id],PBC_ACCOUNT_LIST[AccountType]="Bank"),PBC_BALANCE_SHEET[Date],AV$5)),0)</f>
        <v>0</v>
      </c>
      <c r="AW116" s="8" cm="1">
        <f t="array" ref="AW116">IF(AW$5&lt;=LatestMonthOfActuals,SUMIFS(AW$68:AW$103,BSAcctIDs,$L116)- SUM(SUMIFS(PBC_BALANCE_SHEET[AccountBalance],PBC_BALANCE_SHEET[Id],_xlfn._xlws.FILTER(PBC_ACCOUNT_LIST[Id],PBC_ACCOUNT_LIST[AccountType]="Bank"),PBC_BALANCE_SHEET[Date],AW$5)),0)</f>
        <v>-4.6566128730773926E-10</v>
      </c>
      <c r="AX116" s="8" cm="1">
        <f t="array" ref="AX116">IF(AX$5&lt;=LatestMonthOfActuals,SUMIFS(AX$68:AX$103,BSAcctIDs,$L116)- SUM(SUMIFS(PBC_BALANCE_SHEET[AccountBalance],PBC_BALANCE_SHEET[Id],_xlfn._xlws.FILTER(PBC_ACCOUNT_LIST[Id],PBC_ACCOUNT_LIST[AccountType]="Bank"),PBC_BALANCE_SHEET[Date],AX$5)),0)</f>
        <v>0</v>
      </c>
      <c r="AY116" s="8" cm="1">
        <f t="array" ref="AY116">IF(AY$5&lt;=LatestMonthOfActuals,SUMIFS(AY$68:AY$103,BSAcctIDs,$L116)- SUM(SUMIFS(PBC_BALANCE_SHEET[AccountBalance],PBC_BALANCE_SHEET[Id],_xlfn._xlws.FILTER(PBC_ACCOUNT_LIST[Id],PBC_ACCOUNT_LIST[AccountType]="Bank"),PBC_BALANCE_SHEET[Date],AY$5)),0)</f>
        <v>0</v>
      </c>
      <c r="AZ116" s="8" cm="1">
        <f t="array" ref="AZ116">IF(AZ$5&lt;=LatestMonthOfActuals,SUMIFS(AZ$68:AZ$103,BSAcctIDs,$L116)- SUM(SUMIFS(PBC_BALANCE_SHEET[AccountBalance],PBC_BALANCE_SHEET[Id],_xlfn._xlws.FILTER(PBC_ACCOUNT_LIST[Id],PBC_ACCOUNT_LIST[AccountType]="Bank"),PBC_BALANCE_SHEET[Date],AZ$5)),0)</f>
        <v>0</v>
      </c>
      <c r="BA116" s="8" cm="1">
        <f t="array" ref="BA116">IF(BA$5&lt;=LatestMonthOfActuals,SUMIFS(BA$68:BA$103,BSAcctIDs,$L116)- SUM(SUMIFS(PBC_BALANCE_SHEET[AccountBalance],PBC_BALANCE_SHEET[Id],_xlfn._xlws.FILTER(PBC_ACCOUNT_LIST[Id],PBC_ACCOUNT_LIST[AccountType]="Bank"),PBC_BALANCE_SHEET[Date],BA$5)),0)</f>
        <v>0</v>
      </c>
      <c r="BB116" s="8" cm="1">
        <f t="array" ref="BB116">IF(BB$5&lt;=LatestMonthOfActuals,SUMIFS(BB$68:BB$103,BSAcctIDs,$L116)- SUM(SUMIFS(PBC_BALANCE_SHEET[AccountBalance],PBC_BALANCE_SHEET[Id],_xlfn._xlws.FILTER(PBC_ACCOUNT_LIST[Id],PBC_ACCOUNT_LIST[AccountType]="Bank"),PBC_BALANCE_SHEET[Date],BB$5)),0)</f>
        <v>0</v>
      </c>
      <c r="BC116" s="8" cm="1">
        <f t="array" ref="BC116">IF(BC$5&lt;=LatestMonthOfActuals,SUMIFS(BC$68:BC$103,BSAcctIDs,$L116)- SUM(SUMIFS(PBC_BALANCE_SHEET[AccountBalance],PBC_BALANCE_SHEET[Id],_xlfn._xlws.FILTER(PBC_ACCOUNT_LIST[Id],PBC_ACCOUNT_LIST[AccountType]="Bank"),PBC_BALANCE_SHEET[Date],BC$5)),0)</f>
        <v>0</v>
      </c>
      <c r="BD116" s="8" cm="1">
        <f t="array" ref="BD116">IF(BD$5&lt;=LatestMonthOfActuals,SUMIFS(BD$68:BD$103,BSAcctIDs,$L116)- SUM(SUMIFS(PBC_BALANCE_SHEET[AccountBalance],PBC_BALANCE_SHEET[Id],_xlfn._xlws.FILTER(PBC_ACCOUNT_LIST[Id],PBC_ACCOUNT_LIST[AccountType]="Bank"),PBC_BALANCE_SHEET[Date],BD$5)),0)</f>
        <v>0</v>
      </c>
      <c r="BE116" s="8" cm="1">
        <f t="array" ref="BE116">IF(BE$5&lt;=LatestMonthOfActuals,SUMIFS(BE$68:BE$103,BSAcctIDs,$L116)- SUM(SUMIFS(PBC_BALANCE_SHEET[AccountBalance],PBC_BALANCE_SHEET[Id],_xlfn._xlws.FILTER(PBC_ACCOUNT_LIST[Id],PBC_ACCOUNT_LIST[AccountType]="Bank"),PBC_BALANCE_SHEET[Date],BE$5)),0)</f>
        <v>0</v>
      </c>
      <c r="BF116" s="8" cm="1">
        <f t="array" ref="BF116">IF(BF$5&lt;=LatestMonthOfActuals,SUMIFS(BF$68:BF$103,BSAcctIDs,$L116)- SUM(SUMIFS(PBC_BALANCE_SHEET[AccountBalance],PBC_BALANCE_SHEET[Id],_xlfn._xlws.FILTER(PBC_ACCOUNT_LIST[Id],PBC_ACCOUNT_LIST[AccountType]="Bank"),PBC_BALANCE_SHEET[Date],BF$5)),0)</f>
        <v>0</v>
      </c>
      <c r="BG116" s="8" cm="1">
        <f t="array" ref="BG116">IF(BG$5&lt;=LatestMonthOfActuals,SUMIFS(BG$68:BG$103,BSAcctIDs,$L116)- SUM(SUMIFS(PBC_BALANCE_SHEET[AccountBalance],PBC_BALANCE_SHEET[Id],_xlfn._xlws.FILTER(PBC_ACCOUNT_LIST[Id],PBC_ACCOUNT_LIST[AccountType]="Bank"),PBC_BALANCE_SHEET[Date],BG$5)),0)</f>
        <v>0</v>
      </c>
      <c r="BH116" s="8" cm="1">
        <f t="array" ref="BH116">IF(BH$5&lt;=LatestMonthOfActuals,SUMIFS(BH$68:BH$103,BSAcctIDs,$L116)- SUM(SUMIFS(PBC_BALANCE_SHEET[AccountBalance],PBC_BALANCE_SHEET[Id],_xlfn._xlws.FILTER(PBC_ACCOUNT_LIST[Id],PBC_ACCOUNT_LIST[AccountType]="Bank"),PBC_BALANCE_SHEET[Date],BH$5)),0)</f>
        <v>0</v>
      </c>
      <c r="BI116" s="8" cm="1">
        <f t="array" ref="BI116">IF(BI$5&lt;=LatestMonthOfActuals,SUMIFS(BI$68:BI$103,BSAcctIDs,$L116)- SUM(SUMIFS(PBC_BALANCE_SHEET[AccountBalance],PBC_BALANCE_SHEET[Id],_xlfn._xlws.FILTER(PBC_ACCOUNT_LIST[Id],PBC_ACCOUNT_LIST[AccountType]="Bank"),PBC_BALANCE_SHEET[Date],BI$5)),0)</f>
        <v>0</v>
      </c>
      <c r="BJ116" s="8" cm="1">
        <f t="array" ref="BJ116">IF(BJ$5&lt;=LatestMonthOfActuals,SUMIFS(BJ$68:BJ$103,BSAcctIDs,$L116)- SUM(SUMIFS(PBC_BALANCE_SHEET[AccountBalance],PBC_BALANCE_SHEET[Id],_xlfn._xlws.FILTER(PBC_ACCOUNT_LIST[Id],PBC_ACCOUNT_LIST[AccountType]="Bank"),PBC_BALANCE_SHEET[Date],BJ$5)),0)</f>
        <v>0</v>
      </c>
      <c r="BK116" s="8" cm="1">
        <f t="array" ref="BK116">IF(BK$5&lt;=LatestMonthOfActuals,SUMIFS(BK$68:BK$103,BSAcctIDs,$L116)- SUM(SUMIFS(PBC_BALANCE_SHEET[AccountBalance],PBC_BALANCE_SHEET[Id],_xlfn._xlws.FILTER(PBC_ACCOUNT_LIST[Id],PBC_ACCOUNT_LIST[AccountType]="Bank"),PBC_BALANCE_SHEET[Date],BK$5)),0)</f>
        <v>0</v>
      </c>
      <c r="BL116" s="8" cm="1">
        <f t="array" ref="BL116">IF(BL$5&lt;=LatestMonthOfActuals,SUMIFS(BL$68:BL$103,BSAcctIDs,$L116)- SUM(SUMIFS(PBC_BALANCE_SHEET[AccountBalance],PBC_BALANCE_SHEET[Id],_xlfn._xlws.FILTER(PBC_ACCOUNT_LIST[Id],PBC_ACCOUNT_LIST[AccountType]="Bank"),PBC_BALANCE_SHEET[Date],BL$5)),0)</f>
        <v>0</v>
      </c>
      <c r="BM116" s="8" cm="1">
        <f t="array" ref="BM116">IF(BM$5&lt;=LatestMonthOfActuals,SUMIFS(BM$68:BM$103,BSAcctIDs,$L116)- SUM(SUMIFS(PBC_BALANCE_SHEET[AccountBalance],PBC_BALANCE_SHEET[Id],_xlfn._xlws.FILTER(PBC_ACCOUNT_LIST[Id],PBC_ACCOUNT_LIST[AccountType]="Bank"),PBC_BALANCE_SHEET[Date],BM$5)),0)</f>
        <v>0</v>
      </c>
      <c r="BN116" s="8" cm="1">
        <f t="array" ref="BN116">IF(BN$5&lt;=LatestMonthOfActuals,SUMIFS(BN$68:BN$103,BSAcctIDs,$L116)- SUM(SUMIFS(PBC_BALANCE_SHEET[AccountBalance],PBC_BALANCE_SHEET[Id],_xlfn._xlws.FILTER(PBC_ACCOUNT_LIST[Id],PBC_ACCOUNT_LIST[AccountType]="Bank"),PBC_BALANCE_SHEET[Date],BN$5)),0)</f>
        <v>0</v>
      </c>
      <c r="BO116" s="8" cm="1">
        <f t="array" ref="BO116">IF(BO$5&lt;=LatestMonthOfActuals,SUMIFS(BO$68:BO$103,BSAcctIDs,$L116)- SUM(SUMIFS(PBC_BALANCE_SHEET[AccountBalance],PBC_BALANCE_SHEET[Id],_xlfn._xlws.FILTER(PBC_ACCOUNT_LIST[Id],PBC_ACCOUNT_LIST[AccountType]="Bank"),PBC_BALANCE_SHEET[Date],BO$5)),0)</f>
        <v>0</v>
      </c>
      <c r="BP116" s="8" cm="1">
        <f t="array" ref="BP116">IF(BP$5&lt;=LatestMonthOfActuals,SUMIFS(BP$68:BP$103,BSAcctIDs,$L116)- SUM(SUMIFS(PBC_BALANCE_SHEET[AccountBalance],PBC_BALANCE_SHEET[Id],_xlfn._xlws.FILTER(PBC_ACCOUNT_LIST[Id],PBC_ACCOUNT_LIST[AccountType]="Bank"),PBC_BALANCE_SHEET[Date],BP$5)),0)</f>
        <v>0</v>
      </c>
      <c r="BQ116" s="8" cm="1">
        <f t="array" ref="BQ116">IF(BQ$5&lt;=LatestMonthOfActuals,SUMIFS(BQ$68:BQ$103,BSAcctIDs,$L116)- SUM(SUMIFS(PBC_BALANCE_SHEET[AccountBalance],PBC_BALANCE_SHEET[Id],_xlfn._xlws.FILTER(PBC_ACCOUNT_LIST[Id],PBC_ACCOUNT_LIST[AccountType]="Bank"),PBC_BALANCE_SHEET[Date],BQ$5)),0)</f>
        <v>0</v>
      </c>
      <c r="BR116" s="8" cm="1">
        <f t="array" ref="BR116">IF(BR$5&lt;=LatestMonthOfActuals,SUMIFS(BR$68:BR$103,BSAcctIDs,$L116)- SUM(SUMIFS(PBC_BALANCE_SHEET[AccountBalance],PBC_BALANCE_SHEET[Id],_xlfn._xlws.FILTER(PBC_ACCOUNT_LIST[Id],PBC_ACCOUNT_LIST[AccountType]="Bank"),PBC_BALANCE_SHEET[Date],BR$5)),0)</f>
        <v>0</v>
      </c>
      <c r="BS116" s="8" cm="1">
        <f t="array" ref="BS116">IF(BS$5&lt;=LatestMonthOfActuals,SUMIFS(BS$68:BS$103,BSAcctIDs,$L116)- SUM(SUMIFS(PBC_BALANCE_SHEET[AccountBalance],PBC_BALANCE_SHEET[Id],_xlfn._xlws.FILTER(PBC_ACCOUNT_LIST[Id],PBC_ACCOUNT_LIST[AccountType]="Bank"),PBC_BALANCE_SHEET[Date],BS$5)),0)</f>
        <v>0</v>
      </c>
    </row>
  </sheetData>
  <autoFilter ref="E8:L103" xr:uid="{97847BD2-BAC7-402B-A673-839F9CA627A0}"/>
  <mergeCells count="3">
    <mergeCell ref="O2:O8"/>
    <mergeCell ref="T2:T8"/>
    <mergeCell ref="AH2:AH8"/>
  </mergeCells>
  <pageMargins left="0.7" right="0.7" top="0.75" bottom="0.75" header="0.3" footer="0.3"/>
  <pageSetup orientation="portrait" r:id="rId1"/>
  <customProperties>
    <customPr name="data-inserted" r:id="rId2"/>
    <customPr name="sheetName" r:id="rId3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2359-0C92-4879-B122-3715FA08E622}">
  <sheetPr>
    <outlinePr summaryBelow="0" summaryRight="0"/>
  </sheetPr>
  <dimension ref="A1:AW125"/>
  <sheetViews>
    <sheetView showGridLines="0" zoomScale="90" zoomScaleNormal="90" workbookViewId="0">
      <pane ySplit="8" topLeftCell="A49" activePane="bottomLeft" state="frozen"/>
      <selection activeCell="AG63" sqref="AG63"/>
      <selection pane="bottomLeft"/>
    </sheetView>
  </sheetViews>
  <sheetFormatPr defaultColWidth="10.28515625" defaultRowHeight="18.75" customHeight="1" outlineLevelRow="3" outlineLevelCol="2"/>
  <cols>
    <col min="1" max="1" width="3.28515625" style="2" customWidth="1"/>
    <col min="2" max="2" width="3.42578125" style="7" customWidth="1"/>
    <col min="3" max="3" width="1.85546875" style="60" customWidth="1"/>
    <col min="4" max="4" width="31.28515625" style="5" customWidth="1" collapsed="1"/>
    <col min="5" max="5" width="35.28515625" style="2" hidden="1" customWidth="1" outlineLevel="2"/>
    <col min="6" max="6" width="17" style="2" hidden="1" customWidth="1" outlineLevel="2"/>
    <col min="7" max="7" width="11.42578125" style="2" hidden="1" customWidth="1" outlineLevel="2"/>
    <col min="8" max="8" width="36.42578125" style="2" hidden="1" customWidth="1" outlineLevel="2"/>
    <col min="9" max="9" width="30" style="2" hidden="1" customWidth="1" outlineLevel="2"/>
    <col min="10" max="10" width="13.42578125" style="2" hidden="1" customWidth="1" outlineLevel="2"/>
    <col min="11" max="11" width="2.140625" style="4" customWidth="1"/>
    <col min="12" max="12" width="3.140625" style="4" customWidth="1"/>
    <col min="13" max="36" width="11.42578125" style="2" bestFit="1" customWidth="1" outlineLevel="1"/>
    <col min="37" max="49" width="12.28515625" style="2" bestFit="1" customWidth="1" outlineLevel="1"/>
    <col min="50" max="50" width="10.28515625" style="2" customWidth="1"/>
    <col min="51" max="16384" width="10.28515625" style="2"/>
  </cols>
  <sheetData>
    <row r="1" spans="1:49" ht="21" customHeight="1">
      <c r="A1" s="23" t="s">
        <v>536</v>
      </c>
    </row>
    <row r="2" spans="1:49" ht="18" customHeight="1">
      <c r="A2" t="str" cm="1">
        <f t="array" aca="1" ref="A2" ca="1">IFERROR(MID(CELL("filename",A1),FIND("]",CELL("filename",A1))+1,LEN(CELL("filename",A1))),"")</f>
        <v>Data Summary</v>
      </c>
      <c r="L2" s="274" t="s">
        <v>110</v>
      </c>
    </row>
    <row r="3" spans="1:49" ht="21" collapsed="1">
      <c r="A3" s="2" t="str">
        <f>'Error Check'!D12</f>
        <v>Model Functioning Properly</v>
      </c>
      <c r="L3" s="274"/>
      <c r="M3" s="58" t="str">
        <f t="shared" ref="M3:AW3" si="0">IF(M$5&lt;=LatestMonthOfActuals,"Actual","Projected")</f>
        <v>Actual</v>
      </c>
      <c r="N3" s="58" t="str">
        <f t="shared" si="0"/>
        <v>Actual</v>
      </c>
      <c r="O3" s="58" t="str">
        <f t="shared" si="0"/>
        <v>Actual</v>
      </c>
      <c r="P3" s="58" t="str">
        <f t="shared" si="0"/>
        <v>Actual</v>
      </c>
      <c r="Q3" s="58" t="str">
        <f t="shared" si="0"/>
        <v>Actual</v>
      </c>
      <c r="R3" s="58" t="str">
        <f t="shared" si="0"/>
        <v>Actual</v>
      </c>
      <c r="S3" s="58" t="str">
        <f t="shared" si="0"/>
        <v>Actual</v>
      </c>
      <c r="T3" s="58" t="str">
        <f t="shared" si="0"/>
        <v>Actual</v>
      </c>
      <c r="U3" s="58" t="str">
        <f t="shared" si="0"/>
        <v>Actual</v>
      </c>
      <c r="V3" s="58" t="str">
        <f t="shared" si="0"/>
        <v>Actual</v>
      </c>
      <c r="W3" s="58" t="str">
        <f t="shared" si="0"/>
        <v>Actual</v>
      </c>
      <c r="X3" s="58" t="str">
        <f t="shared" si="0"/>
        <v>Actual</v>
      </c>
      <c r="Y3" s="58" t="str">
        <f t="shared" si="0"/>
        <v>Actual</v>
      </c>
      <c r="Z3" s="58" t="str">
        <f t="shared" si="0"/>
        <v>Actual</v>
      </c>
      <c r="AA3" s="58" t="str">
        <f t="shared" si="0"/>
        <v>Actual</v>
      </c>
      <c r="AB3" s="58" t="str">
        <f t="shared" si="0"/>
        <v>Actual</v>
      </c>
      <c r="AC3" s="58" t="str">
        <f t="shared" si="0"/>
        <v>Actual</v>
      </c>
      <c r="AD3" s="58" t="str">
        <f t="shared" si="0"/>
        <v>Actual</v>
      </c>
      <c r="AE3" s="58" t="str">
        <f t="shared" si="0"/>
        <v>Actual</v>
      </c>
      <c r="AF3" s="58" t="str">
        <f t="shared" si="0"/>
        <v>Actual</v>
      </c>
      <c r="AG3" s="58" t="str">
        <f t="shared" si="0"/>
        <v>Actual</v>
      </c>
      <c r="AH3" s="58" t="str">
        <f t="shared" si="0"/>
        <v>Actual</v>
      </c>
      <c r="AI3" s="58" t="str">
        <f t="shared" si="0"/>
        <v>Projected</v>
      </c>
      <c r="AJ3" s="58" t="str">
        <f t="shared" si="0"/>
        <v>Projected</v>
      </c>
      <c r="AK3" s="58" t="str">
        <f t="shared" si="0"/>
        <v>Projected</v>
      </c>
      <c r="AL3" s="58" t="str">
        <f t="shared" si="0"/>
        <v>Projected</v>
      </c>
      <c r="AM3" s="58" t="str">
        <f t="shared" si="0"/>
        <v>Projected</v>
      </c>
      <c r="AN3" s="58" t="str">
        <f t="shared" si="0"/>
        <v>Projected</v>
      </c>
      <c r="AO3" s="58" t="str">
        <f t="shared" si="0"/>
        <v>Projected</v>
      </c>
      <c r="AP3" s="58" t="str">
        <f t="shared" si="0"/>
        <v>Projected</v>
      </c>
      <c r="AQ3" s="58" t="str">
        <f t="shared" si="0"/>
        <v>Projected</v>
      </c>
      <c r="AR3" s="58" t="str">
        <f t="shared" si="0"/>
        <v>Projected</v>
      </c>
      <c r="AS3" s="58" t="str">
        <f t="shared" si="0"/>
        <v>Projected</v>
      </c>
      <c r="AT3" s="58" t="str">
        <f t="shared" si="0"/>
        <v>Projected</v>
      </c>
      <c r="AU3" s="58" t="str">
        <f t="shared" si="0"/>
        <v>Projected</v>
      </c>
      <c r="AV3" s="58" t="str">
        <f t="shared" si="0"/>
        <v>Projected</v>
      </c>
      <c r="AW3" s="58" t="str">
        <f t="shared" si="0"/>
        <v>Projected</v>
      </c>
    </row>
    <row r="4" spans="1:49" ht="18" hidden="1" customHeight="1" outlineLevel="3">
      <c r="L4" s="274"/>
      <c r="M4" s="56">
        <f>EOMONTH(M5,-1)+1</f>
        <v>45261</v>
      </c>
      <c r="N4" s="56">
        <f>Start_Date</f>
        <v>45292</v>
      </c>
      <c r="O4" s="56">
        <f t="shared" ref="O4:AW4" si="1">EOMONTH(O5,-1)+1</f>
        <v>45323</v>
      </c>
      <c r="P4" s="56">
        <f t="shared" si="1"/>
        <v>45352</v>
      </c>
      <c r="Q4" s="56">
        <f t="shared" si="1"/>
        <v>45383</v>
      </c>
      <c r="R4" s="56">
        <f t="shared" si="1"/>
        <v>45413</v>
      </c>
      <c r="S4" s="56">
        <f t="shared" si="1"/>
        <v>45444</v>
      </c>
      <c r="T4" s="56">
        <f t="shared" si="1"/>
        <v>45474</v>
      </c>
      <c r="U4" s="56">
        <f t="shared" si="1"/>
        <v>45505</v>
      </c>
      <c r="V4" s="56">
        <f t="shared" si="1"/>
        <v>45536</v>
      </c>
      <c r="W4" s="56">
        <f t="shared" si="1"/>
        <v>45566</v>
      </c>
      <c r="X4" s="56">
        <f t="shared" si="1"/>
        <v>45597</v>
      </c>
      <c r="Y4" s="56">
        <f t="shared" si="1"/>
        <v>45627</v>
      </c>
      <c r="Z4" s="56">
        <f t="shared" si="1"/>
        <v>45658</v>
      </c>
      <c r="AA4" s="56">
        <f t="shared" si="1"/>
        <v>45689</v>
      </c>
      <c r="AB4" s="56">
        <f t="shared" si="1"/>
        <v>45717</v>
      </c>
      <c r="AC4" s="56">
        <f t="shared" si="1"/>
        <v>45748</v>
      </c>
      <c r="AD4" s="56">
        <f t="shared" si="1"/>
        <v>45778</v>
      </c>
      <c r="AE4" s="56">
        <f t="shared" si="1"/>
        <v>45809</v>
      </c>
      <c r="AF4" s="56">
        <f t="shared" si="1"/>
        <v>45839</v>
      </c>
      <c r="AG4" s="56">
        <f t="shared" si="1"/>
        <v>45870</v>
      </c>
      <c r="AH4" s="56">
        <f t="shared" si="1"/>
        <v>45901</v>
      </c>
      <c r="AI4" s="56">
        <f t="shared" si="1"/>
        <v>45931</v>
      </c>
      <c r="AJ4" s="56">
        <f t="shared" si="1"/>
        <v>45962</v>
      </c>
      <c r="AK4" s="56">
        <f t="shared" si="1"/>
        <v>45992</v>
      </c>
      <c r="AL4" s="56">
        <f t="shared" si="1"/>
        <v>46023</v>
      </c>
      <c r="AM4" s="56">
        <f t="shared" si="1"/>
        <v>46054</v>
      </c>
      <c r="AN4" s="56">
        <f t="shared" si="1"/>
        <v>46082</v>
      </c>
      <c r="AO4" s="56">
        <f t="shared" si="1"/>
        <v>46113</v>
      </c>
      <c r="AP4" s="56">
        <f t="shared" si="1"/>
        <v>46143</v>
      </c>
      <c r="AQ4" s="56">
        <f t="shared" si="1"/>
        <v>46174</v>
      </c>
      <c r="AR4" s="56">
        <f t="shared" si="1"/>
        <v>46204</v>
      </c>
      <c r="AS4" s="56">
        <f t="shared" si="1"/>
        <v>46235</v>
      </c>
      <c r="AT4" s="56">
        <f t="shared" si="1"/>
        <v>46266</v>
      </c>
      <c r="AU4" s="56">
        <f t="shared" si="1"/>
        <v>46296</v>
      </c>
      <c r="AV4" s="56">
        <f t="shared" si="1"/>
        <v>46327</v>
      </c>
      <c r="AW4" s="56">
        <f t="shared" si="1"/>
        <v>46357</v>
      </c>
    </row>
    <row r="5" spans="1:49" ht="18" hidden="1" customHeight="1" outlineLevel="3">
      <c r="L5" s="274"/>
      <c r="M5" s="56">
        <f>EOMONTH(N5,-1)</f>
        <v>45291</v>
      </c>
      <c r="N5" s="56">
        <f>EOM_Start_Date</f>
        <v>45322</v>
      </c>
      <c r="O5" s="55">
        <f t="shared" ref="O5:AW5" si="2">EOMONTH(N5,1)</f>
        <v>45351</v>
      </c>
      <c r="P5" s="55">
        <f t="shared" si="2"/>
        <v>45382</v>
      </c>
      <c r="Q5" s="55">
        <f t="shared" si="2"/>
        <v>45412</v>
      </c>
      <c r="R5" s="55">
        <f t="shared" si="2"/>
        <v>45443</v>
      </c>
      <c r="S5" s="55">
        <f t="shared" si="2"/>
        <v>45473</v>
      </c>
      <c r="T5" s="55">
        <f t="shared" si="2"/>
        <v>45504</v>
      </c>
      <c r="U5" s="55">
        <f t="shared" si="2"/>
        <v>45535</v>
      </c>
      <c r="V5" s="55">
        <f t="shared" si="2"/>
        <v>45565</v>
      </c>
      <c r="W5" s="55">
        <f t="shared" si="2"/>
        <v>45596</v>
      </c>
      <c r="X5" s="55">
        <f t="shared" si="2"/>
        <v>45626</v>
      </c>
      <c r="Y5" s="55">
        <f t="shared" si="2"/>
        <v>45657</v>
      </c>
      <c r="Z5" s="55">
        <f t="shared" si="2"/>
        <v>45688</v>
      </c>
      <c r="AA5" s="55">
        <f t="shared" si="2"/>
        <v>45716</v>
      </c>
      <c r="AB5" s="55">
        <f t="shared" si="2"/>
        <v>45747</v>
      </c>
      <c r="AC5" s="55">
        <f t="shared" si="2"/>
        <v>45777</v>
      </c>
      <c r="AD5" s="55">
        <f t="shared" si="2"/>
        <v>45808</v>
      </c>
      <c r="AE5" s="55">
        <f t="shared" si="2"/>
        <v>45838</v>
      </c>
      <c r="AF5" s="55">
        <f t="shared" si="2"/>
        <v>45869</v>
      </c>
      <c r="AG5" s="55">
        <f t="shared" si="2"/>
        <v>45900</v>
      </c>
      <c r="AH5" s="55">
        <f t="shared" si="2"/>
        <v>45930</v>
      </c>
      <c r="AI5" s="55">
        <f t="shared" si="2"/>
        <v>45961</v>
      </c>
      <c r="AJ5" s="55">
        <f t="shared" si="2"/>
        <v>45991</v>
      </c>
      <c r="AK5" s="55">
        <f t="shared" si="2"/>
        <v>46022</v>
      </c>
      <c r="AL5" s="55">
        <f t="shared" si="2"/>
        <v>46053</v>
      </c>
      <c r="AM5" s="55">
        <f t="shared" si="2"/>
        <v>46081</v>
      </c>
      <c r="AN5" s="55">
        <f t="shared" si="2"/>
        <v>46112</v>
      </c>
      <c r="AO5" s="55">
        <f t="shared" si="2"/>
        <v>46142</v>
      </c>
      <c r="AP5" s="55">
        <f t="shared" si="2"/>
        <v>46173</v>
      </c>
      <c r="AQ5" s="55">
        <f t="shared" si="2"/>
        <v>46203</v>
      </c>
      <c r="AR5" s="55">
        <f t="shared" si="2"/>
        <v>46234</v>
      </c>
      <c r="AS5" s="55">
        <f t="shared" si="2"/>
        <v>46265</v>
      </c>
      <c r="AT5" s="55">
        <f t="shared" si="2"/>
        <v>46295</v>
      </c>
      <c r="AU5" s="55">
        <f t="shared" si="2"/>
        <v>46326</v>
      </c>
      <c r="AV5" s="55">
        <f t="shared" si="2"/>
        <v>46356</v>
      </c>
      <c r="AW5" s="55">
        <f t="shared" si="2"/>
        <v>46387</v>
      </c>
    </row>
    <row r="6" spans="1:49" ht="18" hidden="1" customHeight="1" outlineLevel="3">
      <c r="L6" s="274"/>
      <c r="M6" s="52">
        <f>YEAR(EOMONTH(M4,-Fiscal_Offset))</f>
        <v>2023</v>
      </c>
      <c r="N6" s="52">
        <f t="shared" ref="N6:AW6" si="3">YEAR(EOMONTH(N5,-Fiscal_Offset))</f>
        <v>2024</v>
      </c>
      <c r="O6" s="52">
        <f t="shared" si="3"/>
        <v>2024</v>
      </c>
      <c r="P6" s="52">
        <f t="shared" si="3"/>
        <v>2024</v>
      </c>
      <c r="Q6" s="52">
        <f t="shared" si="3"/>
        <v>2024</v>
      </c>
      <c r="R6" s="52">
        <f t="shared" si="3"/>
        <v>2024</v>
      </c>
      <c r="S6" s="52">
        <f t="shared" si="3"/>
        <v>2024</v>
      </c>
      <c r="T6" s="52">
        <f t="shared" si="3"/>
        <v>2024</v>
      </c>
      <c r="U6" s="52">
        <f t="shared" si="3"/>
        <v>2024</v>
      </c>
      <c r="V6" s="52">
        <f t="shared" si="3"/>
        <v>2024</v>
      </c>
      <c r="W6" s="52">
        <f t="shared" si="3"/>
        <v>2024</v>
      </c>
      <c r="X6" s="52">
        <f t="shared" si="3"/>
        <v>2024</v>
      </c>
      <c r="Y6" s="52">
        <f t="shared" si="3"/>
        <v>2024</v>
      </c>
      <c r="Z6" s="52">
        <f t="shared" si="3"/>
        <v>2025</v>
      </c>
      <c r="AA6" s="52">
        <f t="shared" si="3"/>
        <v>2025</v>
      </c>
      <c r="AB6" s="52">
        <f t="shared" si="3"/>
        <v>2025</v>
      </c>
      <c r="AC6" s="52">
        <f t="shared" si="3"/>
        <v>2025</v>
      </c>
      <c r="AD6" s="52">
        <f t="shared" si="3"/>
        <v>2025</v>
      </c>
      <c r="AE6" s="52">
        <f t="shared" si="3"/>
        <v>2025</v>
      </c>
      <c r="AF6" s="52">
        <f t="shared" si="3"/>
        <v>2025</v>
      </c>
      <c r="AG6" s="52">
        <f t="shared" si="3"/>
        <v>2025</v>
      </c>
      <c r="AH6" s="52">
        <f t="shared" si="3"/>
        <v>2025</v>
      </c>
      <c r="AI6" s="52">
        <f t="shared" si="3"/>
        <v>2025</v>
      </c>
      <c r="AJ6" s="52">
        <f t="shared" si="3"/>
        <v>2025</v>
      </c>
      <c r="AK6" s="52">
        <f t="shared" si="3"/>
        <v>2025</v>
      </c>
      <c r="AL6" s="52">
        <f t="shared" si="3"/>
        <v>2026</v>
      </c>
      <c r="AM6" s="52">
        <f t="shared" si="3"/>
        <v>2026</v>
      </c>
      <c r="AN6" s="52">
        <f t="shared" si="3"/>
        <v>2026</v>
      </c>
      <c r="AO6" s="52">
        <f t="shared" si="3"/>
        <v>2026</v>
      </c>
      <c r="AP6" s="52">
        <f t="shared" si="3"/>
        <v>2026</v>
      </c>
      <c r="AQ6" s="52">
        <f t="shared" si="3"/>
        <v>2026</v>
      </c>
      <c r="AR6" s="52">
        <f t="shared" si="3"/>
        <v>2026</v>
      </c>
      <c r="AS6" s="52">
        <f t="shared" si="3"/>
        <v>2026</v>
      </c>
      <c r="AT6" s="52">
        <f t="shared" si="3"/>
        <v>2026</v>
      </c>
      <c r="AU6" s="52">
        <f t="shared" si="3"/>
        <v>2026</v>
      </c>
      <c r="AV6" s="52">
        <f t="shared" si="3"/>
        <v>2026</v>
      </c>
      <c r="AW6" s="52">
        <f t="shared" si="3"/>
        <v>2026</v>
      </c>
    </row>
    <row r="7" spans="1:49" s="29" customFormat="1" ht="18" hidden="1" customHeight="1" outlineLevel="3">
      <c r="B7" s="51"/>
      <c r="C7" s="74"/>
      <c r="D7" s="49"/>
      <c r="K7" s="4"/>
      <c r="L7" s="274"/>
      <c r="M7" s="52" t="str">
        <f t="shared" ref="M7:AW7" si="4">"Q"&amp; ROUNDUP(MONTH(EOMONTH(M5,-Fiscal_Offset))/3,0)</f>
        <v>Q4</v>
      </c>
      <c r="N7" s="52" t="str">
        <f t="shared" si="4"/>
        <v>Q1</v>
      </c>
      <c r="O7" s="52" t="str">
        <f t="shared" si="4"/>
        <v>Q1</v>
      </c>
      <c r="P7" s="52" t="str">
        <f t="shared" si="4"/>
        <v>Q1</v>
      </c>
      <c r="Q7" s="52" t="str">
        <f t="shared" si="4"/>
        <v>Q2</v>
      </c>
      <c r="R7" s="52" t="str">
        <f t="shared" si="4"/>
        <v>Q2</v>
      </c>
      <c r="S7" s="52" t="str">
        <f t="shared" si="4"/>
        <v>Q2</v>
      </c>
      <c r="T7" s="52" t="str">
        <f t="shared" si="4"/>
        <v>Q3</v>
      </c>
      <c r="U7" s="52" t="str">
        <f t="shared" si="4"/>
        <v>Q3</v>
      </c>
      <c r="V7" s="52" t="str">
        <f t="shared" si="4"/>
        <v>Q3</v>
      </c>
      <c r="W7" s="52" t="str">
        <f t="shared" si="4"/>
        <v>Q4</v>
      </c>
      <c r="X7" s="52" t="str">
        <f t="shared" si="4"/>
        <v>Q4</v>
      </c>
      <c r="Y7" s="52" t="str">
        <f t="shared" si="4"/>
        <v>Q4</v>
      </c>
      <c r="Z7" s="52" t="str">
        <f t="shared" si="4"/>
        <v>Q1</v>
      </c>
      <c r="AA7" s="52" t="str">
        <f t="shared" si="4"/>
        <v>Q1</v>
      </c>
      <c r="AB7" s="52" t="str">
        <f t="shared" si="4"/>
        <v>Q1</v>
      </c>
      <c r="AC7" s="52" t="str">
        <f t="shared" si="4"/>
        <v>Q2</v>
      </c>
      <c r="AD7" s="52" t="str">
        <f t="shared" si="4"/>
        <v>Q2</v>
      </c>
      <c r="AE7" s="52" t="str">
        <f t="shared" si="4"/>
        <v>Q2</v>
      </c>
      <c r="AF7" s="52" t="str">
        <f t="shared" si="4"/>
        <v>Q3</v>
      </c>
      <c r="AG7" s="52" t="str">
        <f t="shared" si="4"/>
        <v>Q3</v>
      </c>
      <c r="AH7" s="52" t="str">
        <f t="shared" si="4"/>
        <v>Q3</v>
      </c>
      <c r="AI7" s="52" t="str">
        <f t="shared" si="4"/>
        <v>Q4</v>
      </c>
      <c r="AJ7" s="52" t="str">
        <f t="shared" si="4"/>
        <v>Q4</v>
      </c>
      <c r="AK7" s="52" t="str">
        <f t="shared" si="4"/>
        <v>Q4</v>
      </c>
      <c r="AL7" s="52" t="str">
        <f t="shared" si="4"/>
        <v>Q1</v>
      </c>
      <c r="AM7" s="52" t="str">
        <f t="shared" si="4"/>
        <v>Q1</v>
      </c>
      <c r="AN7" s="52" t="str">
        <f t="shared" si="4"/>
        <v>Q1</v>
      </c>
      <c r="AO7" s="52" t="str">
        <f t="shared" si="4"/>
        <v>Q2</v>
      </c>
      <c r="AP7" s="52" t="str">
        <f t="shared" si="4"/>
        <v>Q2</v>
      </c>
      <c r="AQ7" s="52" t="str">
        <f t="shared" si="4"/>
        <v>Q2</v>
      </c>
      <c r="AR7" s="52" t="str">
        <f t="shared" si="4"/>
        <v>Q3</v>
      </c>
      <c r="AS7" s="52" t="str">
        <f t="shared" si="4"/>
        <v>Q3</v>
      </c>
      <c r="AT7" s="52" t="str">
        <f t="shared" si="4"/>
        <v>Q3</v>
      </c>
      <c r="AU7" s="52" t="str">
        <f t="shared" si="4"/>
        <v>Q4</v>
      </c>
      <c r="AV7" s="52" t="str">
        <f t="shared" si="4"/>
        <v>Q4</v>
      </c>
      <c r="AW7" s="52" t="str">
        <f t="shared" si="4"/>
        <v>Q4</v>
      </c>
    </row>
    <row r="8" spans="1:49" s="29" customFormat="1" ht="21">
      <c r="B8" s="51"/>
      <c r="C8" s="74"/>
      <c r="D8" s="48" t="s">
        <v>236</v>
      </c>
      <c r="E8" s="48" t="s">
        <v>150</v>
      </c>
      <c r="F8" s="48" t="s">
        <v>151</v>
      </c>
      <c r="G8" s="48" t="s">
        <v>154</v>
      </c>
      <c r="H8" s="48" t="s">
        <v>153</v>
      </c>
      <c r="I8" s="48" t="s">
        <v>152</v>
      </c>
      <c r="J8" s="48" t="s">
        <v>155</v>
      </c>
      <c r="K8" s="4"/>
      <c r="L8" s="274"/>
      <c r="M8" s="43">
        <f t="shared" ref="M8:AW8" si="5">M5</f>
        <v>45291</v>
      </c>
      <c r="N8" s="43">
        <f t="shared" si="5"/>
        <v>45322</v>
      </c>
      <c r="O8" s="43">
        <f t="shared" si="5"/>
        <v>45351</v>
      </c>
      <c r="P8" s="43">
        <f t="shared" si="5"/>
        <v>45382</v>
      </c>
      <c r="Q8" s="43">
        <f t="shared" si="5"/>
        <v>45412</v>
      </c>
      <c r="R8" s="43">
        <f t="shared" si="5"/>
        <v>45443</v>
      </c>
      <c r="S8" s="43">
        <f t="shared" si="5"/>
        <v>45473</v>
      </c>
      <c r="T8" s="43">
        <f t="shared" si="5"/>
        <v>45504</v>
      </c>
      <c r="U8" s="43">
        <f t="shared" si="5"/>
        <v>45535</v>
      </c>
      <c r="V8" s="43">
        <f t="shared" si="5"/>
        <v>45565</v>
      </c>
      <c r="W8" s="43">
        <f t="shared" si="5"/>
        <v>45596</v>
      </c>
      <c r="X8" s="43">
        <f t="shared" si="5"/>
        <v>45626</v>
      </c>
      <c r="Y8" s="43">
        <f t="shared" si="5"/>
        <v>45657</v>
      </c>
      <c r="Z8" s="43">
        <f t="shared" si="5"/>
        <v>45688</v>
      </c>
      <c r="AA8" s="43">
        <f t="shared" si="5"/>
        <v>45716</v>
      </c>
      <c r="AB8" s="43">
        <f t="shared" si="5"/>
        <v>45747</v>
      </c>
      <c r="AC8" s="43">
        <f t="shared" si="5"/>
        <v>45777</v>
      </c>
      <c r="AD8" s="43">
        <f t="shared" si="5"/>
        <v>45808</v>
      </c>
      <c r="AE8" s="43">
        <f t="shared" si="5"/>
        <v>45838</v>
      </c>
      <c r="AF8" s="43">
        <f t="shared" si="5"/>
        <v>45869</v>
      </c>
      <c r="AG8" s="43">
        <f t="shared" si="5"/>
        <v>45900</v>
      </c>
      <c r="AH8" s="43">
        <f t="shared" si="5"/>
        <v>45930</v>
      </c>
      <c r="AI8" s="43">
        <f t="shared" si="5"/>
        <v>45961</v>
      </c>
      <c r="AJ8" s="43">
        <f t="shared" si="5"/>
        <v>45991</v>
      </c>
      <c r="AK8" s="43">
        <f t="shared" si="5"/>
        <v>46022</v>
      </c>
      <c r="AL8" s="43">
        <f t="shared" si="5"/>
        <v>46053</v>
      </c>
      <c r="AM8" s="43">
        <f t="shared" si="5"/>
        <v>46081</v>
      </c>
      <c r="AN8" s="43">
        <f t="shared" si="5"/>
        <v>46112</v>
      </c>
      <c r="AO8" s="43">
        <f t="shared" si="5"/>
        <v>46142</v>
      </c>
      <c r="AP8" s="43">
        <f t="shared" si="5"/>
        <v>46173</v>
      </c>
      <c r="AQ8" s="43">
        <f t="shared" si="5"/>
        <v>46203</v>
      </c>
      <c r="AR8" s="43">
        <f t="shared" si="5"/>
        <v>46234</v>
      </c>
      <c r="AS8" s="43">
        <f t="shared" si="5"/>
        <v>46265</v>
      </c>
      <c r="AT8" s="43">
        <f t="shared" si="5"/>
        <v>46295</v>
      </c>
      <c r="AU8" s="43">
        <f t="shared" si="5"/>
        <v>46326</v>
      </c>
      <c r="AV8" s="43">
        <f t="shared" si="5"/>
        <v>46356</v>
      </c>
      <c r="AW8" s="43">
        <f t="shared" si="5"/>
        <v>46387</v>
      </c>
    </row>
    <row r="9" spans="1:49" s="29" customFormat="1" ht="24">
      <c r="B9" s="38" t="s">
        <v>237</v>
      </c>
      <c r="C9" s="69"/>
      <c r="D9" s="31"/>
      <c r="E9" s="31"/>
      <c r="F9" s="31"/>
      <c r="G9" s="36"/>
      <c r="H9" s="36"/>
      <c r="I9" s="31"/>
      <c r="J9" s="31"/>
      <c r="K9" s="35"/>
      <c r="L9" s="35"/>
      <c r="M9" s="31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</row>
    <row r="10" spans="1:49" ht="6" customHeight="1">
      <c r="B10" s="22"/>
      <c r="C10" s="72"/>
      <c r="D10" s="28"/>
      <c r="E10" s="68"/>
      <c r="F10" s="14"/>
      <c r="G10" s="15"/>
      <c r="H10" s="15"/>
      <c r="I10" s="14"/>
      <c r="J10" s="1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</row>
    <row r="11" spans="1:49" ht="21">
      <c r="B11" s="22"/>
      <c r="C11" s="67" t="s">
        <v>238</v>
      </c>
      <c r="D11" s="28"/>
      <c r="E11" s="14"/>
      <c r="F11" s="14"/>
      <c r="G11" s="15"/>
      <c r="H11" s="15" t="str">
        <f>IFERROR(INDEX(PBC_ACCOUNT_LIST[Cash Flow Section],MATCH('Data Summary'!J11,PBC_ACCOUNT_LIST[Id],0)),"")</f>
        <v/>
      </c>
      <c r="I11" s="14"/>
      <c r="J11" s="1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</row>
    <row r="12" spans="1:49" ht="16.5" customHeight="1" outlineLevel="1">
      <c r="B12" s="22"/>
      <c r="C12" s="67"/>
      <c r="D12" s="26" t="s">
        <v>239</v>
      </c>
      <c r="E12" s="14" t="s">
        <v>33</v>
      </c>
      <c r="F12" s="14" t="s">
        <v>239</v>
      </c>
      <c r="G12" s="15"/>
      <c r="H12" s="15" t="str">
        <f>IFERROR(INDEX(PBC_ACCOUNT_LIST[Cash Flow Section],MATCH('Data Summary'!J12,PBC_ACCOUNT_LIST[Id],0)),"")</f>
        <v/>
      </c>
      <c r="I12" s="14"/>
      <c r="J12" s="14"/>
      <c r="M12" s="70" cm="1">
        <f t="array" ref="M12">SUMIFS(Drivers!AI$10:AI$66,PLSections,$E12,PLSummarys,$F12)</f>
        <v>0</v>
      </c>
      <c r="N12" s="70" cm="1">
        <f t="array" ref="N12">SUMIFS(Drivers!AJ$10:AJ$66,PLSections,$E12,PLSummarys,$F12)</f>
        <v>0</v>
      </c>
      <c r="O12" s="70" cm="1">
        <f t="array" ref="O12">SUMIFS(Drivers!AK$10:AK$66,PLSections,$E12,PLSummarys,$F12)</f>
        <v>0</v>
      </c>
      <c r="P12" s="70" cm="1">
        <f t="array" ref="P12">SUMIFS(Drivers!AL$10:AL$66,PLSections,$E12,PLSummarys,$F12)</f>
        <v>0</v>
      </c>
      <c r="Q12" s="70" cm="1">
        <f t="array" ref="Q12">SUMIFS(Drivers!AM$10:AM$66,PLSections,$E12,PLSummarys,$F12)</f>
        <v>0</v>
      </c>
      <c r="R12" s="70" cm="1">
        <f t="array" ref="R12">SUMIFS(Drivers!AN$10:AN$66,PLSections,$E12,PLSummarys,$F12)</f>
        <v>0</v>
      </c>
      <c r="S12" s="70" cm="1">
        <f t="array" ref="S12">SUMIFS(Drivers!AO$10:AO$66,PLSections,$E12,PLSummarys,$F12)</f>
        <v>0</v>
      </c>
      <c r="T12" s="70" cm="1">
        <f t="array" ref="T12">SUMIFS(Drivers!AP$10:AP$66,PLSections,$E12,PLSummarys,$F12)</f>
        <v>0</v>
      </c>
      <c r="U12" s="70" cm="1">
        <f t="array" ref="U12">SUMIFS(Drivers!AQ$10:AQ$66,PLSections,$E12,PLSummarys,$F12)</f>
        <v>0</v>
      </c>
      <c r="V12" s="70" cm="1">
        <f t="array" ref="V12">SUMIFS(Drivers!AR$10:AR$66,PLSections,$E12,PLSummarys,$F12)</f>
        <v>0</v>
      </c>
      <c r="W12" s="70" cm="1">
        <f t="array" ref="W12">SUMIFS(Drivers!AS$10:AS$66,PLSections,$E12,PLSummarys,$F12)</f>
        <v>0</v>
      </c>
      <c r="X12" s="70" cm="1">
        <f t="array" ref="X12">SUMIFS(Drivers!AT$10:AT$66,PLSections,$E12,PLSummarys,$F12)</f>
        <v>0</v>
      </c>
      <c r="Y12" s="70" cm="1">
        <f t="array" ref="Y12">SUMIFS(Drivers!AU$10:AU$66,PLSections,$E12,PLSummarys,$F12)</f>
        <v>0</v>
      </c>
      <c r="Z12" s="70" cm="1">
        <f t="array" ref="Z12">SUMIFS(Drivers!AV$10:AV$66,PLSections,$E12,PLSummarys,$F12)</f>
        <v>0</v>
      </c>
      <c r="AA12" s="70" cm="1">
        <f t="array" ref="AA12">SUMIFS(Drivers!AW$10:AW$66,PLSections,$E12,PLSummarys,$F12)</f>
        <v>0</v>
      </c>
      <c r="AB12" s="70" cm="1">
        <f t="array" ref="AB12">SUMIFS(Drivers!AX$10:AX$66,PLSections,$E12,PLSummarys,$F12)</f>
        <v>0</v>
      </c>
      <c r="AC12" s="70" cm="1">
        <f t="array" ref="AC12">SUMIFS(Drivers!AY$10:AY$66,PLSections,$E12,PLSummarys,$F12)</f>
        <v>0</v>
      </c>
      <c r="AD12" s="70" cm="1">
        <f t="array" ref="AD12">SUMIFS(Drivers!AZ$10:AZ$66,PLSections,$E12,PLSummarys,$F12)</f>
        <v>0</v>
      </c>
      <c r="AE12" s="70" cm="1">
        <f t="array" ref="AE12">SUMIFS(Drivers!BA$10:BA$66,PLSections,$E12,PLSummarys,$F12)</f>
        <v>0</v>
      </c>
      <c r="AF12" s="70" cm="1">
        <f t="array" ref="AF12">SUMIFS(Drivers!BB$10:BB$66,PLSections,$E12,PLSummarys,$F12)</f>
        <v>0</v>
      </c>
      <c r="AG12" s="70" cm="1">
        <f t="array" ref="AG12">SUMIFS(Drivers!BC$10:BC$66,PLSections,$E12,PLSummarys,$F12)</f>
        <v>0</v>
      </c>
      <c r="AH12" s="70" cm="1">
        <f t="array" ref="AH12">SUMIFS(Drivers!BD$10:BD$66,PLSections,$E12,PLSummarys,$F12)</f>
        <v>0</v>
      </c>
      <c r="AI12" s="70" cm="1">
        <f t="array" ref="AI12">SUMIFS(Drivers!BE$10:BE$66,PLSections,$E12,PLSummarys,$F12)</f>
        <v>0</v>
      </c>
      <c r="AJ12" s="70" cm="1">
        <f t="array" ref="AJ12">SUMIFS(Drivers!BF$10:BF$66,PLSections,$E12,PLSummarys,$F12)</f>
        <v>0</v>
      </c>
      <c r="AK12" s="70" cm="1">
        <f t="array" ref="AK12">SUMIFS(Drivers!BG$10:BG$66,PLSections,$E12,PLSummarys,$F12)</f>
        <v>0</v>
      </c>
      <c r="AL12" s="70" cm="1">
        <f t="array" ref="AL12">SUMIFS(Drivers!BH$10:BH$66,PLSections,$E12,PLSummarys,$F12)</f>
        <v>0</v>
      </c>
      <c r="AM12" s="70" cm="1">
        <f t="array" ref="AM12">SUMIFS(Drivers!BI$10:BI$66,PLSections,$E12,PLSummarys,$F12)</f>
        <v>0</v>
      </c>
      <c r="AN12" s="70" cm="1">
        <f t="array" ref="AN12">SUMIFS(Drivers!BJ$10:BJ$66,PLSections,$E12,PLSummarys,$F12)</f>
        <v>0</v>
      </c>
      <c r="AO12" s="70" cm="1">
        <f t="array" ref="AO12">SUMIFS(Drivers!BK$10:BK$66,PLSections,$E12,PLSummarys,$F12)</f>
        <v>0</v>
      </c>
      <c r="AP12" s="70" cm="1">
        <f t="array" ref="AP12">SUMIFS(Drivers!BL$10:BL$66,PLSections,$E12,PLSummarys,$F12)</f>
        <v>0</v>
      </c>
      <c r="AQ12" s="70" cm="1">
        <f t="array" ref="AQ12">SUMIFS(Drivers!BM$10:BM$66,PLSections,$E12,PLSummarys,$F12)</f>
        <v>0</v>
      </c>
      <c r="AR12" s="70" cm="1">
        <f t="array" ref="AR12">SUMIFS(Drivers!BN$10:BN$66,PLSections,$E12,PLSummarys,$F12)</f>
        <v>0</v>
      </c>
      <c r="AS12" s="70" cm="1">
        <f t="array" ref="AS12">SUMIFS(Drivers!BO$10:BO$66,PLSections,$E12,PLSummarys,$F12)</f>
        <v>0</v>
      </c>
      <c r="AT12" s="70" cm="1">
        <f t="array" ref="AT12">SUMIFS(Drivers!BP$10:BP$66,PLSections,$E12,PLSummarys,$F12)</f>
        <v>0</v>
      </c>
      <c r="AU12" s="70" cm="1">
        <f t="array" ref="AU12">SUMIFS(Drivers!BQ$10:BQ$66,PLSections,$E12,PLSummarys,$F12)</f>
        <v>0</v>
      </c>
      <c r="AV12" s="70" cm="1">
        <f t="array" ref="AV12">SUMIFS(Drivers!BR$10:BR$66,PLSections,$E12,PLSummarys,$F12)</f>
        <v>0</v>
      </c>
      <c r="AW12" s="70" cm="1">
        <f t="array" ref="AW12">SUMIFS(Drivers!BS$10:BS$66,PLSections,$E12,PLSummarys,$F12)</f>
        <v>0</v>
      </c>
    </row>
    <row r="13" spans="1:49" ht="16.5" customHeight="1" outlineLevel="1">
      <c r="B13" s="22"/>
      <c r="C13" s="67"/>
      <c r="D13" s="26" t="s">
        <v>33</v>
      </c>
      <c r="E13" s="14" t="s">
        <v>33</v>
      </c>
      <c r="F13" s="14" t="s">
        <v>33</v>
      </c>
      <c r="G13" s="15"/>
      <c r="H13" s="15"/>
      <c r="I13" s="14"/>
      <c r="J13" s="14"/>
      <c r="M13" s="70" cm="1">
        <f t="array" ref="M13">SUMIFS(Drivers!AI$10:AI$66,PLSections,$E13,PLSummarys,$F13)</f>
        <v>40000</v>
      </c>
      <c r="N13" s="70" cm="1">
        <f t="array" ref="N13">SUMIFS(Drivers!AJ$10:AJ$66,PLSections,$E13,PLSummarys,$F13)</f>
        <v>48456.5</v>
      </c>
      <c r="O13" s="70" cm="1">
        <f t="array" ref="O13">SUMIFS(Drivers!AK$10:AK$66,PLSections,$E13,PLSummarys,$F13)</f>
        <v>42000</v>
      </c>
      <c r="P13" s="70" cm="1">
        <f t="array" ref="P13">SUMIFS(Drivers!AL$10:AL$66,PLSections,$E13,PLSummarys,$F13)</f>
        <v>50879.5</v>
      </c>
      <c r="Q13" s="70" cm="1">
        <f t="array" ref="Q13">SUMIFS(Drivers!AM$10:AM$66,PLSections,$E13,PLSummarys,$F13)</f>
        <v>44100</v>
      </c>
      <c r="R13" s="70" cm="1">
        <f t="array" ref="R13">SUMIFS(Drivers!AN$10:AN$66,PLSections,$E13,PLSummarys,$F13)</f>
        <v>53424</v>
      </c>
      <c r="S13" s="70" cm="1">
        <f t="array" ref="S13">SUMIFS(Drivers!AO$10:AO$66,PLSections,$E13,PLSummarys,$F13)</f>
        <v>46305</v>
      </c>
      <c r="T13" s="70" cm="1">
        <f t="array" ref="T13">SUMIFS(Drivers!AP$10:AP$66,PLSections,$E13,PLSummarys,$F13)</f>
        <v>48620</v>
      </c>
      <c r="U13" s="70" cm="1">
        <f t="array" ref="U13">SUMIFS(Drivers!AQ$10:AQ$66,PLSections,$E13,PLSummarys,$F13)</f>
        <v>48620</v>
      </c>
      <c r="V13" s="70" cm="1">
        <f t="array" ref="V13">SUMIFS(Drivers!AR$10:AR$66,PLSections,$E13,PLSummarys,$F13)</f>
        <v>51051</v>
      </c>
      <c r="W13" s="70" cm="1">
        <f t="array" ref="W13">SUMIFS(Drivers!AS$10:AS$66,PLSections,$E13,PLSummarys,$F13)</f>
        <v>51051</v>
      </c>
      <c r="X13" s="70" cm="1">
        <f t="array" ref="X13">SUMIFS(Drivers!AT$10:AT$66,PLSections,$E13,PLSummarys,$F13)</f>
        <v>53604</v>
      </c>
      <c r="Y13" s="70" cm="1">
        <f t="array" ref="Y13">SUMIFS(Drivers!AU$10:AU$66,PLSections,$E13,PLSummarys,$F13)</f>
        <v>56284</v>
      </c>
      <c r="Z13" s="70" cm="1">
        <f t="array" ref="Z13">SUMIFS(Drivers!AV$10:AV$66,PLSections,$E13,PLSummarys,$F13)</f>
        <v>59098.22</v>
      </c>
      <c r="AA13" s="70" cm="1">
        <f t="array" ref="AA13">SUMIFS(Drivers!AW$10:AW$66,PLSections,$E13,PLSummarys,$F13)</f>
        <v>62053</v>
      </c>
      <c r="AB13" s="70" cm="1">
        <f t="array" ref="AB13">SUMIFS(Drivers!AX$10:AX$66,PLSections,$E13,PLSummarys,$F13)</f>
        <v>65156</v>
      </c>
      <c r="AC13" s="70" cm="1">
        <f t="array" ref="AC13">SUMIFS(Drivers!AY$10:AY$66,PLSections,$E13,PLSummarys,$F13)</f>
        <v>68414</v>
      </c>
      <c r="AD13" s="70" cm="1">
        <f t="array" ref="AD13">SUMIFS(Drivers!AZ$10:AZ$66,PLSections,$E13,PLSummarys,$F13)</f>
        <v>71834</v>
      </c>
      <c r="AE13" s="70" cm="1">
        <f t="array" ref="AE13">SUMIFS(Drivers!BA$10:BA$66,PLSections,$E13,PLSummarys,$F13)</f>
        <v>84125.97</v>
      </c>
      <c r="AF13" s="70" cm="1">
        <f t="array" ref="AF13">SUMIFS(Drivers!BB$10:BB$66,PLSections,$E13,PLSummarys,$F13)</f>
        <v>79197.259999999995</v>
      </c>
      <c r="AG13" s="70" cm="1">
        <f t="array" ref="AG13">SUMIFS(Drivers!BC$10:BC$66,PLSections,$E13,PLSummarys,$F13)</f>
        <v>83157.13</v>
      </c>
      <c r="AH13" s="70" cm="1">
        <f t="array" ref="AH13">SUMIFS(Drivers!BD$10:BD$66,PLSections,$E13,PLSummarys,$F13)</f>
        <v>87314.98</v>
      </c>
      <c r="AI13" s="70" cm="1">
        <f t="array" ref="AI13">SUMIFS(Drivers!BE$10:BE$66,PLSections,$E13,PLSummarys,$F13)</f>
        <v>82957.584499999997</v>
      </c>
      <c r="AJ13" s="70" cm="1">
        <f t="array" ref="AJ13">SUMIFS(Drivers!BF$10:BF$66,PLSections,$E13,PLSummarys,$F13)</f>
        <v>85502.711787499997</v>
      </c>
      <c r="AK13" s="70" cm="1">
        <f t="array" ref="AK13">SUMIFS(Drivers!BG$10:BG$66,PLSections,$E13,PLSummarys,$F13)</f>
        <v>87894.736350312509</v>
      </c>
      <c r="AL13" s="70" cm="1">
        <f t="array" ref="AL13">SUMIFS(Drivers!BH$10:BH$66,PLSections,$E13,PLSummarys,$F13)</f>
        <v>88554.270461617198</v>
      </c>
      <c r="AM13" s="70" cm="1">
        <f t="array" ref="AM13">SUMIFS(Drivers!BI$10:BI$66,PLSections,$E13,PLSummarys,$F13)</f>
        <v>90191.747292400192</v>
      </c>
      <c r="AN13" s="70" cm="1">
        <f t="array" ref="AN13">SUMIFS(Drivers!BJ$10:BJ$66,PLSections,$E13,PLSummarys,$F13)</f>
        <v>91422.80531857023</v>
      </c>
      <c r="AO13" s="70" cm="1">
        <f t="array" ref="AO13">SUMIFS(Drivers!BK$10:BK$66,PLSections,$E13,PLSummarys,$F13)</f>
        <v>92141.674749320024</v>
      </c>
      <c r="AP13" s="70" cm="1">
        <f t="array" ref="AP13">SUMIFS(Drivers!BL$10:BL$66,PLSections,$E13,PLSummarys,$F13)</f>
        <v>93748.89054295102</v>
      </c>
      <c r="AQ13" s="70" cm="1">
        <f t="array" ref="AQ13">SUMIFS(Drivers!BM$10:BM$66,PLSections,$E13,PLSummarys,$F13)</f>
        <v>95191.971825154964</v>
      </c>
      <c r="AR13" s="70" cm="1">
        <f t="array" ref="AR13">SUMIFS(Drivers!BN$10:BN$66,PLSections,$E13,PLSummarys,$F13)</f>
        <v>96468.98803325239</v>
      </c>
      <c r="AS13" s="70" cm="1">
        <f t="array" ref="AS13">SUMIFS(Drivers!BO$10:BO$66,PLSections,$E13,PLSummarys,$F13)</f>
        <v>97854.063608288547</v>
      </c>
      <c r="AT13" s="70" cm="1">
        <f t="array" ref="AT13">SUMIFS(Drivers!BP$10:BP$66,PLSections,$E13,PLSummarys,$F13)</f>
        <v>99194.968963568987</v>
      </c>
      <c r="AU13" s="70" cm="1">
        <f t="array" ref="AU13">SUMIFS(Drivers!BQ$10:BQ$66,PLSections,$E13,PLSummarys,$F13)</f>
        <v>100555.09760144379</v>
      </c>
      <c r="AV13" s="70" cm="1">
        <f t="array" ref="AV13">SUMIFS(Drivers!BR$10:BR$66,PLSections,$E13,PLSummarys,$F13)</f>
        <v>102027.44660056547</v>
      </c>
      <c r="AW13" s="70" cm="1">
        <f t="array" ref="AW13">SUMIFS(Drivers!BS$10:BS$66,PLSections,$E13,PLSummarys,$F13)</f>
        <v>103476.19391064797</v>
      </c>
    </row>
    <row r="14" spans="1:49" ht="16.5" customHeight="1" outlineLevel="1">
      <c r="B14" s="22"/>
      <c r="C14" s="67"/>
      <c r="D14" s="26" t="s">
        <v>240</v>
      </c>
      <c r="E14" s="14" t="s">
        <v>33</v>
      </c>
      <c r="F14" s="14" t="s">
        <v>240</v>
      </c>
      <c r="G14" s="15"/>
      <c r="H14" s="15"/>
      <c r="I14" s="14"/>
      <c r="J14" s="14"/>
      <c r="M14" s="70" cm="1">
        <f t="array" ref="M14">SUMIFS(Drivers!AI$10:AI$66,PLSections,$E14,PLSummarys,$F14)</f>
        <v>0</v>
      </c>
      <c r="N14" s="70" cm="1">
        <f t="array" ref="N14">SUMIFS(Drivers!AJ$10:AJ$66,PLSections,$E14,PLSummarys,$F14)</f>
        <v>0</v>
      </c>
      <c r="O14" s="70" cm="1">
        <f t="array" ref="O14">SUMIFS(Drivers!AK$10:AK$66,PLSections,$E14,PLSummarys,$F14)</f>
        <v>0</v>
      </c>
      <c r="P14" s="70" cm="1">
        <f t="array" ref="P14">SUMIFS(Drivers!AL$10:AL$66,PLSections,$E14,PLSummarys,$F14)</f>
        <v>0</v>
      </c>
      <c r="Q14" s="70" cm="1">
        <f t="array" ref="Q14">SUMIFS(Drivers!AM$10:AM$66,PLSections,$E14,PLSummarys,$F14)</f>
        <v>0</v>
      </c>
      <c r="R14" s="70" cm="1">
        <f t="array" ref="R14">SUMIFS(Drivers!AN$10:AN$66,PLSections,$E14,PLSummarys,$F14)</f>
        <v>0</v>
      </c>
      <c r="S14" s="70" cm="1">
        <f t="array" ref="S14">SUMIFS(Drivers!AO$10:AO$66,PLSections,$E14,PLSummarys,$F14)</f>
        <v>0</v>
      </c>
      <c r="T14" s="70" cm="1">
        <f t="array" ref="T14">SUMIFS(Drivers!AP$10:AP$66,PLSections,$E14,PLSummarys,$F14)</f>
        <v>0</v>
      </c>
      <c r="U14" s="70" cm="1">
        <f t="array" ref="U14">SUMIFS(Drivers!AQ$10:AQ$66,PLSections,$E14,PLSummarys,$F14)</f>
        <v>0</v>
      </c>
      <c r="V14" s="70" cm="1">
        <f t="array" ref="V14">SUMIFS(Drivers!AR$10:AR$66,PLSections,$E14,PLSummarys,$F14)</f>
        <v>0</v>
      </c>
      <c r="W14" s="70" cm="1">
        <f t="array" ref="W14">SUMIFS(Drivers!AS$10:AS$66,PLSections,$E14,PLSummarys,$F14)</f>
        <v>0</v>
      </c>
      <c r="X14" s="70" cm="1">
        <f t="array" ref="X14">SUMIFS(Drivers!AT$10:AT$66,PLSections,$E14,PLSummarys,$F14)</f>
        <v>0</v>
      </c>
      <c r="Y14" s="70" cm="1">
        <f t="array" ref="Y14">SUMIFS(Drivers!AU$10:AU$66,PLSections,$E14,PLSummarys,$F14)</f>
        <v>0</v>
      </c>
      <c r="Z14" s="70" cm="1">
        <f t="array" ref="Z14">SUMIFS(Drivers!AV$10:AV$66,PLSections,$E14,PLSummarys,$F14)</f>
        <v>0</v>
      </c>
      <c r="AA14" s="70" cm="1">
        <f t="array" ref="AA14">SUMIFS(Drivers!AW$10:AW$66,PLSections,$E14,PLSummarys,$F14)</f>
        <v>0</v>
      </c>
      <c r="AB14" s="70" cm="1">
        <f t="array" ref="AB14">SUMIFS(Drivers!AX$10:AX$66,PLSections,$E14,PLSummarys,$F14)</f>
        <v>0</v>
      </c>
      <c r="AC14" s="70" cm="1">
        <f t="array" ref="AC14">SUMIFS(Drivers!AY$10:AY$66,PLSections,$E14,PLSummarys,$F14)</f>
        <v>0</v>
      </c>
      <c r="AD14" s="70" cm="1">
        <f t="array" ref="AD14">SUMIFS(Drivers!AZ$10:AZ$66,PLSections,$E14,PLSummarys,$F14)</f>
        <v>0</v>
      </c>
      <c r="AE14" s="70" cm="1">
        <f t="array" ref="AE14">SUMIFS(Drivers!BA$10:BA$66,PLSections,$E14,PLSummarys,$F14)</f>
        <v>0</v>
      </c>
      <c r="AF14" s="70" cm="1">
        <f t="array" ref="AF14">SUMIFS(Drivers!BB$10:BB$66,PLSections,$E14,PLSummarys,$F14)</f>
        <v>0</v>
      </c>
      <c r="AG14" s="70" cm="1">
        <f t="array" ref="AG14">SUMIFS(Drivers!BC$10:BC$66,PLSections,$E14,PLSummarys,$F14)</f>
        <v>0</v>
      </c>
      <c r="AH14" s="70" cm="1">
        <f t="array" ref="AH14">SUMIFS(Drivers!BD$10:BD$66,PLSections,$E14,PLSummarys,$F14)</f>
        <v>0</v>
      </c>
      <c r="AI14" s="70" cm="1">
        <f t="array" ref="AI14">SUMIFS(Drivers!BE$10:BE$66,PLSections,$E14,PLSummarys,$F14)</f>
        <v>0</v>
      </c>
      <c r="AJ14" s="70" cm="1">
        <f t="array" ref="AJ14">SUMIFS(Drivers!BF$10:BF$66,PLSections,$E14,PLSummarys,$F14)</f>
        <v>0</v>
      </c>
      <c r="AK14" s="70" cm="1">
        <f t="array" ref="AK14">SUMIFS(Drivers!BG$10:BG$66,PLSections,$E14,PLSummarys,$F14)</f>
        <v>0</v>
      </c>
      <c r="AL14" s="70" cm="1">
        <f t="array" ref="AL14">SUMIFS(Drivers!BH$10:BH$66,PLSections,$E14,PLSummarys,$F14)</f>
        <v>0</v>
      </c>
      <c r="AM14" s="70" cm="1">
        <f t="array" ref="AM14">SUMIFS(Drivers!BI$10:BI$66,PLSections,$E14,PLSummarys,$F14)</f>
        <v>0</v>
      </c>
      <c r="AN14" s="70" cm="1">
        <f t="array" ref="AN14">SUMIFS(Drivers!BJ$10:BJ$66,PLSections,$E14,PLSummarys,$F14)</f>
        <v>0</v>
      </c>
      <c r="AO14" s="70" cm="1">
        <f t="array" ref="AO14">SUMIFS(Drivers!BK$10:BK$66,PLSections,$E14,PLSummarys,$F14)</f>
        <v>0</v>
      </c>
      <c r="AP14" s="70" cm="1">
        <f t="array" ref="AP14">SUMIFS(Drivers!BL$10:BL$66,PLSections,$E14,PLSummarys,$F14)</f>
        <v>0</v>
      </c>
      <c r="AQ14" s="70" cm="1">
        <f t="array" ref="AQ14">SUMIFS(Drivers!BM$10:BM$66,PLSections,$E14,PLSummarys,$F14)</f>
        <v>0</v>
      </c>
      <c r="AR14" s="70" cm="1">
        <f t="array" ref="AR14">SUMIFS(Drivers!BN$10:BN$66,PLSections,$E14,PLSummarys,$F14)</f>
        <v>0</v>
      </c>
      <c r="AS14" s="70" cm="1">
        <f t="array" ref="AS14">SUMIFS(Drivers!BO$10:BO$66,PLSections,$E14,PLSummarys,$F14)</f>
        <v>0</v>
      </c>
      <c r="AT14" s="70" cm="1">
        <f t="array" ref="AT14">SUMIFS(Drivers!BP$10:BP$66,PLSections,$E14,PLSummarys,$F14)</f>
        <v>0</v>
      </c>
      <c r="AU14" s="70" cm="1">
        <f t="array" ref="AU14">SUMIFS(Drivers!BQ$10:BQ$66,PLSections,$E14,PLSummarys,$F14)</f>
        <v>0</v>
      </c>
      <c r="AV14" s="70" cm="1">
        <f t="array" ref="AV14">SUMIFS(Drivers!BR$10:BR$66,PLSections,$E14,PLSummarys,$F14)</f>
        <v>0</v>
      </c>
      <c r="AW14" s="70" cm="1">
        <f t="array" ref="AW14">SUMIFS(Drivers!BS$10:BS$66,PLSections,$E14,PLSummarys,$F14)</f>
        <v>0</v>
      </c>
    </row>
    <row r="15" spans="1:49" ht="16.5" customHeight="1" outlineLevel="1">
      <c r="B15" s="22"/>
      <c r="C15" s="67"/>
      <c r="D15" s="26" t="s">
        <v>143</v>
      </c>
      <c r="E15" s="14" t="s">
        <v>143</v>
      </c>
      <c r="F15" s="14" t="s">
        <v>143</v>
      </c>
      <c r="G15" s="15"/>
      <c r="H15" s="15"/>
      <c r="I15" s="14"/>
      <c r="J15" s="14"/>
      <c r="M15" s="70" cm="1">
        <f t="array" ref="M15">SUMIFS(Drivers!AI$10:AI$66,PLSections,$E15,PLSummarys,$F15)</f>
        <v>3797.5</v>
      </c>
      <c r="N15" s="70" cm="1">
        <f t="array" ref="N15">SUMIFS(Drivers!AJ$10:AJ$66,PLSections,$E15,PLSummarys,$F15)</f>
        <v>3599</v>
      </c>
      <c r="O15" s="70" cm="1">
        <f t="array" ref="O15">SUMIFS(Drivers!AK$10:AK$66,PLSections,$E15,PLSummarys,$F15)</f>
        <v>3988</v>
      </c>
      <c r="P15" s="70" cm="1">
        <f t="array" ref="P15">SUMIFS(Drivers!AL$10:AL$66,PLSections,$E15,PLSummarys,$F15)</f>
        <v>3779</v>
      </c>
      <c r="Q15" s="70" cm="1">
        <f t="array" ref="Q15">SUMIFS(Drivers!AM$10:AM$66,PLSections,$E15,PLSummarys,$F15)</f>
        <v>4186.5</v>
      </c>
      <c r="R15" s="70" cm="1">
        <f t="array" ref="R15">SUMIFS(Drivers!AN$10:AN$66,PLSections,$E15,PLSummarys,$F15)</f>
        <v>3968.5</v>
      </c>
      <c r="S15" s="70" cm="1">
        <f t="array" ref="S15">SUMIFS(Drivers!AO$10:AO$66,PLSections,$E15,PLSummarys,$F15)</f>
        <v>4396.5</v>
      </c>
      <c r="T15" s="70" cm="1">
        <f t="array" ref="T15">SUMIFS(Drivers!AP$10:AP$66,PLSections,$E15,PLSummarys,$F15)</f>
        <v>4615</v>
      </c>
      <c r="U15" s="70" cm="1">
        <f t="array" ref="U15">SUMIFS(Drivers!AQ$10:AQ$66,PLSections,$E15,PLSummarys,$F15)</f>
        <v>4614.5</v>
      </c>
      <c r="V15" s="70" cm="1">
        <f t="array" ref="V15">SUMIFS(Drivers!AR$10:AR$66,PLSections,$E15,PLSummarys,$F15)</f>
        <v>4846</v>
      </c>
      <c r="W15" s="70" cm="1">
        <f t="array" ref="W15">SUMIFS(Drivers!AS$10:AS$66,PLSections,$E15,PLSummarys,$F15)</f>
        <v>4846.33</v>
      </c>
      <c r="X15" s="70" cm="1">
        <f t="array" ref="X15">SUMIFS(Drivers!AT$10:AT$66,PLSections,$E15,PLSummarys,$F15)</f>
        <v>5089.33</v>
      </c>
      <c r="Y15" s="70" cm="1">
        <f t="array" ref="Y15">SUMIFS(Drivers!AU$10:AU$66,PLSections,$E15,PLSummarys,$F15)</f>
        <v>5343</v>
      </c>
      <c r="Z15" s="70" cm="1">
        <f t="array" ref="Z15">SUMIFS(Drivers!AV$10:AV$66,PLSections,$E15,PLSummarys,$F15)</f>
        <v>5610.42</v>
      </c>
      <c r="AA15" s="70" cm="1">
        <f t="array" ref="AA15">SUMIFS(Drivers!AW$10:AW$66,PLSections,$E15,PLSummarys,$F15)</f>
        <v>5890</v>
      </c>
      <c r="AB15" s="70" cm="1">
        <f t="array" ref="AB15">SUMIFS(Drivers!AX$10:AX$66,PLSections,$E15,PLSummarys,$F15)</f>
        <v>6185</v>
      </c>
      <c r="AC15" s="70" cm="1">
        <f t="array" ref="AC15">SUMIFS(Drivers!AY$10:AY$66,PLSections,$E15,PLSummarys,$F15)</f>
        <v>6495</v>
      </c>
      <c r="AD15" s="70" cm="1">
        <f t="array" ref="AD15">SUMIFS(Drivers!AZ$10:AZ$66,PLSections,$E15,PLSummarys,$F15)</f>
        <v>6820</v>
      </c>
      <c r="AE15" s="70" cm="1">
        <f t="array" ref="AE15">SUMIFS(Drivers!BA$10:BA$66,PLSections,$E15,PLSummarys,$F15)</f>
        <v>7460.48</v>
      </c>
      <c r="AF15" s="70" cm="1">
        <f t="array" ref="AF15">SUMIFS(Drivers!BB$10:BB$66,PLSections,$E15,PLSummarys,$F15)</f>
        <v>6518.5</v>
      </c>
      <c r="AG15" s="70" cm="1">
        <f t="array" ref="AG15">SUMIFS(Drivers!BC$10:BC$66,PLSections,$E15,PLSummarys,$F15)</f>
        <v>7894.43</v>
      </c>
      <c r="AH15" s="70" cm="1">
        <f t="array" ref="AH15">SUMIFS(Drivers!BD$10:BD$66,PLSections,$E15,PLSummarys,$F15)</f>
        <v>8289.15</v>
      </c>
      <c r="AI15" s="70" cm="1">
        <f t="array" ref="AI15">SUMIFS(Drivers!BE$10:BE$66,PLSections,$E15,PLSummarys,$F15)</f>
        <v>7608.5730000000003</v>
      </c>
      <c r="AJ15" s="70" cm="1">
        <f t="array" ref="AJ15">SUMIFS(Drivers!BF$10:BF$66,PLSections,$E15,PLSummarys,$F15)</f>
        <v>7803.4482750000006</v>
      </c>
      <c r="AK15" s="70" cm="1">
        <f t="array" ref="AK15">SUMIFS(Drivers!BG$10:BG$66,PLSections,$E15,PLSummarys,$F15)</f>
        <v>7975.5517231249996</v>
      </c>
      <c r="AL15" s="70" cm="1">
        <f t="array" ref="AL15">SUMIFS(Drivers!BH$10:BH$66,PLSections,$E15,PLSummarys,$F15)</f>
        <v>8065.689274671875</v>
      </c>
      <c r="AM15" s="70" cm="1">
        <f t="array" ref="AM15">SUMIFS(Drivers!BI$10:BI$66,PLSections,$E15,PLSummarys,$F15)</f>
        <v>8336.4473977394555</v>
      </c>
      <c r="AN15" s="70" cm="1">
        <f t="array" ref="AN15">SUMIFS(Drivers!BJ$10:BJ$66,PLSections,$E15,PLSummarys,$F15)</f>
        <v>8413.800442343856</v>
      </c>
      <c r="AO15" s="70" cm="1">
        <f t="array" ref="AO15">SUMIFS(Drivers!BK$10:BK$66,PLSections,$E15,PLSummarys,$F15)</f>
        <v>8435.6142697540326</v>
      </c>
      <c r="AP15" s="70" cm="1">
        <f t="array" ref="AP15">SUMIFS(Drivers!BL$10:BL$66,PLSections,$E15,PLSummarys,$F15)</f>
        <v>8580.3464919609887</v>
      </c>
      <c r="AQ15" s="70" cm="1">
        <f t="array" ref="AQ15">SUMIFS(Drivers!BM$10:BM$66,PLSections,$E15,PLSummarys,$F15)</f>
        <v>8716.3036799291622</v>
      </c>
      <c r="AR15" s="70" cm="1">
        <f t="array" ref="AR15">SUMIFS(Drivers!BN$10:BN$66,PLSections,$E15,PLSummarys,$F15)</f>
        <v>8845.9352723698903</v>
      </c>
      <c r="AS15" s="70" cm="1">
        <f t="array" ref="AS15">SUMIFS(Drivers!BO$10:BO$66,PLSections,$E15,PLSummarys,$F15)</f>
        <v>8982.4783219670444</v>
      </c>
      <c r="AT15" s="70" cm="1">
        <f t="array" ref="AT15">SUMIFS(Drivers!BP$10:BP$66,PLSections,$E15,PLSummarys,$F15)</f>
        <v>9095.5337337068722</v>
      </c>
      <c r="AU15" s="70" cm="1">
        <f t="array" ref="AU15">SUMIFS(Drivers!BQ$10:BQ$66,PLSections,$E15,PLSummarys,$F15)</f>
        <v>9214.8370596953973</v>
      </c>
      <c r="AV15" s="70" cm="1">
        <f t="array" ref="AV15">SUMIFS(Drivers!BR$10:BR$66,PLSections,$E15,PLSummarys,$F15)</f>
        <v>9351.2010479351356</v>
      </c>
      <c r="AW15" s="70" cm="1">
        <f t="array" ref="AW15">SUMIFS(Drivers!BS$10:BS$66,PLSections,$E15,PLSummarys,$F15)</f>
        <v>9486.100595230615</v>
      </c>
    </row>
    <row r="16" spans="1:49" ht="16.5" customHeight="1" outlineLevel="1">
      <c r="B16" s="22"/>
      <c r="C16" s="67"/>
      <c r="D16" s="26" t="s">
        <v>35</v>
      </c>
      <c r="E16" s="14" t="s">
        <v>143</v>
      </c>
      <c r="F16" s="14" t="s">
        <v>35</v>
      </c>
      <c r="G16" s="15"/>
      <c r="H16" s="15"/>
      <c r="I16" s="14"/>
      <c r="J16" s="14"/>
      <c r="M16" s="70" cm="1">
        <f t="array" ref="M16">SUMIFS(Drivers!AI$10:AI$66,PLSections,$E16,PLSummarys,$F16)</f>
        <v>0</v>
      </c>
      <c r="N16" s="70" cm="1">
        <f t="array" ref="N16">SUMIFS(Drivers!AJ$10:AJ$66,PLSections,$E16,PLSummarys,$F16)</f>
        <v>0</v>
      </c>
      <c r="O16" s="70" cm="1">
        <f t="array" ref="O16">SUMIFS(Drivers!AK$10:AK$66,PLSections,$E16,PLSummarys,$F16)</f>
        <v>0</v>
      </c>
      <c r="P16" s="70" cm="1">
        <f t="array" ref="P16">SUMIFS(Drivers!AL$10:AL$66,PLSections,$E16,PLSummarys,$F16)</f>
        <v>0</v>
      </c>
      <c r="Q16" s="70" cm="1">
        <f t="array" ref="Q16">SUMIFS(Drivers!AM$10:AM$66,PLSections,$E16,PLSummarys,$F16)</f>
        <v>0</v>
      </c>
      <c r="R16" s="70" cm="1">
        <f t="array" ref="R16">SUMIFS(Drivers!AN$10:AN$66,PLSections,$E16,PLSummarys,$F16)</f>
        <v>0</v>
      </c>
      <c r="S16" s="70" cm="1">
        <f t="array" ref="S16">SUMIFS(Drivers!AO$10:AO$66,PLSections,$E16,PLSummarys,$F16)</f>
        <v>0</v>
      </c>
      <c r="T16" s="70" cm="1">
        <f t="array" ref="T16">SUMIFS(Drivers!AP$10:AP$66,PLSections,$E16,PLSummarys,$F16)</f>
        <v>0</v>
      </c>
      <c r="U16" s="70" cm="1">
        <f t="array" ref="U16">SUMIFS(Drivers!AQ$10:AQ$66,PLSections,$E16,PLSummarys,$F16)</f>
        <v>0</v>
      </c>
      <c r="V16" s="70" cm="1">
        <f t="array" ref="V16">SUMIFS(Drivers!AR$10:AR$66,PLSections,$E16,PLSummarys,$F16)</f>
        <v>0</v>
      </c>
      <c r="W16" s="70" cm="1">
        <f t="array" ref="W16">SUMIFS(Drivers!AS$10:AS$66,PLSections,$E16,PLSummarys,$F16)</f>
        <v>0</v>
      </c>
      <c r="X16" s="70" cm="1">
        <f t="array" ref="X16">SUMIFS(Drivers!AT$10:AT$66,PLSections,$E16,PLSummarys,$F16)</f>
        <v>0</v>
      </c>
      <c r="Y16" s="70" cm="1">
        <f t="array" ref="Y16">SUMIFS(Drivers!AU$10:AU$66,PLSections,$E16,PLSummarys,$F16)</f>
        <v>0</v>
      </c>
      <c r="Z16" s="70" cm="1">
        <f t="array" ref="Z16">SUMIFS(Drivers!AV$10:AV$66,PLSections,$E16,PLSummarys,$F16)</f>
        <v>0</v>
      </c>
      <c r="AA16" s="70" cm="1">
        <f t="array" ref="AA16">SUMIFS(Drivers!AW$10:AW$66,PLSections,$E16,PLSummarys,$F16)</f>
        <v>0</v>
      </c>
      <c r="AB16" s="70" cm="1">
        <f t="array" ref="AB16">SUMIFS(Drivers!AX$10:AX$66,PLSections,$E16,PLSummarys,$F16)</f>
        <v>0</v>
      </c>
      <c r="AC16" s="70" cm="1">
        <f t="array" ref="AC16">SUMIFS(Drivers!AY$10:AY$66,PLSections,$E16,PLSummarys,$F16)</f>
        <v>0</v>
      </c>
      <c r="AD16" s="70" cm="1">
        <f t="array" ref="AD16">SUMIFS(Drivers!AZ$10:AZ$66,PLSections,$E16,PLSummarys,$F16)</f>
        <v>0</v>
      </c>
      <c r="AE16" s="70" cm="1">
        <f t="array" ref="AE16">SUMIFS(Drivers!BA$10:BA$66,PLSections,$E16,PLSummarys,$F16)</f>
        <v>0</v>
      </c>
      <c r="AF16" s="70" cm="1">
        <f t="array" ref="AF16">SUMIFS(Drivers!BB$10:BB$66,PLSections,$E16,PLSummarys,$F16)</f>
        <v>0</v>
      </c>
      <c r="AG16" s="70" cm="1">
        <f t="array" ref="AG16">SUMIFS(Drivers!BC$10:BC$66,PLSections,$E16,PLSummarys,$F16)</f>
        <v>0</v>
      </c>
      <c r="AH16" s="70" cm="1">
        <f t="array" ref="AH16">SUMIFS(Drivers!BD$10:BD$66,PLSections,$E16,PLSummarys,$F16)</f>
        <v>0</v>
      </c>
      <c r="AI16" s="70" cm="1">
        <f t="array" ref="AI16">SUMIFS(Drivers!BE$10:BE$66,PLSections,$E16,PLSummarys,$F16)</f>
        <v>0</v>
      </c>
      <c r="AJ16" s="70" cm="1">
        <f t="array" ref="AJ16">SUMIFS(Drivers!BF$10:BF$66,PLSections,$E16,PLSummarys,$F16)</f>
        <v>0</v>
      </c>
      <c r="AK16" s="70" cm="1">
        <f t="array" ref="AK16">SUMIFS(Drivers!BG$10:BG$66,PLSections,$E16,PLSummarys,$F16)</f>
        <v>0</v>
      </c>
      <c r="AL16" s="70" cm="1">
        <f t="array" ref="AL16">SUMIFS(Drivers!BH$10:BH$66,PLSections,$E16,PLSummarys,$F16)</f>
        <v>0</v>
      </c>
      <c r="AM16" s="70" cm="1">
        <f t="array" ref="AM16">SUMIFS(Drivers!BI$10:BI$66,PLSections,$E16,PLSummarys,$F16)</f>
        <v>0</v>
      </c>
      <c r="AN16" s="70" cm="1">
        <f t="array" ref="AN16">SUMIFS(Drivers!BJ$10:BJ$66,PLSections,$E16,PLSummarys,$F16)</f>
        <v>0</v>
      </c>
      <c r="AO16" s="70" cm="1">
        <f t="array" ref="AO16">SUMIFS(Drivers!BK$10:BK$66,PLSections,$E16,PLSummarys,$F16)</f>
        <v>0</v>
      </c>
      <c r="AP16" s="70" cm="1">
        <f t="array" ref="AP16">SUMIFS(Drivers!BL$10:BL$66,PLSections,$E16,PLSummarys,$F16)</f>
        <v>0</v>
      </c>
      <c r="AQ16" s="70" cm="1">
        <f t="array" ref="AQ16">SUMIFS(Drivers!BM$10:BM$66,PLSections,$E16,PLSummarys,$F16)</f>
        <v>0</v>
      </c>
      <c r="AR16" s="70" cm="1">
        <f t="array" ref="AR16">SUMIFS(Drivers!BN$10:BN$66,PLSections,$E16,PLSummarys,$F16)</f>
        <v>0</v>
      </c>
      <c r="AS16" s="70" cm="1">
        <f t="array" ref="AS16">SUMIFS(Drivers!BO$10:BO$66,PLSections,$E16,PLSummarys,$F16)</f>
        <v>0</v>
      </c>
      <c r="AT16" s="70" cm="1">
        <f t="array" ref="AT16">SUMIFS(Drivers!BP$10:BP$66,PLSections,$E16,PLSummarys,$F16)</f>
        <v>0</v>
      </c>
      <c r="AU16" s="70" cm="1">
        <f t="array" ref="AU16">SUMIFS(Drivers!BQ$10:BQ$66,PLSections,$E16,PLSummarys,$F16)</f>
        <v>0</v>
      </c>
      <c r="AV16" s="70" cm="1">
        <f t="array" ref="AV16">SUMIFS(Drivers!BR$10:BR$66,PLSections,$E16,PLSummarys,$F16)</f>
        <v>0</v>
      </c>
      <c r="AW16" s="70" cm="1">
        <f t="array" ref="AW16">SUMIFS(Drivers!BS$10:BS$66,PLSections,$E16,PLSummarys,$F16)</f>
        <v>0</v>
      </c>
    </row>
    <row r="17" spans="2:49" ht="16.5" customHeight="1" outlineLevel="1">
      <c r="B17" s="22"/>
      <c r="C17" s="67"/>
      <c r="D17" s="26" t="s">
        <v>37</v>
      </c>
      <c r="E17" s="14" t="s">
        <v>167</v>
      </c>
      <c r="F17" s="14" t="s">
        <v>37</v>
      </c>
      <c r="G17" s="15"/>
      <c r="H17" s="15"/>
      <c r="I17" s="14"/>
      <c r="J17" s="14"/>
      <c r="M17" s="70" cm="1">
        <f t="array" ref="M17">SUMIFS(Drivers!AI$10:AI$66,PLSections,$E17,PLSummarys,$F17)</f>
        <v>41974.5</v>
      </c>
      <c r="N17" s="70" cm="1">
        <f t="array" ref="N17">SUMIFS(Drivers!AJ$10:AJ$66,PLSections,$E17,PLSummarys,$F17)</f>
        <v>27987</v>
      </c>
      <c r="O17" s="70" cm="1">
        <f t="array" ref="O17">SUMIFS(Drivers!AK$10:AK$66,PLSections,$E17,PLSummarys,$F17)</f>
        <v>44074</v>
      </c>
      <c r="P17" s="70" cm="1">
        <f t="array" ref="P17">SUMIFS(Drivers!AL$10:AL$66,PLSections,$E17,PLSummarys,$F17)</f>
        <v>29386</v>
      </c>
      <c r="Q17" s="70" cm="1">
        <f t="array" ref="Q17">SUMIFS(Drivers!AM$10:AM$66,PLSections,$E17,PLSummarys,$F17)</f>
        <v>46277</v>
      </c>
      <c r="R17" s="70" cm="1">
        <f t="array" ref="R17">SUMIFS(Drivers!AN$10:AN$66,PLSections,$E17,PLSummarys,$F17)</f>
        <v>30855</v>
      </c>
      <c r="S17" s="70" cm="1">
        <f t="array" ref="S17">SUMIFS(Drivers!AO$10:AO$66,PLSections,$E17,PLSummarys,$F17)</f>
        <v>48591</v>
      </c>
      <c r="T17" s="70" cm="1">
        <f t="array" ref="T17">SUMIFS(Drivers!AP$10:AP$66,PLSections,$E17,PLSummarys,$F17)</f>
        <v>51020</v>
      </c>
      <c r="U17" s="70" cm="1">
        <f t="array" ref="U17">SUMIFS(Drivers!AQ$10:AQ$66,PLSections,$E17,PLSummarys,$F17)</f>
        <v>51020</v>
      </c>
      <c r="V17" s="70" cm="1">
        <f t="array" ref="V17">SUMIFS(Drivers!AR$10:AR$66,PLSections,$E17,PLSummarys,$F17)</f>
        <v>53572</v>
      </c>
      <c r="W17" s="70" cm="1">
        <f t="array" ref="W17">SUMIFS(Drivers!AS$10:AS$66,PLSections,$E17,PLSummarys,$F17)</f>
        <v>53572</v>
      </c>
      <c r="X17" s="70" cm="1">
        <f t="array" ref="X17">SUMIFS(Drivers!AT$10:AT$66,PLSections,$E17,PLSummarys,$F17)</f>
        <v>56250</v>
      </c>
      <c r="Y17" s="70" cm="1">
        <f t="array" ref="Y17">SUMIFS(Drivers!AU$10:AU$66,PLSections,$E17,PLSummarys,$F17)</f>
        <v>59063</v>
      </c>
      <c r="Z17" s="70" cm="1">
        <f t="array" ref="Z17">SUMIFS(Drivers!AV$10:AV$66,PLSections,$E17,PLSummarys,$F17)</f>
        <v>62015.869999999995</v>
      </c>
      <c r="AA17" s="70" cm="1">
        <f t="array" ref="AA17">SUMIFS(Drivers!AW$10:AW$66,PLSections,$E17,PLSummarys,$F17)</f>
        <v>65117</v>
      </c>
      <c r="AB17" s="70" cm="1">
        <f t="array" ref="AB17">SUMIFS(Drivers!AX$10:AX$66,PLSections,$E17,PLSummarys,$F17)</f>
        <v>68373</v>
      </c>
      <c r="AC17" s="70" cm="1">
        <f t="array" ref="AC17">SUMIFS(Drivers!AY$10:AY$66,PLSections,$E17,PLSummarys,$F17)</f>
        <v>71791</v>
      </c>
      <c r="AD17" s="70" cm="1">
        <f t="array" ref="AD17">SUMIFS(Drivers!AZ$10:AZ$66,PLSections,$E17,PLSummarys,$F17)</f>
        <v>75380</v>
      </c>
      <c r="AE17" s="70" cm="1">
        <f t="array" ref="AE17">SUMIFS(Drivers!BA$10:BA$66,PLSections,$E17,PLSummarys,$F17)</f>
        <v>79149.72</v>
      </c>
      <c r="AF17" s="70" cm="1">
        <f t="array" ref="AF17">SUMIFS(Drivers!BB$10:BB$66,PLSections,$E17,PLSummarys,$F17)</f>
        <v>83107.199999999997</v>
      </c>
      <c r="AG17" s="70" cm="1">
        <f t="array" ref="AG17">SUMIFS(Drivers!BC$10:BC$66,PLSections,$E17,PLSummarys,$F17)</f>
        <v>87262.57</v>
      </c>
      <c r="AH17" s="70" cm="1">
        <f t="array" ref="AH17">SUMIFS(Drivers!BD$10:BD$66,PLSections,$E17,PLSummarys,$F17)</f>
        <v>91625.69</v>
      </c>
      <c r="AI17" s="70" cm="1">
        <f t="array" ref="AI17">SUMIFS(Drivers!BE$10:BE$66,PLSections,$E17,PLSummarys,$F17)</f>
        <v>85455.3315</v>
      </c>
      <c r="AJ17" s="70" cm="1">
        <f t="array" ref="AJ17">SUMIFS(Drivers!BF$10:BF$66,PLSections,$E17,PLSummarys,$F17)</f>
        <v>87846.58951250001</v>
      </c>
      <c r="AK17" s="70" cm="1">
        <f t="array" ref="AK17">SUMIFS(Drivers!BG$10:BG$66,PLSections,$E17,PLSummarys,$F17)</f>
        <v>90028.242677187518</v>
      </c>
      <c r="AL17" s="70" cm="1">
        <f t="array" ref="AL17">SUMIFS(Drivers!BH$10:BH$66,PLSections,$E17,PLSummarys,$F17)</f>
        <v>91931.984145695315</v>
      </c>
      <c r="AM17" s="70" cm="1">
        <f t="array" ref="AM17">SUMIFS(Drivers!BI$10:BI$66,PLSections,$E17,PLSummarys,$F17)</f>
        <v>93476.321371191996</v>
      </c>
      <c r="AN17" s="70" cm="1">
        <f t="array" ref="AN17">SUMIFS(Drivers!BJ$10:BJ$66,PLSections,$E17,PLSummarys,$F17)</f>
        <v>94563.727861150604</v>
      </c>
      <c r="AO17" s="70" cm="1">
        <f t="array" ref="AO17">SUMIFS(Drivers!BK$10:BK$66,PLSections,$E17,PLSummarys,$F17)</f>
        <v>95077.884486851952</v>
      </c>
      <c r="AP17" s="70" cm="1">
        <f t="array" ref="AP17">SUMIFS(Drivers!BL$10:BL$66,PLSections,$E17,PLSummarys,$F17)</f>
        <v>96761.831259551051</v>
      </c>
      <c r="AQ17" s="70" cm="1">
        <f t="array" ref="AQ17">SUMIFS(Drivers!BM$10:BM$66,PLSections,$E17,PLSummarys,$F17)</f>
        <v>98321.998565284972</v>
      </c>
      <c r="AR17" s="70" cm="1">
        <f t="array" ref="AR17">SUMIFS(Drivers!BN$10:BN$66,PLSections,$E17,PLSummarys,$F17)</f>
        <v>99773.405845702044</v>
      </c>
      <c r="AS17" s="70" cm="1">
        <f t="array" ref="AS17">SUMIFS(Drivers!BO$10:BO$66,PLSections,$E17,PLSummarys,$F17)</f>
        <v>101145.6546432032</v>
      </c>
      <c r="AT17" s="70" cm="1">
        <f t="array" ref="AT17">SUMIFS(Drivers!BP$10:BP$66,PLSections,$E17,PLSummarys,$F17)</f>
        <v>102487.78796580515</v>
      </c>
      <c r="AU17" s="70" cm="1">
        <f t="array" ref="AU17">SUMIFS(Drivers!BQ$10:BQ$66,PLSections,$E17,PLSummarys,$F17)</f>
        <v>103874.49848411971</v>
      </c>
      <c r="AV17" s="70" cm="1">
        <f t="array" ref="AV17">SUMIFS(Drivers!BR$10:BR$66,PLSections,$E17,PLSummarys,$F17)</f>
        <v>105413.90593364158</v>
      </c>
      <c r="AW17" s="70" cm="1">
        <f t="array" ref="AW17">SUMIFS(Drivers!BS$10:BS$66,PLSections,$E17,PLSummarys,$F17)</f>
        <v>106928.01900160743</v>
      </c>
    </row>
    <row r="18" spans="2:49" ht="16.5" customHeight="1" outlineLevel="1">
      <c r="B18" s="22"/>
      <c r="C18" s="67"/>
      <c r="D18" s="26" t="s">
        <v>38</v>
      </c>
      <c r="E18" s="14" t="s">
        <v>167</v>
      </c>
      <c r="F18" s="14" t="s">
        <v>38</v>
      </c>
      <c r="G18" s="15"/>
      <c r="H18" s="15"/>
      <c r="I18" s="14"/>
      <c r="J18" s="14"/>
      <c r="M18" s="70" cm="1">
        <f t="array" ref="M18">SUMIFS(Drivers!AI$10:AI$66,PLSections,$E18,PLSummarys,$F18)</f>
        <v>41530</v>
      </c>
      <c r="N18" s="70" cm="1">
        <f t="array" ref="N18">SUMIFS(Drivers!AJ$10:AJ$66,PLSections,$E18,PLSummarys,$F18)</f>
        <v>34792.5</v>
      </c>
      <c r="O18" s="70" cm="1">
        <f t="array" ref="O18">SUMIFS(Drivers!AK$10:AK$66,PLSections,$E18,PLSummarys,$F18)</f>
        <v>43606</v>
      </c>
      <c r="P18" s="70" cm="1">
        <f t="array" ref="P18">SUMIFS(Drivers!AL$10:AL$66,PLSections,$E18,PLSummarys,$F18)</f>
        <v>36531</v>
      </c>
      <c r="Q18" s="70" cm="1">
        <f t="array" ref="Q18">SUMIFS(Drivers!AM$10:AM$66,PLSections,$E18,PLSummarys,$F18)</f>
        <v>45786</v>
      </c>
      <c r="R18" s="70" cm="1">
        <f t="array" ref="R18">SUMIFS(Drivers!AN$10:AN$66,PLSections,$E18,PLSummarys,$F18)</f>
        <v>38358</v>
      </c>
      <c r="S18" s="70" cm="1">
        <f t="array" ref="S18">SUMIFS(Drivers!AO$10:AO$66,PLSections,$E18,PLSummarys,$F18)</f>
        <v>48076.5</v>
      </c>
      <c r="T18" s="70" cm="1">
        <f t="array" ref="T18">SUMIFS(Drivers!AP$10:AP$66,PLSections,$E18,PLSummarys,$F18)</f>
        <v>50480</v>
      </c>
      <c r="U18" s="70" cm="1">
        <f t="array" ref="U18">SUMIFS(Drivers!AQ$10:AQ$66,PLSections,$E18,PLSummarys,$F18)</f>
        <v>50479.5</v>
      </c>
      <c r="V18" s="70" cm="1">
        <f t="array" ref="V18">SUMIFS(Drivers!AR$10:AR$66,PLSections,$E18,PLSummarys,$F18)</f>
        <v>53004</v>
      </c>
      <c r="W18" s="70" cm="1">
        <f t="array" ref="W18">SUMIFS(Drivers!AS$10:AS$66,PLSections,$E18,PLSummarys,$F18)</f>
        <v>53004.33</v>
      </c>
      <c r="X18" s="70" cm="1">
        <f t="array" ref="X18">SUMIFS(Drivers!AT$10:AT$66,PLSections,$E18,PLSummarys,$F18)</f>
        <v>55654.33</v>
      </c>
      <c r="Y18" s="70" cm="1">
        <f t="array" ref="Y18">SUMIFS(Drivers!AU$10:AU$66,PLSections,$E18,PLSummarys,$F18)</f>
        <v>58434.5</v>
      </c>
      <c r="Z18" s="70" cm="1">
        <f t="array" ref="Z18">SUMIFS(Drivers!AV$10:AV$66,PLSections,$E18,PLSummarys,$F18)</f>
        <v>61359.369999999995</v>
      </c>
      <c r="AA18" s="70" cm="1">
        <f t="array" ref="AA18">SUMIFS(Drivers!AW$10:AW$66,PLSections,$E18,PLSummarys,$F18)</f>
        <v>64428</v>
      </c>
      <c r="AB18" s="70" cm="1">
        <f t="array" ref="AB18">SUMIFS(Drivers!AX$10:AX$66,PLSections,$E18,PLSummarys,$F18)</f>
        <v>67649</v>
      </c>
      <c r="AC18" s="70" cm="1">
        <f t="array" ref="AC18">SUMIFS(Drivers!AY$10:AY$66,PLSections,$E18,PLSummarys,$F18)</f>
        <v>71031</v>
      </c>
      <c r="AD18" s="70" cm="1">
        <f t="array" ref="AD18">SUMIFS(Drivers!AZ$10:AZ$66,PLSections,$E18,PLSummarys,$F18)</f>
        <v>74584</v>
      </c>
      <c r="AE18" s="70" cm="1">
        <f t="array" ref="AE18">SUMIFS(Drivers!BA$10:BA$66,PLSections,$E18,PLSummarys,$F18)</f>
        <v>79311.820000000007</v>
      </c>
      <c r="AF18" s="70" cm="1">
        <f t="array" ref="AF18">SUMIFS(Drivers!BB$10:BB$66,PLSections,$E18,PLSummarys,$F18)</f>
        <v>82227.42</v>
      </c>
      <c r="AG18" s="70" cm="1">
        <f t="array" ref="AG18">SUMIFS(Drivers!BC$10:BC$66,PLSections,$E18,PLSummarys,$F18)</f>
        <v>86338.78</v>
      </c>
      <c r="AH18" s="70" cm="1">
        <f t="array" ref="AH18">SUMIFS(Drivers!BD$10:BD$66,PLSections,$E18,PLSummarys,$F18)</f>
        <v>90655.73</v>
      </c>
      <c r="AI18" s="70" cm="1">
        <f t="array" ref="AI18">SUMIFS(Drivers!BE$10:BE$66,PLSections,$E18,PLSummarys,$F18)</f>
        <v>84726.03125</v>
      </c>
      <c r="AJ18" s="70" cm="1">
        <f t="array" ref="AJ18">SUMIFS(Drivers!BF$10:BF$66,PLSections,$E18,PLSummarys,$F18)</f>
        <v>87122.661718750009</v>
      </c>
      <c r="AK18" s="70" cm="1">
        <f t="array" ref="AK18">SUMIFS(Drivers!BG$10:BG$66,PLSections,$E18,PLSummarys,$F18)</f>
        <v>89316.927519531266</v>
      </c>
      <c r="AL18" s="70" cm="1">
        <f t="array" ref="AL18">SUMIFS(Drivers!BH$10:BH$66,PLSections,$E18,PLSummarys,$F18)</f>
        <v>91067.821335449233</v>
      </c>
      <c r="AM18" s="70" cm="1">
        <f t="array" ref="AM18">SUMIFS(Drivers!BI$10:BI$66,PLSections,$E18,PLSummarys,$F18)</f>
        <v>92614.891569152853</v>
      </c>
      <c r="AN18" s="70" cm="1">
        <f t="array" ref="AN18">SUMIFS(Drivers!BJ$10:BJ$66,PLSections,$E18,PLSummarys,$F18)</f>
        <v>93713.211093754609</v>
      </c>
      <c r="AO18" s="70" cm="1">
        <f t="array" ref="AO18">SUMIFS(Drivers!BK$10:BK$66,PLSections,$E18,PLSummarys,$F18)</f>
        <v>94248.270285161649</v>
      </c>
      <c r="AP18" s="70" cm="1">
        <f t="array" ref="AP18">SUMIFS(Drivers!BL$10:BL$66,PLSections,$E18,PLSummarys,$F18)</f>
        <v>95914.662116314939</v>
      </c>
      <c r="AQ18" s="70" cm="1">
        <f t="array" ref="AQ18">SUMIFS(Drivers!BM$10:BM$66,PLSections,$E18,PLSummarys,$F18)</f>
        <v>97453.262185888801</v>
      </c>
      <c r="AR18" s="70" cm="1">
        <f t="array" ref="AR18">SUMIFS(Drivers!BN$10:BN$66,PLSections,$E18,PLSummarys,$F18)</f>
        <v>98877.120752501374</v>
      </c>
      <c r="AS18" s="70" cm="1">
        <f t="array" ref="AS18">SUMIFS(Drivers!BO$10:BO$66,PLSections,$E18,PLSummarys,$F18)</f>
        <v>100243.74815048548</v>
      </c>
      <c r="AT18" s="70" cm="1">
        <f t="array" ref="AT18">SUMIFS(Drivers!BP$10:BP$66,PLSections,$E18,PLSummarys,$F18)</f>
        <v>101578.7980522187</v>
      </c>
      <c r="AU18" s="70" cm="1">
        <f t="array" ref="AU18">SUMIFS(Drivers!BQ$10:BQ$66,PLSections,$E18,PLSummarys,$F18)</f>
        <v>102955.27576994989</v>
      </c>
      <c r="AV18" s="70" cm="1">
        <f t="array" ref="AV18">SUMIFS(Drivers!BR$10:BR$66,PLSections,$E18,PLSummarys,$F18)</f>
        <v>104479.00172978785</v>
      </c>
      <c r="AW18" s="70" cm="1">
        <f t="array" ref="AW18">SUMIFS(Drivers!BS$10:BS$66,PLSections,$E18,PLSummarys,$F18)</f>
        <v>105977.76116214562</v>
      </c>
    </row>
    <row r="19" spans="2:49" ht="16.5" customHeight="1" outlineLevel="1">
      <c r="B19" s="22"/>
      <c r="C19" s="67"/>
      <c r="D19" s="26" t="s">
        <v>39</v>
      </c>
      <c r="E19" s="14" t="s">
        <v>167</v>
      </c>
      <c r="F19" s="14" t="s">
        <v>39</v>
      </c>
      <c r="G19" s="15"/>
      <c r="H19" s="15"/>
      <c r="I19" s="14"/>
      <c r="J19" s="14"/>
      <c r="M19" s="70" cm="1">
        <f t="array" ref="M19">SUMIFS(Drivers!AI$10:AI$66,PLSections,$E19,PLSummarys,$F19)</f>
        <v>37387</v>
      </c>
      <c r="N19" s="70" cm="1">
        <f t="array" ref="N19">SUMIFS(Drivers!AJ$10:AJ$66,PLSections,$E19,PLSummarys,$F19)</f>
        <v>22188</v>
      </c>
      <c r="O19" s="70" cm="1">
        <f t="array" ref="O19">SUMIFS(Drivers!AK$10:AK$66,PLSections,$E19,PLSummarys,$F19)</f>
        <v>39256</v>
      </c>
      <c r="P19" s="70" cm="1">
        <f t="array" ref="P19">SUMIFS(Drivers!AL$10:AL$66,PLSections,$E19,PLSummarys,$F19)</f>
        <v>23297</v>
      </c>
      <c r="Q19" s="70" cm="1">
        <f t="array" ref="Q19">SUMIFS(Drivers!AM$10:AM$66,PLSections,$E19,PLSummarys,$F19)</f>
        <v>41219</v>
      </c>
      <c r="R19" s="70" cm="1">
        <f t="array" ref="R19">SUMIFS(Drivers!AN$10:AN$66,PLSections,$E19,PLSummarys,$F19)</f>
        <v>24463</v>
      </c>
      <c r="S19" s="70" cm="1">
        <f t="array" ref="S19">SUMIFS(Drivers!AO$10:AO$66,PLSections,$E19,PLSummarys,$F19)</f>
        <v>43279</v>
      </c>
      <c r="T19" s="70" cm="1">
        <f t="array" ref="T19">SUMIFS(Drivers!AP$10:AP$66,PLSections,$E19,PLSummarys,$F19)</f>
        <v>45443</v>
      </c>
      <c r="U19" s="70" cm="1">
        <f t="array" ref="U19">SUMIFS(Drivers!AQ$10:AQ$66,PLSections,$E19,PLSummarys,$F19)</f>
        <v>45443</v>
      </c>
      <c r="V19" s="70" cm="1">
        <f t="array" ref="V19">SUMIFS(Drivers!AR$10:AR$66,PLSections,$E19,PLSummarys,$F19)</f>
        <v>47716</v>
      </c>
      <c r="W19" s="70" cm="1">
        <f t="array" ref="W19">SUMIFS(Drivers!AS$10:AS$66,PLSections,$E19,PLSummarys,$F19)</f>
        <v>47716.34</v>
      </c>
      <c r="X19" s="70" cm="1">
        <f t="array" ref="X19">SUMIFS(Drivers!AT$10:AT$66,PLSections,$E19,PLSummarys,$F19)</f>
        <v>50101.34</v>
      </c>
      <c r="Y19" s="70" cm="1">
        <f t="array" ref="Y19">SUMIFS(Drivers!AU$10:AU$66,PLSections,$E19,PLSummarys,$F19)</f>
        <v>52608</v>
      </c>
      <c r="Z19" s="70" cm="1">
        <f t="array" ref="Z19">SUMIFS(Drivers!AV$10:AV$66,PLSections,$E19,PLSummarys,$F19)</f>
        <v>55236.87</v>
      </c>
      <c r="AA19" s="70" cm="1">
        <f t="array" ref="AA19">SUMIFS(Drivers!AW$10:AW$66,PLSections,$E19,PLSummarys,$F19)</f>
        <v>57999</v>
      </c>
      <c r="AB19" s="70" cm="1">
        <f t="array" ref="AB19">SUMIFS(Drivers!AX$10:AX$66,PLSections,$E19,PLSummarys,$F19)</f>
        <v>60899</v>
      </c>
      <c r="AC19" s="70" cm="1">
        <f t="array" ref="AC19">SUMIFS(Drivers!AY$10:AY$66,PLSections,$E19,PLSummarys,$F19)</f>
        <v>63944</v>
      </c>
      <c r="AD19" s="70" cm="1">
        <f t="array" ref="AD19">SUMIFS(Drivers!AZ$10:AZ$66,PLSections,$E19,PLSummarys,$F19)</f>
        <v>67141</v>
      </c>
      <c r="AE19" s="70" cm="1">
        <f t="array" ref="AE19">SUMIFS(Drivers!BA$10:BA$66,PLSections,$E19,PLSummarys,$F19)</f>
        <v>70497.840000000011</v>
      </c>
      <c r="AF19" s="70" cm="1">
        <f t="array" ref="AF19">SUMIFS(Drivers!BB$10:BB$66,PLSections,$E19,PLSummarys,$F19)</f>
        <v>74022.679999999993</v>
      </c>
      <c r="AG19" s="70" cm="1">
        <f t="array" ref="AG19">SUMIFS(Drivers!BC$10:BC$66,PLSections,$E19,PLSummarys,$F19)</f>
        <v>77723.81</v>
      </c>
      <c r="AH19" s="70" cm="1">
        <f t="array" ref="AH19">SUMIFS(Drivers!BD$10:BD$66,PLSections,$E19,PLSummarys,$F19)</f>
        <v>81610.000000000015</v>
      </c>
      <c r="AI19" s="70" cm="1">
        <f t="array" ref="AI19">SUMIFS(Drivers!BE$10:BE$66,PLSections,$E19,PLSummarys,$F19)</f>
        <v>76114.382750000004</v>
      </c>
      <c r="AJ19" s="70" cm="1">
        <f t="array" ref="AJ19">SUMIFS(Drivers!BF$10:BF$66,PLSections,$E19,PLSummarys,$F19)</f>
        <v>78244.199731250003</v>
      </c>
      <c r="AK19" s="70" cm="1">
        <f t="array" ref="AK19">SUMIFS(Drivers!BG$10:BG$66,PLSections,$E19,PLSummarys,$F19)</f>
        <v>80187.259684218749</v>
      </c>
      <c r="AL19" s="70" cm="1">
        <f t="array" ref="AL19">SUMIFS(Drivers!BH$10:BH$66,PLSections,$E19,PLSummarys,$F19)</f>
        <v>81882.908128957046</v>
      </c>
      <c r="AM19" s="70" cm="1">
        <f t="array" ref="AM19">SUMIFS(Drivers!BI$10:BI$66,PLSections,$E19,PLSummarys,$F19)</f>
        <v>83258.448051524523</v>
      </c>
      <c r="AN19" s="70" cm="1">
        <f t="array" ref="AN19">SUMIFS(Drivers!BJ$10:BJ$66,PLSections,$E19,PLSummarys,$F19)</f>
        <v>84227.009710541315</v>
      </c>
      <c r="AO19" s="70" cm="1">
        <f t="array" ref="AO19">SUMIFS(Drivers!BK$10:BK$66,PLSections,$E19,PLSummarys,$F19)</f>
        <v>84684.986409886042</v>
      </c>
      <c r="AP19" s="70" cm="1">
        <f t="array" ref="AP19">SUMIFS(Drivers!BL$10:BL$66,PLSections,$E19,PLSummarys,$F19)</f>
        <v>86184.842050366089</v>
      </c>
      <c r="AQ19" s="70" cm="1">
        <f t="array" ref="AQ19">SUMIFS(Drivers!BM$10:BM$66,PLSections,$E19,PLSummarys,$F19)</f>
        <v>87574.454456211402</v>
      </c>
      <c r="AR19" s="70" cm="1">
        <f t="array" ref="AR19">SUMIFS(Drivers!BN$10:BN$66,PLSections,$E19,PLSummarys,$F19)</f>
        <v>88867.21354131012</v>
      </c>
      <c r="AS19" s="70" cm="1">
        <f t="array" ref="AS19">SUMIFS(Drivers!BO$10:BO$66,PLSections,$E19,PLSummarys,$F19)</f>
        <v>90089.46698847189</v>
      </c>
      <c r="AT19" s="70" cm="1">
        <f t="array" ref="AT19">SUMIFS(Drivers!BP$10:BP$66,PLSections,$E19,PLSummarys,$F19)</f>
        <v>91284.895302437697</v>
      </c>
      <c r="AU19" s="70" cm="1">
        <f t="array" ref="AU19">SUMIFS(Drivers!BQ$10:BQ$66,PLSections,$E19,PLSummarys,$F19)</f>
        <v>92520.025281019567</v>
      </c>
      <c r="AV19" s="70" cm="1">
        <f t="array" ref="AV19">SUMIFS(Drivers!BR$10:BR$66,PLSections,$E19,PLSummarys,$F19)</f>
        <v>93891.15708346793</v>
      </c>
      <c r="AW19" s="70" cm="1">
        <f t="array" ref="AW19">SUMIFS(Drivers!BS$10:BS$66,PLSections,$E19,PLSummarys,$F19)</f>
        <v>95239.762214260758</v>
      </c>
    </row>
    <row r="20" spans="2:49" ht="16.5" customHeight="1" outlineLevel="1">
      <c r="B20" s="22"/>
      <c r="C20" s="67"/>
      <c r="D20" s="26" t="s">
        <v>40</v>
      </c>
      <c r="E20" s="14" t="s">
        <v>167</v>
      </c>
      <c r="F20" s="14" t="s">
        <v>40</v>
      </c>
      <c r="G20" s="15"/>
      <c r="H20" s="15"/>
      <c r="I20" s="14"/>
      <c r="J20" s="14"/>
      <c r="M20" s="70" cm="1">
        <f t="array" ref="M20">SUMIFS(Drivers!AI$10:AI$66,PLSections,$E20,PLSummarys,$F20)</f>
        <v>13465</v>
      </c>
      <c r="N20" s="70" cm="1">
        <f t="array" ref="N20">SUMIFS(Drivers!AJ$10:AJ$66,PLSections,$E20,PLSummarys,$F20)</f>
        <v>8168</v>
      </c>
      <c r="O20" s="70" cm="1">
        <f t="array" ref="O20">SUMIFS(Drivers!AK$10:AK$66,PLSections,$E20,PLSummarys,$F20)</f>
        <v>14138</v>
      </c>
      <c r="P20" s="70" cm="1">
        <f t="array" ref="P20">SUMIFS(Drivers!AL$10:AL$66,PLSections,$E20,PLSummarys,$F20)</f>
        <v>8577</v>
      </c>
      <c r="Q20" s="70" cm="1">
        <f t="array" ref="Q20">SUMIFS(Drivers!AM$10:AM$66,PLSections,$E20,PLSummarys,$F20)</f>
        <v>14845</v>
      </c>
      <c r="R20" s="70" cm="1">
        <f t="array" ref="R20">SUMIFS(Drivers!AN$10:AN$66,PLSections,$E20,PLSummarys,$F20)</f>
        <v>9005</v>
      </c>
      <c r="S20" s="70" cm="1">
        <f t="array" ref="S20">SUMIFS(Drivers!AO$10:AO$66,PLSections,$E20,PLSummarys,$F20)</f>
        <v>15587</v>
      </c>
      <c r="T20" s="70" cm="1">
        <f t="array" ref="T20">SUMIFS(Drivers!AP$10:AP$66,PLSections,$E20,PLSummarys,$F20)</f>
        <v>16368</v>
      </c>
      <c r="U20" s="70" cm="1">
        <f t="array" ref="U20">SUMIFS(Drivers!AQ$10:AQ$66,PLSections,$E20,PLSummarys,$F20)</f>
        <v>16368</v>
      </c>
      <c r="V20" s="70" cm="1">
        <f t="array" ref="V20">SUMIFS(Drivers!AR$10:AR$66,PLSections,$E20,PLSummarys,$F20)</f>
        <v>17184</v>
      </c>
      <c r="W20" s="70" cm="1">
        <f t="array" ref="W20">SUMIFS(Drivers!AS$10:AS$66,PLSections,$E20,PLSummarys,$F20)</f>
        <v>17184</v>
      </c>
      <c r="X20" s="70" cm="1">
        <f t="array" ref="X20">SUMIFS(Drivers!AT$10:AT$66,PLSections,$E20,PLSummarys,$F20)</f>
        <v>18045</v>
      </c>
      <c r="Y20" s="70" cm="1">
        <f t="array" ref="Y20">SUMIFS(Drivers!AU$10:AU$66,PLSections,$E20,PLSummarys,$F20)</f>
        <v>18946</v>
      </c>
      <c r="Z20" s="70" cm="1">
        <f t="array" ref="Z20">SUMIFS(Drivers!AV$10:AV$66,PLSections,$E20,PLSummarys,$F20)</f>
        <v>19893.72</v>
      </c>
      <c r="AA20" s="70" cm="1">
        <f t="array" ref="AA20">SUMIFS(Drivers!AW$10:AW$66,PLSections,$E20,PLSummarys,$F20)</f>
        <v>20888</v>
      </c>
      <c r="AB20" s="70" cm="1">
        <f t="array" ref="AB20">SUMIFS(Drivers!AX$10:AX$66,PLSections,$E20,PLSummarys,$F20)</f>
        <v>21933</v>
      </c>
      <c r="AC20" s="70" cm="1">
        <f t="array" ref="AC20">SUMIFS(Drivers!AY$10:AY$66,PLSections,$E20,PLSummarys,$F20)</f>
        <v>23029</v>
      </c>
      <c r="AD20" s="70" cm="1">
        <f t="array" ref="AD20">SUMIFS(Drivers!AZ$10:AZ$66,PLSections,$E20,PLSummarys,$F20)</f>
        <v>24181</v>
      </c>
      <c r="AE20" s="70" cm="1">
        <f t="array" ref="AE20">SUMIFS(Drivers!BA$10:BA$66,PLSections,$E20,PLSummarys,$F20)</f>
        <v>25390</v>
      </c>
      <c r="AF20" s="70" cm="1">
        <f t="array" ref="AF20">SUMIFS(Drivers!BB$10:BB$66,PLSections,$E20,PLSummarys,$F20)</f>
        <v>26659.489999999998</v>
      </c>
      <c r="AG20" s="70" cm="1">
        <f t="array" ref="AG20">SUMIFS(Drivers!BC$10:BC$66,PLSections,$E20,PLSummarys,$F20)</f>
        <v>27992.46</v>
      </c>
      <c r="AH20" s="70" cm="1">
        <f t="array" ref="AH20">SUMIFS(Drivers!BD$10:BD$66,PLSections,$E20,PLSummarys,$F20)</f>
        <v>29392.09</v>
      </c>
      <c r="AI20" s="70" cm="1">
        <f t="array" ref="AI20">SUMIFS(Drivers!BE$10:BE$66,PLSections,$E20,PLSummarys,$F20)</f>
        <v>27412.707000000002</v>
      </c>
      <c r="AJ20" s="70" cm="1">
        <f t="array" ref="AJ20">SUMIFS(Drivers!BF$10:BF$66,PLSections,$E20,PLSummarys,$F20)</f>
        <v>28179.855725000001</v>
      </c>
      <c r="AK20" s="70" cm="1">
        <f t="array" ref="AK20">SUMIFS(Drivers!BG$10:BG$66,PLSections,$E20,PLSummarys,$F20)</f>
        <v>28879.655476874999</v>
      </c>
      <c r="AL20" s="70" cm="1">
        <f t="array" ref="AL20">SUMIFS(Drivers!BH$10:BH$66,PLSections,$E20,PLSummarys,$F20)</f>
        <v>29490.345185328126</v>
      </c>
      <c r="AM20" s="70" cm="1">
        <f t="array" ref="AM20">SUMIFS(Drivers!BI$10:BI$66,PLSections,$E20,PLSummarys,$F20)</f>
        <v>29985.744842760549</v>
      </c>
      <c r="AN20" s="70" cm="1">
        <f t="array" ref="AN20">SUMIFS(Drivers!BJ$10:BJ$66,PLSections,$E20,PLSummarys,$F20)</f>
        <v>30334.569690243647</v>
      </c>
      <c r="AO20" s="70" cm="1">
        <f t="array" ref="AO20">SUMIFS(Drivers!BK$10:BK$66,PLSections,$E20,PLSummarys,$F20)</f>
        <v>30499.503636036279</v>
      </c>
      <c r="AP20" s="70" cm="1">
        <f t="array" ref="AP20">SUMIFS(Drivers!BL$10:BL$66,PLSections,$E20,PLSummarys,$F20)</f>
        <v>31039.693047342633</v>
      </c>
      <c r="AQ20" s="70" cm="1">
        <f t="array" ref="AQ20">SUMIFS(Drivers!BM$10:BM$66,PLSections,$E20,PLSummarys,$F20)</f>
        <v>31540.164578752592</v>
      </c>
      <c r="AR20" s="70" cm="1">
        <f t="array" ref="AR20">SUMIFS(Drivers!BN$10:BN$66,PLSections,$E20,PLSummarys,$F20)</f>
        <v>32005.753671581173</v>
      </c>
      <c r="AS20" s="70" cm="1">
        <f t="array" ref="AS20">SUMIFS(Drivers!BO$10:BO$66,PLSections,$E20,PLSummarys,$F20)</f>
        <v>32445.950156675455</v>
      </c>
      <c r="AT20" s="70" cm="1">
        <f t="array" ref="AT20">SUMIFS(Drivers!BP$10:BP$66,PLSections,$E20,PLSummarys,$F20)</f>
        <v>32876.486086610559</v>
      </c>
      <c r="AU20" s="70" cm="1">
        <f t="array" ref="AU20">SUMIFS(Drivers!BQ$10:BQ$66,PLSections,$E20,PLSummarys,$F20)</f>
        <v>33321.321455974772</v>
      </c>
      <c r="AV20" s="70" cm="1">
        <f t="array" ref="AV20">SUMIFS(Drivers!BR$10:BR$66,PLSections,$E20,PLSummarys,$F20)</f>
        <v>33815.139574464018</v>
      </c>
      <c r="AW20" s="70" cm="1">
        <f t="array" ref="AW20">SUMIFS(Drivers!BS$10:BS$66,PLSections,$E20,PLSummarys,$F20)</f>
        <v>34300.842716710249</v>
      </c>
    </row>
    <row r="21" spans="2:49" ht="16.5" customHeight="1" outlineLevel="1">
      <c r="B21" s="22"/>
      <c r="C21" s="67"/>
      <c r="D21" s="26" t="s">
        <v>41</v>
      </c>
      <c r="E21" s="14" t="s">
        <v>167</v>
      </c>
      <c r="F21" s="14" t="s">
        <v>41</v>
      </c>
      <c r="G21" s="15"/>
      <c r="H21" s="15"/>
      <c r="I21" s="14"/>
      <c r="J21" s="14"/>
      <c r="M21" s="70" cm="1">
        <f t="array" ref="M21">SUMIFS(Drivers!AI$10:AI$66,PLSections,$E21,PLSummarys,$F21)</f>
        <v>4535.5</v>
      </c>
      <c r="N21" s="70" cm="1">
        <f t="array" ref="N21">SUMIFS(Drivers!AJ$10:AJ$66,PLSections,$E21,PLSummarys,$F21)</f>
        <v>3031</v>
      </c>
      <c r="O21" s="70" cm="1">
        <f t="array" ref="O21">SUMIFS(Drivers!AK$10:AK$66,PLSections,$E21,PLSummarys,$F21)</f>
        <v>4762</v>
      </c>
      <c r="P21" s="70" cm="1">
        <f t="array" ref="P21">SUMIFS(Drivers!AL$10:AL$66,PLSections,$E21,PLSummarys,$F21)</f>
        <v>3183</v>
      </c>
      <c r="Q21" s="70" cm="1">
        <f t="array" ref="Q21">SUMIFS(Drivers!AM$10:AM$66,PLSections,$E21,PLSummarys,$F21)</f>
        <v>5001</v>
      </c>
      <c r="R21" s="70" cm="1">
        <f t="array" ref="R21">SUMIFS(Drivers!AN$10:AN$66,PLSections,$E21,PLSummarys,$F21)</f>
        <v>3341</v>
      </c>
      <c r="S21" s="70" cm="1">
        <f t="array" ref="S21">SUMIFS(Drivers!AO$10:AO$66,PLSections,$E21,PLSummarys,$F21)</f>
        <v>5251</v>
      </c>
      <c r="T21" s="70" cm="1">
        <f t="array" ref="T21">SUMIFS(Drivers!AP$10:AP$66,PLSections,$E21,PLSummarys,$F21)</f>
        <v>5514</v>
      </c>
      <c r="U21" s="70" cm="1">
        <f t="array" ref="U21">SUMIFS(Drivers!AQ$10:AQ$66,PLSections,$E21,PLSummarys,$F21)</f>
        <v>5514</v>
      </c>
      <c r="V21" s="70" cm="1">
        <f t="array" ref="V21">SUMIFS(Drivers!AR$10:AR$66,PLSections,$E21,PLSummarys,$F21)</f>
        <v>5789</v>
      </c>
      <c r="W21" s="70" cm="1">
        <f t="array" ref="W21">SUMIFS(Drivers!AS$10:AS$66,PLSections,$E21,PLSummarys,$F21)</f>
        <v>5789</v>
      </c>
      <c r="X21" s="70" cm="1">
        <f t="array" ref="X21">SUMIFS(Drivers!AT$10:AT$66,PLSections,$E21,PLSummarys,$F21)</f>
        <v>6078</v>
      </c>
      <c r="Y21" s="70" cm="1">
        <f t="array" ref="Y21">SUMIFS(Drivers!AU$10:AU$66,PLSections,$E21,PLSummarys,$F21)</f>
        <v>6383</v>
      </c>
      <c r="Z21" s="70" cm="1">
        <f t="array" ref="Z21">SUMIFS(Drivers!AV$10:AV$66,PLSections,$E21,PLSummarys,$F21)</f>
        <v>6701.46</v>
      </c>
      <c r="AA21" s="70" cm="1">
        <f t="array" ref="AA21">SUMIFS(Drivers!AW$10:AW$66,PLSections,$E21,PLSummarys,$F21)</f>
        <v>7036</v>
      </c>
      <c r="AB21" s="70" cm="1">
        <f t="array" ref="AB21">SUMIFS(Drivers!AX$10:AX$66,PLSections,$E21,PLSummarys,$F21)</f>
        <v>7388</v>
      </c>
      <c r="AC21" s="70" cm="1">
        <f t="array" ref="AC21">SUMIFS(Drivers!AY$10:AY$66,PLSections,$E21,PLSummarys,$F21)</f>
        <v>7758</v>
      </c>
      <c r="AD21" s="70" cm="1">
        <f t="array" ref="AD21">SUMIFS(Drivers!AZ$10:AZ$66,PLSections,$E21,PLSummarys,$F21)</f>
        <v>8146</v>
      </c>
      <c r="AE21" s="70" cm="1">
        <f t="array" ref="AE21">SUMIFS(Drivers!BA$10:BA$66,PLSections,$E21,PLSummarys,$F21)</f>
        <v>8552.9000000000015</v>
      </c>
      <c r="AF21" s="70" cm="1">
        <f t="array" ref="AF21">SUMIFS(Drivers!BB$10:BB$66,PLSections,$E21,PLSummarys,$F21)</f>
        <v>8980.5999999999985</v>
      </c>
      <c r="AG21" s="70" cm="1">
        <f t="array" ref="AG21">SUMIFS(Drivers!BC$10:BC$66,PLSections,$E21,PLSummarys,$F21)</f>
        <v>9429.6500000000015</v>
      </c>
      <c r="AH21" s="70" cm="1">
        <f t="array" ref="AH21">SUMIFS(Drivers!BD$10:BD$66,PLSections,$E21,PLSummarys,$F21)</f>
        <v>9901.11</v>
      </c>
      <c r="AI21" s="70" cm="1">
        <f t="array" ref="AI21">SUMIFS(Drivers!BE$10:BE$66,PLSections,$E21,PLSummarys,$F21)</f>
        <v>9234.4455000000016</v>
      </c>
      <c r="AJ21" s="70" cm="1">
        <f t="array" ref="AJ21">SUMIFS(Drivers!BF$10:BF$66,PLSections,$E21,PLSummarys,$F21)</f>
        <v>9492.8234625000005</v>
      </c>
      <c r="AK21" s="70" cm="1">
        <f t="array" ref="AK21">SUMIFS(Drivers!BG$10:BG$66,PLSections,$E21,PLSummarys,$F21)</f>
        <v>9728.5175684375008</v>
      </c>
      <c r="AL21" s="70" cm="1">
        <f t="array" ref="AL21">SUMIFS(Drivers!BH$10:BH$66,PLSections,$E21,PLSummarys,$F21)</f>
        <v>9934.2506429140631</v>
      </c>
      <c r="AM21" s="70" cm="1">
        <f t="array" ref="AM21">SUMIFS(Drivers!BI$10:BI$66,PLSections,$E21,PLSummarys,$F21)</f>
        <v>10101.139505424024</v>
      </c>
      <c r="AN21" s="70" cm="1">
        <f t="array" ref="AN21">SUMIFS(Drivers!BJ$10:BJ$66,PLSections,$E21,PLSummarys,$F21)</f>
        <v>10218.65016887323</v>
      </c>
      <c r="AO21" s="70" cm="1">
        <f t="array" ref="AO21">SUMIFS(Drivers!BK$10:BK$66,PLSections,$E21,PLSummarys,$F21)</f>
        <v>10274.219698426043</v>
      </c>
      <c r="AP21" s="70" cm="1">
        <f t="array" ref="AP21">SUMIFS(Drivers!BL$10:BL$66,PLSections,$E21,PLSummarys,$F21)</f>
        <v>10456.180183150602</v>
      </c>
      <c r="AQ21" s="70" cm="1">
        <f t="array" ref="AQ21">SUMIFS(Drivers!BM$10:BM$66,PLSections,$E21,PLSummarys,$F21)</f>
        <v>10624.767609264456</v>
      </c>
      <c r="AR21" s="70" cm="1">
        <f t="array" ref="AR21">SUMIFS(Drivers!BN$10:BN$66,PLSections,$E21,PLSummarys,$F21)</f>
        <v>10781.611366409172</v>
      </c>
      <c r="AS21" s="70" cm="1">
        <f t="array" ref="AS21">SUMIFS(Drivers!BO$10:BO$66,PLSections,$E21,PLSummarys,$F21)</f>
        <v>10929.899493020819</v>
      </c>
      <c r="AT21" s="70" cm="1">
        <f t="array" ref="AT21">SUMIFS(Drivers!BP$10:BP$66,PLSections,$E21,PLSummarys,$F21)</f>
        <v>11074.932490850257</v>
      </c>
      <c r="AU21" s="70" cm="1">
        <f t="array" ref="AU21">SUMIFS(Drivers!BQ$10:BQ$66,PLSections,$E21,PLSummarys,$F21)</f>
        <v>11224.781897196237</v>
      </c>
      <c r="AV21" s="70" cm="1">
        <f t="array" ref="AV21">SUMIFS(Drivers!BR$10:BR$66,PLSections,$E21,PLSummarys,$F21)</f>
        <v>11391.130281981021</v>
      </c>
      <c r="AW21" s="70" cm="1">
        <f t="array" ref="AW21">SUMIFS(Drivers!BS$10:BS$66,PLSections,$E21,PLSummarys,$F21)</f>
        <v>11554.746549276342</v>
      </c>
    </row>
    <row r="22" spans="2:49" ht="16.5" customHeight="1" outlineLevel="1">
      <c r="B22" s="22"/>
      <c r="C22" s="67"/>
      <c r="D22" s="26" t="s">
        <v>44</v>
      </c>
      <c r="E22" s="14" t="s">
        <v>44</v>
      </c>
      <c r="F22" s="14" t="s">
        <v>44</v>
      </c>
      <c r="G22" s="15"/>
      <c r="H22" s="15"/>
      <c r="I22" s="14"/>
      <c r="J22" s="14"/>
      <c r="M22" s="70" cm="1">
        <f t="array" ref="M22">SUMIFS(Drivers!AI$10:AI$66,PLSections,$E22,PLSummarys,$F22)</f>
        <v>0</v>
      </c>
      <c r="N22" s="70" cm="1">
        <f t="array" ref="N22">SUMIFS(Drivers!AJ$10:AJ$66,PLSections,$E22,PLSummarys,$F22)</f>
        <v>0</v>
      </c>
      <c r="O22" s="70" cm="1">
        <f t="array" ref="O22">SUMIFS(Drivers!AK$10:AK$66,PLSections,$E22,PLSummarys,$F22)</f>
        <v>0</v>
      </c>
      <c r="P22" s="70" cm="1">
        <f t="array" ref="P22">SUMIFS(Drivers!AL$10:AL$66,PLSections,$E22,PLSummarys,$F22)</f>
        <v>0</v>
      </c>
      <c r="Q22" s="70" cm="1">
        <f t="array" ref="Q22">SUMIFS(Drivers!AM$10:AM$66,PLSections,$E22,PLSummarys,$F22)</f>
        <v>0</v>
      </c>
      <c r="R22" s="70" cm="1">
        <f t="array" ref="R22">SUMIFS(Drivers!AN$10:AN$66,PLSections,$E22,PLSummarys,$F22)</f>
        <v>0</v>
      </c>
      <c r="S22" s="70" cm="1">
        <f t="array" ref="S22">SUMIFS(Drivers!AO$10:AO$66,PLSections,$E22,PLSummarys,$F22)</f>
        <v>0</v>
      </c>
      <c r="T22" s="70" cm="1">
        <f t="array" ref="T22">SUMIFS(Drivers!AP$10:AP$66,PLSections,$E22,PLSummarys,$F22)</f>
        <v>0</v>
      </c>
      <c r="U22" s="70" cm="1">
        <f t="array" ref="U22">SUMIFS(Drivers!AQ$10:AQ$66,PLSections,$E22,PLSummarys,$F22)</f>
        <v>0</v>
      </c>
      <c r="V22" s="70" cm="1">
        <f t="array" ref="V22">SUMIFS(Drivers!AR$10:AR$66,PLSections,$E22,PLSummarys,$F22)</f>
        <v>0</v>
      </c>
      <c r="W22" s="70" cm="1">
        <f t="array" ref="W22">SUMIFS(Drivers!AS$10:AS$66,PLSections,$E22,PLSummarys,$F22)</f>
        <v>0</v>
      </c>
      <c r="X22" s="70" cm="1">
        <f t="array" ref="X22">SUMIFS(Drivers!AT$10:AT$66,PLSections,$E22,PLSummarys,$F22)</f>
        <v>0</v>
      </c>
      <c r="Y22" s="70" cm="1">
        <f t="array" ref="Y22">SUMIFS(Drivers!AU$10:AU$66,PLSections,$E22,PLSummarys,$F22)</f>
        <v>0</v>
      </c>
      <c r="Z22" s="70" cm="1">
        <f t="array" ref="Z22">SUMIFS(Drivers!AV$10:AV$66,PLSections,$E22,PLSummarys,$F22)</f>
        <v>0</v>
      </c>
      <c r="AA22" s="70" cm="1">
        <f t="array" ref="AA22">SUMIFS(Drivers!AW$10:AW$66,PLSections,$E22,PLSummarys,$F22)</f>
        <v>0</v>
      </c>
      <c r="AB22" s="70" cm="1">
        <f t="array" ref="AB22">SUMIFS(Drivers!AX$10:AX$66,PLSections,$E22,PLSummarys,$F22)</f>
        <v>0</v>
      </c>
      <c r="AC22" s="70" cm="1">
        <f t="array" ref="AC22">SUMIFS(Drivers!AY$10:AY$66,PLSections,$E22,PLSummarys,$F22)</f>
        <v>0</v>
      </c>
      <c r="AD22" s="70" cm="1">
        <f t="array" ref="AD22">SUMIFS(Drivers!AZ$10:AZ$66,PLSections,$E22,PLSummarys,$F22)</f>
        <v>0</v>
      </c>
      <c r="AE22" s="70" cm="1">
        <f t="array" ref="AE22">SUMIFS(Drivers!BA$10:BA$66,PLSections,$E22,PLSummarys,$F22)</f>
        <v>0</v>
      </c>
      <c r="AF22" s="70" cm="1">
        <f t="array" ref="AF22">SUMIFS(Drivers!BB$10:BB$66,PLSections,$E22,PLSummarys,$F22)</f>
        <v>0</v>
      </c>
      <c r="AG22" s="70" cm="1">
        <f t="array" ref="AG22">SUMIFS(Drivers!BC$10:BC$66,PLSections,$E22,PLSummarys,$F22)</f>
        <v>0</v>
      </c>
      <c r="AH22" s="70" cm="1">
        <f t="array" ref="AH22">SUMIFS(Drivers!BD$10:BD$66,PLSections,$E22,PLSummarys,$F22)</f>
        <v>0</v>
      </c>
      <c r="AI22" s="70" cm="1">
        <f t="array" ref="AI22">SUMIFS(Drivers!BE$10:BE$66,PLSections,$E22,PLSummarys,$F22)</f>
        <v>0</v>
      </c>
      <c r="AJ22" s="70" cm="1">
        <f t="array" ref="AJ22">SUMIFS(Drivers!BF$10:BF$66,PLSections,$E22,PLSummarys,$F22)</f>
        <v>0</v>
      </c>
      <c r="AK22" s="70" cm="1">
        <f t="array" ref="AK22">SUMIFS(Drivers!BG$10:BG$66,PLSections,$E22,PLSummarys,$F22)</f>
        <v>0</v>
      </c>
      <c r="AL22" s="70" cm="1">
        <f t="array" ref="AL22">SUMIFS(Drivers!BH$10:BH$66,PLSections,$E22,PLSummarys,$F22)</f>
        <v>0</v>
      </c>
      <c r="AM22" s="70" cm="1">
        <f t="array" ref="AM22">SUMIFS(Drivers!BI$10:BI$66,PLSections,$E22,PLSummarys,$F22)</f>
        <v>0</v>
      </c>
      <c r="AN22" s="70" cm="1">
        <f t="array" ref="AN22">SUMIFS(Drivers!BJ$10:BJ$66,PLSections,$E22,PLSummarys,$F22)</f>
        <v>0</v>
      </c>
      <c r="AO22" s="70" cm="1">
        <f t="array" ref="AO22">SUMIFS(Drivers!BK$10:BK$66,PLSections,$E22,PLSummarys,$F22)</f>
        <v>0</v>
      </c>
      <c r="AP22" s="70" cm="1">
        <f t="array" ref="AP22">SUMIFS(Drivers!BL$10:BL$66,PLSections,$E22,PLSummarys,$F22)</f>
        <v>0</v>
      </c>
      <c r="AQ22" s="70" cm="1">
        <f t="array" ref="AQ22">SUMIFS(Drivers!BM$10:BM$66,PLSections,$E22,PLSummarys,$F22)</f>
        <v>0</v>
      </c>
      <c r="AR22" s="70" cm="1">
        <f t="array" ref="AR22">SUMIFS(Drivers!BN$10:BN$66,PLSections,$E22,PLSummarys,$F22)</f>
        <v>0</v>
      </c>
      <c r="AS22" s="70" cm="1">
        <f t="array" ref="AS22">SUMIFS(Drivers!BO$10:BO$66,PLSections,$E22,PLSummarys,$F22)</f>
        <v>0</v>
      </c>
      <c r="AT22" s="70" cm="1">
        <f t="array" ref="AT22">SUMIFS(Drivers!BP$10:BP$66,PLSections,$E22,PLSummarys,$F22)</f>
        <v>0</v>
      </c>
      <c r="AU22" s="70" cm="1">
        <f t="array" ref="AU22">SUMIFS(Drivers!BQ$10:BQ$66,PLSections,$E22,PLSummarys,$F22)</f>
        <v>0</v>
      </c>
      <c r="AV22" s="70" cm="1">
        <f t="array" ref="AV22">SUMIFS(Drivers!BR$10:BR$66,PLSections,$E22,PLSummarys,$F22)</f>
        <v>0</v>
      </c>
      <c r="AW22" s="70" cm="1">
        <f t="array" ref="AW22">SUMIFS(Drivers!BS$10:BS$66,PLSections,$E22,PLSummarys,$F22)</f>
        <v>0</v>
      </c>
    </row>
    <row r="23" spans="2:49" ht="16.5" customHeight="1" outlineLevel="1">
      <c r="B23" s="22"/>
      <c r="C23" s="67"/>
      <c r="D23" s="26" t="s">
        <v>45</v>
      </c>
      <c r="E23" s="14" t="s">
        <v>46</v>
      </c>
      <c r="F23" s="14" t="s">
        <v>45</v>
      </c>
      <c r="G23" s="15"/>
      <c r="H23" s="15"/>
      <c r="I23" s="14"/>
      <c r="J23" s="14"/>
      <c r="M23" s="70" cm="1">
        <f t="array" ref="M23">SUMIFS(Drivers!AI$10:AI$66,PLSections,$E23,PLSummarys,$F23)</f>
        <v>0</v>
      </c>
      <c r="N23" s="70" cm="1">
        <f t="array" ref="N23">SUMIFS(Drivers!AJ$10:AJ$66,PLSections,$E23,PLSummarys,$F23)</f>
        <v>0</v>
      </c>
      <c r="O23" s="70" cm="1">
        <f t="array" ref="O23">SUMIFS(Drivers!AK$10:AK$66,PLSections,$E23,PLSummarys,$F23)</f>
        <v>0</v>
      </c>
      <c r="P23" s="70" cm="1">
        <f t="array" ref="P23">SUMIFS(Drivers!AL$10:AL$66,PLSections,$E23,PLSummarys,$F23)</f>
        <v>0</v>
      </c>
      <c r="Q23" s="70" cm="1">
        <f t="array" ref="Q23">SUMIFS(Drivers!AM$10:AM$66,PLSections,$E23,PLSummarys,$F23)</f>
        <v>0</v>
      </c>
      <c r="R23" s="70" cm="1">
        <f t="array" ref="R23">SUMIFS(Drivers!AN$10:AN$66,PLSections,$E23,PLSummarys,$F23)</f>
        <v>0</v>
      </c>
      <c r="S23" s="70" cm="1">
        <f t="array" ref="S23">SUMIFS(Drivers!AO$10:AO$66,PLSections,$E23,PLSummarys,$F23)</f>
        <v>0</v>
      </c>
      <c r="T23" s="70" cm="1">
        <f t="array" ref="T23">SUMIFS(Drivers!AP$10:AP$66,PLSections,$E23,PLSummarys,$F23)</f>
        <v>0</v>
      </c>
      <c r="U23" s="70" cm="1">
        <f t="array" ref="U23">SUMIFS(Drivers!AQ$10:AQ$66,PLSections,$E23,PLSummarys,$F23)</f>
        <v>0</v>
      </c>
      <c r="V23" s="70" cm="1">
        <f t="array" ref="V23">SUMIFS(Drivers!AR$10:AR$66,PLSections,$E23,PLSummarys,$F23)</f>
        <v>0</v>
      </c>
      <c r="W23" s="70" cm="1">
        <f t="array" ref="W23">SUMIFS(Drivers!AS$10:AS$66,PLSections,$E23,PLSummarys,$F23)</f>
        <v>0</v>
      </c>
      <c r="X23" s="70" cm="1">
        <f t="array" ref="X23">SUMIFS(Drivers!AT$10:AT$66,PLSections,$E23,PLSummarys,$F23)</f>
        <v>0</v>
      </c>
      <c r="Y23" s="70" cm="1">
        <f t="array" ref="Y23">SUMIFS(Drivers!AU$10:AU$66,PLSections,$E23,PLSummarys,$F23)</f>
        <v>0</v>
      </c>
      <c r="Z23" s="70" cm="1">
        <f t="array" ref="Z23">SUMIFS(Drivers!AV$10:AV$66,PLSections,$E23,PLSummarys,$F23)</f>
        <v>0</v>
      </c>
      <c r="AA23" s="70" cm="1">
        <f t="array" ref="AA23">SUMIFS(Drivers!AW$10:AW$66,PLSections,$E23,PLSummarys,$F23)</f>
        <v>0</v>
      </c>
      <c r="AB23" s="70" cm="1">
        <f t="array" ref="AB23">SUMIFS(Drivers!AX$10:AX$66,PLSections,$E23,PLSummarys,$F23)</f>
        <v>0</v>
      </c>
      <c r="AC23" s="70" cm="1">
        <f t="array" ref="AC23">SUMIFS(Drivers!AY$10:AY$66,PLSections,$E23,PLSummarys,$F23)</f>
        <v>0</v>
      </c>
      <c r="AD23" s="70" cm="1">
        <f t="array" ref="AD23">SUMIFS(Drivers!AZ$10:AZ$66,PLSections,$E23,PLSummarys,$F23)</f>
        <v>0</v>
      </c>
      <c r="AE23" s="70" cm="1">
        <f t="array" ref="AE23">SUMIFS(Drivers!BA$10:BA$66,PLSections,$E23,PLSummarys,$F23)</f>
        <v>0</v>
      </c>
      <c r="AF23" s="70" cm="1">
        <f t="array" ref="AF23">SUMIFS(Drivers!BB$10:BB$66,PLSections,$E23,PLSummarys,$F23)</f>
        <v>0</v>
      </c>
      <c r="AG23" s="70" cm="1">
        <f t="array" ref="AG23">SUMIFS(Drivers!BC$10:BC$66,PLSections,$E23,PLSummarys,$F23)</f>
        <v>0</v>
      </c>
      <c r="AH23" s="70" cm="1">
        <f t="array" ref="AH23">SUMIFS(Drivers!BD$10:BD$66,PLSections,$E23,PLSummarys,$F23)</f>
        <v>0</v>
      </c>
      <c r="AI23" s="70" cm="1">
        <f t="array" ref="AI23">SUMIFS(Drivers!BE$10:BE$66,PLSections,$E23,PLSummarys,$F23)</f>
        <v>0</v>
      </c>
      <c r="AJ23" s="70" cm="1">
        <f t="array" ref="AJ23">SUMIFS(Drivers!BF$10:BF$66,PLSections,$E23,PLSummarys,$F23)</f>
        <v>0</v>
      </c>
      <c r="AK23" s="70" cm="1">
        <f t="array" ref="AK23">SUMIFS(Drivers!BG$10:BG$66,PLSections,$E23,PLSummarys,$F23)</f>
        <v>0</v>
      </c>
      <c r="AL23" s="70" cm="1">
        <f t="array" ref="AL23">SUMIFS(Drivers!BH$10:BH$66,PLSections,$E23,PLSummarys,$F23)</f>
        <v>0</v>
      </c>
      <c r="AM23" s="70" cm="1">
        <f t="array" ref="AM23">SUMIFS(Drivers!BI$10:BI$66,PLSections,$E23,PLSummarys,$F23)</f>
        <v>0</v>
      </c>
      <c r="AN23" s="70" cm="1">
        <f t="array" ref="AN23">SUMIFS(Drivers!BJ$10:BJ$66,PLSections,$E23,PLSummarys,$F23)</f>
        <v>0</v>
      </c>
      <c r="AO23" s="70" cm="1">
        <f t="array" ref="AO23">SUMIFS(Drivers!BK$10:BK$66,PLSections,$E23,PLSummarys,$F23)</f>
        <v>0</v>
      </c>
      <c r="AP23" s="70" cm="1">
        <f t="array" ref="AP23">SUMIFS(Drivers!BL$10:BL$66,PLSections,$E23,PLSummarys,$F23)</f>
        <v>0</v>
      </c>
      <c r="AQ23" s="70" cm="1">
        <f t="array" ref="AQ23">SUMIFS(Drivers!BM$10:BM$66,PLSections,$E23,PLSummarys,$F23)</f>
        <v>0</v>
      </c>
      <c r="AR23" s="70" cm="1">
        <f t="array" ref="AR23">SUMIFS(Drivers!BN$10:BN$66,PLSections,$E23,PLSummarys,$F23)</f>
        <v>0</v>
      </c>
      <c r="AS23" s="70" cm="1">
        <f t="array" ref="AS23">SUMIFS(Drivers!BO$10:BO$66,PLSections,$E23,PLSummarys,$F23)</f>
        <v>0</v>
      </c>
      <c r="AT23" s="70" cm="1">
        <f t="array" ref="AT23">SUMIFS(Drivers!BP$10:BP$66,PLSections,$E23,PLSummarys,$F23)</f>
        <v>0</v>
      </c>
      <c r="AU23" s="70" cm="1">
        <f t="array" ref="AU23">SUMIFS(Drivers!BQ$10:BQ$66,PLSections,$E23,PLSummarys,$F23)</f>
        <v>0</v>
      </c>
      <c r="AV23" s="70" cm="1">
        <f t="array" ref="AV23">SUMIFS(Drivers!BR$10:BR$66,PLSections,$E23,PLSummarys,$F23)</f>
        <v>0</v>
      </c>
      <c r="AW23" s="70" cm="1">
        <f t="array" ref="AW23">SUMIFS(Drivers!BS$10:BS$66,PLSections,$E23,PLSummarys,$F23)</f>
        <v>0</v>
      </c>
    </row>
    <row r="24" spans="2:49" ht="16.5" customHeight="1" outlineLevel="1">
      <c r="B24" s="22"/>
      <c r="C24" s="67"/>
      <c r="D24" s="26" t="s">
        <v>241</v>
      </c>
      <c r="E24" s="14" t="s">
        <v>46</v>
      </c>
      <c r="F24" s="14" t="s">
        <v>241</v>
      </c>
      <c r="G24" s="15"/>
      <c r="H24" s="15"/>
      <c r="I24" s="14"/>
      <c r="J24" s="14"/>
      <c r="M24" s="70" cm="1">
        <f t="array" ref="M24">SUMIFS(Drivers!AI$10:AI$66,PLSections,$E24,PLSummarys,$F24)</f>
        <v>0</v>
      </c>
      <c r="N24" s="70" cm="1">
        <f t="array" ref="N24">SUMIFS(Drivers!AJ$10:AJ$66,PLSections,$E24,PLSummarys,$F24)</f>
        <v>0</v>
      </c>
      <c r="O24" s="70" cm="1">
        <f t="array" ref="O24">SUMIFS(Drivers!AK$10:AK$66,PLSections,$E24,PLSummarys,$F24)</f>
        <v>0</v>
      </c>
      <c r="P24" s="70" cm="1">
        <f t="array" ref="P24">SUMIFS(Drivers!AL$10:AL$66,PLSections,$E24,PLSummarys,$F24)</f>
        <v>0</v>
      </c>
      <c r="Q24" s="70" cm="1">
        <f t="array" ref="Q24">SUMIFS(Drivers!AM$10:AM$66,PLSections,$E24,PLSummarys,$F24)</f>
        <v>0</v>
      </c>
      <c r="R24" s="70" cm="1">
        <f t="array" ref="R24">SUMIFS(Drivers!AN$10:AN$66,PLSections,$E24,PLSummarys,$F24)</f>
        <v>0</v>
      </c>
      <c r="S24" s="70" cm="1">
        <f t="array" ref="S24">SUMIFS(Drivers!AO$10:AO$66,PLSections,$E24,PLSummarys,$F24)</f>
        <v>0</v>
      </c>
      <c r="T24" s="70" cm="1">
        <f t="array" ref="T24">SUMIFS(Drivers!AP$10:AP$66,PLSections,$E24,PLSummarys,$F24)</f>
        <v>0</v>
      </c>
      <c r="U24" s="70" cm="1">
        <f t="array" ref="U24">SUMIFS(Drivers!AQ$10:AQ$66,PLSections,$E24,PLSummarys,$F24)</f>
        <v>0</v>
      </c>
      <c r="V24" s="70" cm="1">
        <f t="array" ref="V24">SUMIFS(Drivers!AR$10:AR$66,PLSections,$E24,PLSummarys,$F24)</f>
        <v>0</v>
      </c>
      <c r="W24" s="70" cm="1">
        <f t="array" ref="W24">SUMIFS(Drivers!AS$10:AS$66,PLSections,$E24,PLSummarys,$F24)</f>
        <v>0</v>
      </c>
      <c r="X24" s="70" cm="1">
        <f t="array" ref="X24">SUMIFS(Drivers!AT$10:AT$66,PLSections,$E24,PLSummarys,$F24)</f>
        <v>0</v>
      </c>
      <c r="Y24" s="70" cm="1">
        <f t="array" ref="Y24">SUMIFS(Drivers!AU$10:AU$66,PLSections,$E24,PLSummarys,$F24)</f>
        <v>0</v>
      </c>
      <c r="Z24" s="70" cm="1">
        <f t="array" ref="Z24">SUMIFS(Drivers!AV$10:AV$66,PLSections,$E24,PLSummarys,$F24)</f>
        <v>0</v>
      </c>
      <c r="AA24" s="70" cm="1">
        <f t="array" ref="AA24">SUMIFS(Drivers!AW$10:AW$66,PLSections,$E24,PLSummarys,$F24)</f>
        <v>0</v>
      </c>
      <c r="AB24" s="70" cm="1">
        <f t="array" ref="AB24">SUMIFS(Drivers!AX$10:AX$66,PLSections,$E24,PLSummarys,$F24)</f>
        <v>0</v>
      </c>
      <c r="AC24" s="70" cm="1">
        <f t="array" ref="AC24">SUMIFS(Drivers!AY$10:AY$66,PLSections,$E24,PLSummarys,$F24)</f>
        <v>0</v>
      </c>
      <c r="AD24" s="70" cm="1">
        <f t="array" ref="AD24">SUMIFS(Drivers!AZ$10:AZ$66,PLSections,$E24,PLSummarys,$F24)</f>
        <v>0</v>
      </c>
      <c r="AE24" s="70" cm="1">
        <f t="array" ref="AE24">SUMIFS(Drivers!BA$10:BA$66,PLSections,$E24,PLSummarys,$F24)</f>
        <v>0</v>
      </c>
      <c r="AF24" s="70" cm="1">
        <f t="array" ref="AF24">SUMIFS(Drivers!BB$10:BB$66,PLSections,$E24,PLSummarys,$F24)</f>
        <v>0</v>
      </c>
      <c r="AG24" s="70" cm="1">
        <f t="array" ref="AG24">SUMIFS(Drivers!BC$10:BC$66,PLSections,$E24,PLSummarys,$F24)</f>
        <v>0</v>
      </c>
      <c r="AH24" s="70" cm="1">
        <f t="array" ref="AH24">SUMIFS(Drivers!BD$10:BD$66,PLSections,$E24,PLSummarys,$F24)</f>
        <v>0</v>
      </c>
      <c r="AI24" s="70" cm="1">
        <f t="array" ref="AI24">SUMIFS(Drivers!BE$10:BE$66,PLSections,$E24,PLSummarys,$F24)</f>
        <v>0</v>
      </c>
      <c r="AJ24" s="70" cm="1">
        <f t="array" ref="AJ24">SUMIFS(Drivers!BF$10:BF$66,PLSections,$E24,PLSummarys,$F24)</f>
        <v>0</v>
      </c>
      <c r="AK24" s="70" cm="1">
        <f t="array" ref="AK24">SUMIFS(Drivers!BG$10:BG$66,PLSections,$E24,PLSummarys,$F24)</f>
        <v>0</v>
      </c>
      <c r="AL24" s="70" cm="1">
        <f t="array" ref="AL24">SUMIFS(Drivers!BH$10:BH$66,PLSections,$E24,PLSummarys,$F24)</f>
        <v>0</v>
      </c>
      <c r="AM24" s="70" cm="1">
        <f t="array" ref="AM24">SUMIFS(Drivers!BI$10:BI$66,PLSections,$E24,PLSummarys,$F24)</f>
        <v>0</v>
      </c>
      <c r="AN24" s="70" cm="1">
        <f t="array" ref="AN24">SUMIFS(Drivers!BJ$10:BJ$66,PLSections,$E24,PLSummarys,$F24)</f>
        <v>0</v>
      </c>
      <c r="AO24" s="70" cm="1">
        <f t="array" ref="AO24">SUMIFS(Drivers!BK$10:BK$66,PLSections,$E24,PLSummarys,$F24)</f>
        <v>0</v>
      </c>
      <c r="AP24" s="70" cm="1">
        <f t="array" ref="AP24">SUMIFS(Drivers!BL$10:BL$66,PLSections,$E24,PLSummarys,$F24)</f>
        <v>0</v>
      </c>
      <c r="AQ24" s="70" cm="1">
        <f t="array" ref="AQ24">SUMIFS(Drivers!BM$10:BM$66,PLSections,$E24,PLSummarys,$F24)</f>
        <v>0</v>
      </c>
      <c r="AR24" s="70" cm="1">
        <f t="array" ref="AR24">SUMIFS(Drivers!BN$10:BN$66,PLSections,$E24,PLSummarys,$F24)</f>
        <v>0</v>
      </c>
      <c r="AS24" s="70" cm="1">
        <f t="array" ref="AS24">SUMIFS(Drivers!BO$10:BO$66,PLSections,$E24,PLSummarys,$F24)</f>
        <v>0</v>
      </c>
      <c r="AT24" s="70" cm="1">
        <f t="array" ref="AT24">SUMIFS(Drivers!BP$10:BP$66,PLSections,$E24,PLSummarys,$F24)</f>
        <v>0</v>
      </c>
      <c r="AU24" s="70" cm="1">
        <f t="array" ref="AU24">SUMIFS(Drivers!BQ$10:BQ$66,PLSections,$E24,PLSummarys,$F24)</f>
        <v>0</v>
      </c>
      <c r="AV24" s="70" cm="1">
        <f t="array" ref="AV24">SUMIFS(Drivers!BR$10:BR$66,PLSections,$E24,PLSummarys,$F24)</f>
        <v>0</v>
      </c>
      <c r="AW24" s="70" cm="1">
        <f t="array" ref="AW24">SUMIFS(Drivers!BS$10:BS$66,PLSections,$E24,PLSummarys,$F24)</f>
        <v>0</v>
      </c>
    </row>
    <row r="25" spans="2:49" ht="18" customHeight="1" outlineLevel="1">
      <c r="B25" s="22"/>
      <c r="C25" s="72"/>
      <c r="D25" s="26" t="s">
        <v>46</v>
      </c>
      <c r="E25" s="2" t="s">
        <v>46</v>
      </c>
      <c r="F25" s="71" t="s">
        <v>46</v>
      </c>
      <c r="G25" s="15"/>
      <c r="H25" s="15" t="str">
        <f>IFERROR(INDEX(PBC_ACCOUNT_LIST[Cash Flow Section],MATCH('Data Summary'!J25,PBC_ACCOUNT_LIST[Id],0)),"")</f>
        <v/>
      </c>
      <c r="I25" s="14"/>
      <c r="J25" s="14"/>
      <c r="M25" s="70" cm="1">
        <f t="array" ref="M25">SUMIFS(Drivers!AI$10:AI$66,PLSections,$E25,PLSummarys,$F25)</f>
        <v>21495.5</v>
      </c>
      <c r="N25" s="70" cm="1">
        <f t="array" ref="N25">SUMIFS(Drivers!AJ$10:AJ$66,PLSections,$E25,PLSummarys,$F25)</f>
        <v>21495.5</v>
      </c>
      <c r="O25" s="70" cm="1">
        <f t="array" ref="O25">SUMIFS(Drivers!AK$10:AK$66,PLSections,$E25,PLSummarys,$F25)</f>
        <v>21496</v>
      </c>
      <c r="P25" s="70" cm="1">
        <f t="array" ref="P25">SUMIFS(Drivers!AL$10:AL$66,PLSections,$E25,PLSummarys,$F25)</f>
        <v>21496</v>
      </c>
      <c r="Q25" s="70" cm="1">
        <f t="array" ref="Q25">SUMIFS(Drivers!AM$10:AM$66,PLSections,$E25,PLSummarys,$F25)</f>
        <v>21496</v>
      </c>
      <c r="R25" s="70" cm="1">
        <f t="array" ref="R25">SUMIFS(Drivers!AN$10:AN$66,PLSections,$E25,PLSummarys,$F25)</f>
        <v>21496</v>
      </c>
      <c r="S25" s="70" cm="1">
        <f t="array" ref="S25">SUMIFS(Drivers!AO$10:AO$66,PLSections,$E25,PLSummarys,$F25)</f>
        <v>21496</v>
      </c>
      <c r="T25" s="70" cm="1">
        <f t="array" ref="T25">SUMIFS(Drivers!AP$10:AP$66,PLSections,$E25,PLSummarys,$F25)</f>
        <v>21496</v>
      </c>
      <c r="U25" s="70" cm="1">
        <f t="array" ref="U25">SUMIFS(Drivers!AQ$10:AQ$66,PLSections,$E25,PLSummarys,$F25)</f>
        <v>21496</v>
      </c>
      <c r="V25" s="70" cm="1">
        <f t="array" ref="V25">SUMIFS(Drivers!AR$10:AR$66,PLSections,$E25,PLSummarys,$F25)</f>
        <v>21496</v>
      </c>
      <c r="W25" s="70" cm="1">
        <f t="array" ref="W25">SUMIFS(Drivers!AS$10:AS$66,PLSections,$E25,PLSummarys,$F25)</f>
        <v>21496</v>
      </c>
      <c r="X25" s="70" cm="1">
        <f t="array" ref="X25">SUMIFS(Drivers!AT$10:AT$66,PLSections,$E25,PLSummarys,$F25)</f>
        <v>21496</v>
      </c>
      <c r="Y25" s="70" cm="1">
        <f t="array" ref="Y25">SUMIFS(Drivers!AU$10:AU$66,PLSections,$E25,PLSummarys,$F25)</f>
        <v>21496</v>
      </c>
      <c r="Z25" s="70" cm="1">
        <f t="array" ref="Z25">SUMIFS(Drivers!AV$10:AV$66,PLSections,$E25,PLSummarys,$F25)</f>
        <v>21495.42</v>
      </c>
      <c r="AA25" s="70" cm="1">
        <f t="array" ref="AA25">SUMIFS(Drivers!AW$10:AW$66,PLSections,$E25,PLSummarys,$F25)</f>
        <v>21495.66</v>
      </c>
      <c r="AB25" s="70" cm="1">
        <f t="array" ref="AB25">SUMIFS(Drivers!AX$10:AX$66,PLSections,$E25,PLSummarys,$F25)</f>
        <v>21495.66</v>
      </c>
      <c r="AC25" s="70" cm="1">
        <f t="array" ref="AC25">SUMIFS(Drivers!AY$10:AY$66,PLSections,$E25,PLSummarys,$F25)</f>
        <v>21495.66</v>
      </c>
      <c r="AD25" s="70" cm="1">
        <f t="array" ref="AD25">SUMIFS(Drivers!AZ$10:AZ$66,PLSections,$E25,PLSummarys,$F25)</f>
        <v>21495.66</v>
      </c>
      <c r="AE25" s="70" cm="1">
        <f t="array" ref="AE25">SUMIFS(Drivers!BA$10:BA$66,PLSections,$E25,PLSummarys,$F25)</f>
        <v>21495.42</v>
      </c>
      <c r="AF25" s="70" cm="1">
        <f t="array" ref="AF25">SUMIFS(Drivers!BB$10:BB$66,PLSections,$E25,PLSummarys,$F25)</f>
        <v>21495.42</v>
      </c>
      <c r="AG25" s="70" cm="1">
        <f t="array" ref="AG25">SUMIFS(Drivers!BC$10:BC$66,PLSections,$E25,PLSummarys,$F25)</f>
        <v>21495.42</v>
      </c>
      <c r="AH25" s="70" cm="1">
        <f t="array" ref="AH25">SUMIFS(Drivers!BD$10:BD$66,PLSections,$E25,PLSummarys,$F25)</f>
        <v>21495.42</v>
      </c>
      <c r="AI25" s="70" cm="1">
        <f t="array" ref="AI25">SUMIFS(Drivers!BE$10:BE$66,PLSections,$E25,PLSummarys,$F25)</f>
        <v>22570.274999999998</v>
      </c>
      <c r="AJ25" s="70" cm="1">
        <f t="array" ref="AJ25">SUMIFS(Drivers!BF$10:BF$66,PLSections,$E25,PLSummarys,$F25)</f>
        <v>22758.332624999999</v>
      </c>
      <c r="AK25" s="70" cm="1">
        <f t="array" ref="AK25">SUMIFS(Drivers!BG$10:BG$66,PLSections,$E25,PLSummarys,$F25)</f>
        <v>22979.300334375002</v>
      </c>
      <c r="AL25" s="70" cm="1">
        <f t="array" ref="AL25">SUMIFS(Drivers!BH$10:BH$66,PLSections,$E25,PLSummarys,$F25)</f>
        <v>23238.979392890629</v>
      </c>
      <c r="AM25" s="70" cm="1">
        <f t="array" ref="AM25">SUMIFS(Drivers!BI$10:BI$66,PLSections,$E25,PLSummarys,$F25)</f>
        <v>23544.102286646485</v>
      </c>
      <c r="AN25" s="70" cm="1">
        <f t="array" ref="AN25">SUMIFS(Drivers!BJ$10:BJ$66,PLSections,$E25,PLSummarys,$F25)</f>
        <v>23902.62168680962</v>
      </c>
      <c r="AO25" s="70" cm="1">
        <f t="array" ref="AO25">SUMIFS(Drivers!BK$10:BK$66,PLSections,$E25,PLSummarys,$F25)</f>
        <v>24323.881982001305</v>
      </c>
      <c r="AP25" s="70" cm="1">
        <f t="array" ref="AP25">SUMIFS(Drivers!BL$10:BL$66,PLSections,$E25,PLSummarys,$F25)</f>
        <v>24630.763203851533</v>
      </c>
      <c r="AQ25" s="70" cm="1">
        <f t="array" ref="AQ25">SUMIFS(Drivers!BM$10:BM$66,PLSections,$E25,PLSummarys,$F25)</f>
        <v>24958.438555150551</v>
      </c>
      <c r="AR25" s="70" cm="1">
        <f t="array" ref="AR25">SUMIFS(Drivers!BN$10:BN$66,PLSections,$E25,PLSummarys,$F25)</f>
        <v>25304.787743786273</v>
      </c>
      <c r="AS25" s="70" cm="1">
        <f t="array" ref="AS25">SUMIFS(Drivers!BO$10:BO$66,PLSections,$E25,PLSummarys,$F25)</f>
        <v>25666.30420519301</v>
      </c>
      <c r="AT25" s="70" cm="1">
        <f t="array" ref="AT25">SUMIFS(Drivers!BP$10:BP$66,PLSections,$E25,PLSummarys,$F25)</f>
        <v>26037.689540938649</v>
      </c>
      <c r="AU25" s="70" cm="1">
        <f t="array" ref="AU25">SUMIFS(Drivers!BQ$10:BQ$66,PLSections,$E25,PLSummarys,$F25)</f>
        <v>26411.326415411233</v>
      </c>
      <c r="AV25" s="70" cm="1">
        <f t="array" ref="AV25">SUMIFS(Drivers!BR$10:BR$66,PLSections,$E25,PLSummarys,$F25)</f>
        <v>26776.629191257973</v>
      </c>
      <c r="AW25" s="70" cm="1">
        <f t="array" ref="AW25">SUMIFS(Drivers!BS$10:BS$66,PLSections,$E25,PLSummarys,$F25)</f>
        <v>27152.155739054098</v>
      </c>
    </row>
    <row r="26" spans="2:49" ht="6" customHeight="1">
      <c r="B26" s="22"/>
      <c r="C26" s="72"/>
      <c r="D26" s="26"/>
      <c r="E26" s="14"/>
      <c r="F26" s="14"/>
      <c r="G26" s="15"/>
      <c r="H26" s="15" t="str">
        <f>IFERROR(INDEX(PBC_ACCOUNT_LIST[Cash Flow Section],MATCH('Data Summary'!J26,PBC_ACCOUNT_LIST[Id],0)),"")</f>
        <v/>
      </c>
      <c r="I26" s="14"/>
      <c r="J26" s="14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</row>
    <row r="27" spans="2:49" ht="21">
      <c r="B27" s="22"/>
      <c r="C27" s="67" t="s">
        <v>198</v>
      </c>
      <c r="D27" s="28"/>
      <c r="E27" s="14"/>
      <c r="F27" s="14"/>
      <c r="G27" s="15"/>
      <c r="H27" s="15" t="str">
        <f>IFERROR(INDEX(PBC_ACCOUNT_LIST[Cash Flow Section],MATCH('Data Summary'!J27,PBC_ACCOUNT_LIST[Id],0)),"")</f>
        <v/>
      </c>
      <c r="I27" s="14"/>
      <c r="J27" s="14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</row>
    <row r="28" spans="2:49" ht="21" outlineLevel="1">
      <c r="B28" s="22"/>
      <c r="C28" s="67"/>
      <c r="D28" s="26" t="s">
        <v>51</v>
      </c>
      <c r="E28" s="14" t="s">
        <v>49</v>
      </c>
      <c r="F28" s="14" t="s">
        <v>51</v>
      </c>
      <c r="G28" s="15"/>
      <c r="H28" s="15" t="str">
        <f>IFERROR(INDEX(PBC_ACCOUNT_LIST[Cash Flow Section],MATCH('Data Summary'!J28,PBC_ACCOUNT_LIST[Id],0)),"")</f>
        <v/>
      </c>
      <c r="I28" s="14"/>
      <c r="J28" s="14"/>
      <c r="M28" s="70">
        <f>SUMIFS(Drivers!AI$68:AI$103,BSSections,$E28,BSSummarys,$F28)</f>
        <v>34169</v>
      </c>
      <c r="N28" s="70">
        <f>SUMIFS(Drivers!AJ$68:AJ$103,BSSections,$E28,BSSummarys,$F28)</f>
        <v>41127</v>
      </c>
      <c r="O28" s="70">
        <f>SUMIFS(Drivers!AK$68:AK$103,BSSections,$E28,BSSummarys,$F28)</f>
        <v>41812</v>
      </c>
      <c r="P28" s="70">
        <f>SUMIFS(Drivers!AL$68:AL$103,BSSections,$E28,BSSummarys,$F28)</f>
        <v>40987</v>
      </c>
      <c r="Q28" s="70">
        <f>SUMIFS(Drivers!AM$68:AM$103,BSSections,$E28,BSSummarys,$F28)</f>
        <v>43374</v>
      </c>
      <c r="R28" s="70">
        <f>SUMIFS(Drivers!AN$68:AN$103,BSSections,$E28,BSSummarys,$F28)</f>
        <v>44161</v>
      </c>
      <c r="S28" s="70">
        <f>SUMIFS(Drivers!AO$68:AO$103,BSSections,$E28,BSSummarys,$F28)</f>
        <v>44983</v>
      </c>
      <c r="T28" s="70">
        <f>SUMIFS(Drivers!AP$68:AP$103,BSSections,$E28,BSSummarys,$F28)</f>
        <v>46381</v>
      </c>
      <c r="U28" s="70">
        <f>SUMIFS(Drivers!AQ$68:AQ$103,BSSections,$E28,BSSummarys,$F28)</f>
        <v>47434</v>
      </c>
      <c r="V28" s="70">
        <f>SUMIFS(Drivers!AR$68:AR$103,BSSections,$E28,BSSummarys,$F28)</f>
        <v>48580</v>
      </c>
      <c r="W28" s="70">
        <f>SUMIFS(Drivers!AS$68:AS$103,BSSections,$E28,BSSummarys,$F28)</f>
        <v>49839</v>
      </c>
      <c r="X28" s="70">
        <f>SUMIFS(Drivers!AT$68:AT$103,BSSections,$E28,BSSummarys,$F28)</f>
        <v>51049</v>
      </c>
      <c r="Y28" s="70">
        <f>SUMIFS(Drivers!AU$68:AU$103,BSSections,$E28,BSSummarys,$F28)</f>
        <v>52314</v>
      </c>
      <c r="Z28" s="70">
        <f>SUMIFS(Drivers!AV$68:AV$103,BSSections,$E28,BSSummarys,$F28)</f>
        <v>53620.77</v>
      </c>
      <c r="AA28" s="70">
        <f>SUMIFS(Drivers!AW$68:AW$103,BSSections,$E28,BSSummarys,$F28)</f>
        <v>54944.77</v>
      </c>
      <c r="AB28" s="70">
        <f>SUMIFS(Drivers!AX$68:AX$103,BSSections,$E28,BSSummarys,$F28)</f>
        <v>56307.77</v>
      </c>
      <c r="AC28" s="70">
        <f>SUMIFS(Drivers!AY$68:AY$103,BSSections,$E28,BSSummarys,$F28)</f>
        <v>57705.77</v>
      </c>
      <c r="AD28" s="70">
        <f>SUMIFS(Drivers!AZ$68:AZ$103,BSSections,$E28,BSSummarys,$F28)</f>
        <v>59135.77</v>
      </c>
      <c r="AE28" s="70">
        <f>SUMIFS(Drivers!BA$68:BA$103,BSSections,$E28,BSSummarys,$F28)</f>
        <v>69302.55</v>
      </c>
      <c r="AF28" s="70">
        <f>SUMIFS(Drivers!BB$68:BB$103,BSSections,$E28,BSSummarys,$F28)</f>
        <v>70805.53</v>
      </c>
      <c r="AG28" s="70">
        <f>SUMIFS(Drivers!BC$68:BC$103,BSSections,$E28,BSSummarys,$F28)</f>
        <v>72345.320000000007</v>
      </c>
      <c r="AH28" s="70">
        <f>SUMIFS(Drivers!BD$68:BD$103,BSSections,$E28,BSSummarys,$F28)</f>
        <v>73923.66</v>
      </c>
      <c r="AI28" s="70">
        <f>SUMIFS(Drivers!BE$68:BE$103,BSSections,$E28,BSSummarys,$F28)</f>
        <v>63923.66</v>
      </c>
      <c r="AJ28" s="70">
        <f>SUMIFS(Drivers!BF$68:BF$103,BSSections,$E28,BSSummarys,$F28)</f>
        <v>63923.66</v>
      </c>
      <c r="AK28" s="70">
        <f>SUMIFS(Drivers!BG$68:BG$103,BSSections,$E28,BSSummarys,$F28)</f>
        <v>63923.66</v>
      </c>
      <c r="AL28" s="70">
        <f>SUMIFS(Drivers!BH$68:BH$103,BSSections,$E28,BSSummarys,$F28)</f>
        <v>63923.66</v>
      </c>
      <c r="AM28" s="70">
        <f>SUMIFS(Drivers!BI$68:BI$103,BSSections,$E28,BSSummarys,$F28)</f>
        <v>63923.66</v>
      </c>
      <c r="AN28" s="70">
        <f>SUMIFS(Drivers!BJ$68:BJ$103,BSSections,$E28,BSSummarys,$F28)</f>
        <v>63923.66</v>
      </c>
      <c r="AO28" s="70">
        <f>SUMIFS(Drivers!BK$68:BK$103,BSSections,$E28,BSSummarys,$F28)</f>
        <v>63923.66</v>
      </c>
      <c r="AP28" s="70">
        <f>SUMIFS(Drivers!BL$68:BL$103,BSSections,$E28,BSSummarys,$F28)</f>
        <v>63923.66</v>
      </c>
      <c r="AQ28" s="70">
        <f>SUMIFS(Drivers!BM$68:BM$103,BSSections,$E28,BSSummarys,$F28)</f>
        <v>63923.66</v>
      </c>
      <c r="AR28" s="70">
        <f>SUMIFS(Drivers!BN$68:BN$103,BSSections,$E28,BSSummarys,$F28)</f>
        <v>63923.66</v>
      </c>
      <c r="AS28" s="70">
        <f>SUMIFS(Drivers!BO$68:BO$103,BSSections,$E28,BSSummarys,$F28)</f>
        <v>63923.66</v>
      </c>
      <c r="AT28" s="70">
        <f>SUMIFS(Drivers!BP$68:BP$103,BSSections,$E28,BSSummarys,$F28)</f>
        <v>63923.66</v>
      </c>
      <c r="AU28" s="70">
        <f>SUMIFS(Drivers!BQ$68:BQ$103,BSSections,$E28,BSSummarys,$F28)</f>
        <v>63923.66</v>
      </c>
      <c r="AV28" s="70">
        <f>SUMIFS(Drivers!BR$68:BR$103,BSSections,$E28,BSSummarys,$F28)</f>
        <v>63923.66</v>
      </c>
      <c r="AW28" s="70">
        <f>SUMIFS(Drivers!BS$68:BS$103,BSSections,$E28,BSSummarys,$F28)</f>
        <v>63923.66</v>
      </c>
    </row>
    <row r="29" spans="2:49" ht="21" outlineLevel="1">
      <c r="B29" s="22"/>
      <c r="C29" s="67"/>
      <c r="D29" s="26" t="s">
        <v>50</v>
      </c>
      <c r="E29" s="14" t="s">
        <v>49</v>
      </c>
      <c r="F29" s="14" t="s">
        <v>50</v>
      </c>
      <c r="G29" s="15"/>
      <c r="H29" s="15"/>
      <c r="I29" s="14"/>
      <c r="J29" s="14"/>
      <c r="M29" s="70">
        <f>SUMIFS(Drivers!AI$68:AI$103,BSSections,$E29,BSSummarys,$F29)</f>
        <v>4285000.5</v>
      </c>
      <c r="N29" s="70">
        <f>SUMIFS(Drivers!AJ$68:AJ$103,BSSections,$E29,BSSummarys,$F29)</f>
        <v>4191288.5</v>
      </c>
      <c r="O29" s="70">
        <f>SUMIFS(Drivers!AK$68:AK$103,BSSections,$E29,BSSummarys,$F29)</f>
        <v>4076334.5</v>
      </c>
      <c r="P29" s="70">
        <f>SUMIFS(Drivers!AL$68:AL$103,BSSections,$E29,BSSummarys,$F29)</f>
        <v>4004840.5</v>
      </c>
      <c r="Q29" s="70">
        <f>SUMIFS(Drivers!AM$68:AM$103,BSSections,$E29,BSSummarys,$F29)</f>
        <v>3870793.5</v>
      </c>
      <c r="R29" s="70">
        <f>SUMIFS(Drivers!AN$68:AN$103,BSSections,$E29,BSSummarys,$F29)</f>
        <v>3794994.5</v>
      </c>
      <c r="S29" s="70">
        <f>SUMIFS(Drivers!AO$68:AO$103,BSSections,$E29,BSSummarys,$F29)</f>
        <v>3656851.5</v>
      </c>
      <c r="T29" s="70">
        <f>SUMIFS(Drivers!AP$68:AP$103,BSSections,$E29,BSSummarys,$F29)</f>
        <v>3512188.5</v>
      </c>
      <c r="U29" s="70">
        <f>SUMIFS(Drivers!AQ$68:AQ$103,BSSections,$E29,BSSummarys,$F29)</f>
        <v>3367871.5</v>
      </c>
      <c r="V29" s="70">
        <f>SUMIFS(Drivers!AR$68:AR$103,BSSections,$E29,BSSummarys,$F29)</f>
        <v>3217220.5</v>
      </c>
      <c r="W29" s="70">
        <f>SUMIFS(Drivers!AS$68:AS$103,BSSections,$E29,BSSummarys,$F29)</f>
        <v>3066455.5</v>
      </c>
      <c r="X29" s="70">
        <f>SUMIFS(Drivers!AT$68:AT$103,BSSections,$E29,BSSummarys,$F29)</f>
        <v>2909186.5</v>
      </c>
      <c r="Y29" s="70">
        <f>SUMIFS(Drivers!AU$68:AU$103,BSSections,$E29,BSSummarys,$F29)</f>
        <v>2744982.5</v>
      </c>
      <c r="Z29" s="70">
        <f>SUMIFS(Drivers!AV$68:AV$103,BSSections,$E29,BSSummarys,$F29)</f>
        <v>2573511.48</v>
      </c>
      <c r="AA29" s="70">
        <f>SUMIFS(Drivers!AW$68:AW$103,BSSections,$E29,BSSummarys,$F29)</f>
        <v>2394437.4799999995</v>
      </c>
      <c r="AB29" s="70">
        <f>SUMIFS(Drivers!AX$68:AX$103,BSSections,$E29,BSSummarys,$F29)</f>
        <v>2207358.48</v>
      </c>
      <c r="AC29" s="70">
        <f>SUMIFS(Drivers!AY$68:AY$103,BSSections,$E29,BSSummarys,$F29)</f>
        <v>2011881.48</v>
      </c>
      <c r="AD29" s="70">
        <f>SUMIFS(Drivers!AZ$68:AZ$103,BSSections,$E29,BSSummarys,$F29)</f>
        <v>1807588.48</v>
      </c>
      <c r="AE29" s="70">
        <f>SUMIFS(Drivers!BA$68:BA$103,BSSections,$E29,BSSummarys,$F29)</f>
        <v>1594040.15</v>
      </c>
      <c r="AF29" s="70">
        <f>SUMIFS(Drivers!BB$68:BB$103,BSSections,$E29,BSSummarys,$F29)</f>
        <v>1370773.78</v>
      </c>
      <c r="AG29" s="70">
        <f>SUMIFS(Drivers!BC$68:BC$103,BSSections,$E29,BSSummarys,$F29)</f>
        <v>1137304.6599999999</v>
      </c>
      <c r="AH29" s="70">
        <f>SUMIFS(Drivers!BD$68:BD$103,BSSections,$E29,BSSummarys,$F29)</f>
        <v>893122.77</v>
      </c>
      <c r="AI29" s="70">
        <f>SUMIFS(Drivers!BE$68:BE$103,BSSections,$E29,BSSummarys,$F29)</f>
        <v>1722958.6085000003</v>
      </c>
      <c r="AJ29" s="70">
        <f>SUMIFS(Drivers!BF$68:BF$103,BSSections,$E29,BSSummarys,$F29)</f>
        <v>1487013.4092374998</v>
      </c>
      <c r="AK29" s="70">
        <f>SUMIFS(Drivers!BG$68:BG$103,BSSections,$E29,BSSummarys,$F29)</f>
        <v>2245812.6906040623</v>
      </c>
      <c r="AL29" s="70">
        <f>SUMIFS(Drivers!BH$68:BH$103,BSSections,$E29,BSSummarys,$F29)</f>
        <v>1998754.9829597732</v>
      </c>
      <c r="AM29" s="70">
        <f>SUMIFS(Drivers!BI$68:BI$103,BSSections,$E29,BSSummarys,$F29)</f>
        <v>1747629.6352277335</v>
      </c>
      <c r="AN29" s="70">
        <f>SUMIFS(Drivers!BJ$68:BJ$103,BSSections,$E29,BSSummarys,$F29)</f>
        <v>1493678.8498925865</v>
      </c>
      <c r="AO29" s="70">
        <f>SUMIFS(Drivers!BK$68:BK$103,BSSections,$E29,BSSummarys,$F29)</f>
        <v>1238276.1638737889</v>
      </c>
      <c r="AP29" s="70">
        <f>SUMIFS(Drivers!BL$68:BL$103,BSSections,$E29,BSSummarys,$F29)</f>
        <v>978456.73606420192</v>
      </c>
      <c r="AQ29" s="70">
        <f>SUMIFS(Drivers!BM$68:BM$103,BSSections,$E29,BSSummarys,$F29)</f>
        <v>714459.31825887505</v>
      </c>
      <c r="AR29" s="70">
        <f>SUMIFS(Drivers!BN$68:BN$103,BSSections,$E29,BSSummarys,$F29)</f>
        <v>446472.47809846723</v>
      </c>
      <c r="AS29" s="70">
        <f>SUMIFS(Drivers!BO$68:BO$103,BSSections,$E29,BSSummarys,$F29)</f>
        <v>174823.03974773848</v>
      </c>
      <c r="AT29" s="70">
        <f>SUMIFS(Drivers!BP$68:BP$103,BSSections,$E29,BSSummarys,$F29)</f>
        <v>-100418.11446126064</v>
      </c>
      <c r="AU29" s="70">
        <f>SUMIFS(Drivers!BQ$68:BQ$103,BSSections,$E29,BSSummarys,$F29)</f>
        <v>-379385.08322318434</v>
      </c>
      <c r="AV29" s="70">
        <f>SUMIFS(Drivers!BR$68:BR$103,BSSections,$E29,BSSummarys,$F29)</f>
        <v>-662475.80146515393</v>
      </c>
      <c r="AW29" s="70">
        <f>SUMIFS(Drivers!BS$68:BS$103,BSSections,$E29,BSSummarys,$F29)</f>
        <v>-949638.99553279136</v>
      </c>
    </row>
    <row r="30" spans="2:49" ht="21" outlineLevel="1">
      <c r="B30" s="22"/>
      <c r="C30" s="67"/>
      <c r="D30" s="26" t="s">
        <v>52</v>
      </c>
      <c r="E30" s="14" t="s">
        <v>49</v>
      </c>
      <c r="F30" s="14" t="s">
        <v>52</v>
      </c>
      <c r="G30" s="15"/>
      <c r="H30" s="15"/>
      <c r="I30" s="14"/>
      <c r="J30" s="14"/>
      <c r="M30" s="70">
        <f>SUMIFS(Drivers!AI$68:AI$103,BSSections,$E30,BSSummarys,$F30)</f>
        <v>26119.5</v>
      </c>
      <c r="N30" s="70">
        <f>SUMIFS(Drivers!AJ$68:AJ$103,BSSections,$E30,BSSummarys,$F30)</f>
        <v>26119.5</v>
      </c>
      <c r="O30" s="70">
        <f>SUMIFS(Drivers!AK$68:AK$103,BSSections,$E30,BSSummarys,$F30)</f>
        <v>26119.5</v>
      </c>
      <c r="P30" s="70">
        <f>SUMIFS(Drivers!AL$68:AL$103,BSSections,$E30,BSSummarys,$F30)</f>
        <v>26119.5</v>
      </c>
      <c r="Q30" s="70">
        <f>SUMIFS(Drivers!AM$68:AM$103,BSSections,$E30,BSSummarys,$F30)</f>
        <v>26119.5</v>
      </c>
      <c r="R30" s="70">
        <f>SUMIFS(Drivers!AN$68:AN$103,BSSections,$E30,BSSummarys,$F30)</f>
        <v>26119.5</v>
      </c>
      <c r="S30" s="70">
        <f>SUMIFS(Drivers!AO$68:AO$103,BSSections,$E30,BSSummarys,$F30)</f>
        <v>26119.5</v>
      </c>
      <c r="T30" s="70">
        <f>SUMIFS(Drivers!AP$68:AP$103,BSSections,$E30,BSSummarys,$F30)</f>
        <v>26119.5</v>
      </c>
      <c r="U30" s="70">
        <f>SUMIFS(Drivers!AQ$68:AQ$103,BSSections,$E30,BSSummarys,$F30)</f>
        <v>26119.5</v>
      </c>
      <c r="V30" s="70">
        <f>SUMIFS(Drivers!AR$68:AR$103,BSSections,$E30,BSSummarys,$F30)</f>
        <v>26119.5</v>
      </c>
      <c r="W30" s="70">
        <f>SUMIFS(Drivers!AS$68:AS$103,BSSections,$E30,BSSummarys,$F30)</f>
        <v>26119.5</v>
      </c>
      <c r="X30" s="70">
        <f>SUMIFS(Drivers!AT$68:AT$103,BSSections,$E30,BSSummarys,$F30)</f>
        <v>26119.5</v>
      </c>
      <c r="Y30" s="70">
        <f>SUMIFS(Drivers!AU$68:AU$103,BSSections,$E30,BSSummarys,$F30)</f>
        <v>26119.5</v>
      </c>
      <c r="Z30" s="70">
        <f>SUMIFS(Drivers!AV$68:AV$103,BSSections,$E30,BSSummarys,$F30)</f>
        <v>26119.5</v>
      </c>
      <c r="AA30" s="70">
        <f>SUMIFS(Drivers!AW$68:AW$103,BSSections,$E30,BSSummarys,$F30)</f>
        <v>26119.5</v>
      </c>
      <c r="AB30" s="70">
        <f>SUMIFS(Drivers!AX$68:AX$103,BSSections,$E30,BSSummarys,$F30)</f>
        <v>26119.5</v>
      </c>
      <c r="AC30" s="70">
        <f>SUMIFS(Drivers!AY$68:AY$103,BSSections,$E30,BSSummarys,$F30)</f>
        <v>26119.5</v>
      </c>
      <c r="AD30" s="70">
        <f>SUMIFS(Drivers!AZ$68:AZ$103,BSSections,$E30,BSSummarys,$F30)</f>
        <v>26119.5</v>
      </c>
      <c r="AE30" s="70">
        <f>SUMIFS(Drivers!BA$68:BA$103,BSSections,$E30,BSSummarys,$F30)</f>
        <v>25819.5</v>
      </c>
      <c r="AF30" s="70">
        <f>SUMIFS(Drivers!BB$68:BB$103,BSSections,$E30,BSSummarys,$F30)</f>
        <v>26819.5</v>
      </c>
      <c r="AG30" s="70">
        <f>SUMIFS(Drivers!BC$68:BC$103,BSSections,$E30,BSSummarys,$F30)</f>
        <v>26819.5</v>
      </c>
      <c r="AH30" s="70">
        <f>SUMIFS(Drivers!BD$68:BD$103,BSSections,$E30,BSSummarys,$F30)</f>
        <v>26819.5</v>
      </c>
      <c r="AI30" s="70">
        <f>SUMIFS(Drivers!BE$68:BE$103,BSSections,$E30,BSSummarys,$F30)</f>
        <v>26819.5</v>
      </c>
      <c r="AJ30" s="70">
        <f>SUMIFS(Drivers!BF$68:BF$103,BSSections,$E30,BSSummarys,$F30)</f>
        <v>26819.5</v>
      </c>
      <c r="AK30" s="70">
        <f>SUMIFS(Drivers!BG$68:BG$103,BSSections,$E30,BSSummarys,$F30)</f>
        <v>26819.5</v>
      </c>
      <c r="AL30" s="70">
        <f>SUMIFS(Drivers!BH$68:BH$103,BSSections,$E30,BSSummarys,$F30)</f>
        <v>26819.5</v>
      </c>
      <c r="AM30" s="70">
        <f>SUMIFS(Drivers!BI$68:BI$103,BSSections,$E30,BSSummarys,$F30)</f>
        <v>26819.5</v>
      </c>
      <c r="AN30" s="70">
        <f>SUMIFS(Drivers!BJ$68:BJ$103,BSSections,$E30,BSSummarys,$F30)</f>
        <v>26819.5</v>
      </c>
      <c r="AO30" s="70">
        <f>SUMIFS(Drivers!BK$68:BK$103,BSSections,$E30,BSSummarys,$F30)</f>
        <v>26819.5</v>
      </c>
      <c r="AP30" s="70">
        <f>SUMIFS(Drivers!BL$68:BL$103,BSSections,$E30,BSSummarys,$F30)</f>
        <v>26819.5</v>
      </c>
      <c r="AQ30" s="70">
        <f>SUMIFS(Drivers!BM$68:BM$103,BSSections,$E30,BSSummarys,$F30)</f>
        <v>26819.5</v>
      </c>
      <c r="AR30" s="70">
        <f>SUMIFS(Drivers!BN$68:BN$103,BSSections,$E30,BSSummarys,$F30)</f>
        <v>26819.5</v>
      </c>
      <c r="AS30" s="70">
        <f>SUMIFS(Drivers!BO$68:BO$103,BSSections,$E30,BSSummarys,$F30)</f>
        <v>26819.5</v>
      </c>
      <c r="AT30" s="70">
        <f>SUMIFS(Drivers!BP$68:BP$103,BSSections,$E30,BSSummarys,$F30)</f>
        <v>26819.5</v>
      </c>
      <c r="AU30" s="70">
        <f>SUMIFS(Drivers!BQ$68:BQ$103,BSSections,$E30,BSSummarys,$F30)</f>
        <v>26819.5</v>
      </c>
      <c r="AV30" s="70">
        <f>SUMIFS(Drivers!BR$68:BR$103,BSSections,$E30,BSSummarys,$F30)</f>
        <v>26819.5</v>
      </c>
      <c r="AW30" s="70">
        <f>SUMIFS(Drivers!BS$68:BS$103,BSSections,$E30,BSSummarys,$F30)</f>
        <v>26819.5</v>
      </c>
    </row>
    <row r="31" spans="2:49" ht="21" outlineLevel="1">
      <c r="B31" s="22"/>
      <c r="C31" s="67"/>
      <c r="D31" s="26" t="s">
        <v>53</v>
      </c>
      <c r="E31" s="14" t="s">
        <v>49</v>
      </c>
      <c r="F31" s="14" t="s">
        <v>53</v>
      </c>
      <c r="G31" s="15"/>
      <c r="H31" s="15"/>
      <c r="I31" s="14"/>
      <c r="J31" s="14"/>
      <c r="M31" s="70">
        <f>SUMIFS(Drivers!AI$68:AI$103,BSSections,$E31,BSSummarys,$F31)</f>
        <v>98467</v>
      </c>
      <c r="N31" s="70">
        <f>SUMIFS(Drivers!AJ$68:AJ$103,BSSections,$E31,BSSummarys,$F31)</f>
        <v>112416.5</v>
      </c>
      <c r="O31" s="70">
        <f>SUMIFS(Drivers!AK$68:AK$103,BSSections,$E31,BSSummarys,$F31)</f>
        <v>97365.5</v>
      </c>
      <c r="P31" s="70">
        <f>SUMIFS(Drivers!AL$68:AL$103,BSSections,$E31,BSSummarys,$F31)</f>
        <v>94315</v>
      </c>
      <c r="Q31" s="70">
        <f>SUMIFS(Drivers!AM$68:AM$103,BSSections,$E31,BSSummarys,$F31)</f>
        <v>91264.5</v>
      </c>
      <c r="R31" s="70">
        <f>SUMIFS(Drivers!AN$68:AN$103,BSSections,$E31,BSSummarys,$F31)</f>
        <v>88214</v>
      </c>
      <c r="S31" s="70">
        <f>SUMIFS(Drivers!AO$68:AO$103,BSSections,$E31,BSSummarys,$F31)</f>
        <v>85163</v>
      </c>
      <c r="T31" s="70">
        <f>SUMIFS(Drivers!AP$68:AP$103,BSSections,$E31,BSSummarys,$F31)</f>
        <v>82112</v>
      </c>
      <c r="U31" s="70">
        <f>SUMIFS(Drivers!AQ$68:AQ$103,BSSections,$E31,BSSummarys,$F31)</f>
        <v>79061</v>
      </c>
      <c r="V31" s="70">
        <f>SUMIFS(Drivers!AR$68:AR$103,BSSections,$E31,BSSummarys,$F31)</f>
        <v>76010</v>
      </c>
      <c r="W31" s="70">
        <f>SUMIFS(Drivers!AS$68:AS$103,BSSections,$E31,BSSummarys,$F31)</f>
        <v>72959</v>
      </c>
      <c r="X31" s="70">
        <f>SUMIFS(Drivers!AT$68:AT$103,BSSections,$E31,BSSummarys,$F31)</f>
        <v>69908</v>
      </c>
      <c r="Y31" s="70">
        <f>SUMIFS(Drivers!AU$68:AU$103,BSSections,$E31,BSSummarys,$F31)</f>
        <v>66857.5</v>
      </c>
      <c r="Z31" s="70">
        <f>SUMIFS(Drivers!AV$68:AV$103,BSSections,$E31,BSSummarys,$F31)</f>
        <v>63806.84</v>
      </c>
      <c r="AA31" s="70">
        <f>SUMIFS(Drivers!AW$68:AW$103,BSSections,$E31,BSSummarys,$F31)</f>
        <v>60756.18</v>
      </c>
      <c r="AB31" s="70">
        <f>SUMIFS(Drivers!AX$68:AX$103,BSSections,$E31,BSSummarys,$F31)</f>
        <v>57705.52</v>
      </c>
      <c r="AC31" s="70">
        <f>SUMIFS(Drivers!AY$68:AY$103,BSSections,$E31,BSSummarys,$F31)</f>
        <v>54654.86</v>
      </c>
      <c r="AD31" s="70">
        <f>SUMIFS(Drivers!AZ$68:AZ$103,BSSections,$E31,BSSummarys,$F31)</f>
        <v>51604.2</v>
      </c>
      <c r="AE31" s="70">
        <f>SUMIFS(Drivers!BA$68:BA$103,BSSections,$E31,BSSummarys,$F31)</f>
        <v>48553.539999999994</v>
      </c>
      <c r="AF31" s="70">
        <f>SUMIFS(Drivers!BB$68:BB$103,BSSections,$E31,BSSummarys,$F31)</f>
        <v>45502.880000000005</v>
      </c>
      <c r="AG31" s="70">
        <f>SUMIFS(Drivers!BC$68:BC$103,BSSections,$E31,BSSummarys,$F31)</f>
        <v>42452.22</v>
      </c>
      <c r="AH31" s="70">
        <f>SUMIFS(Drivers!BD$68:BD$103,BSSections,$E31,BSSummarys,$F31)</f>
        <v>39401.56</v>
      </c>
      <c r="AI31" s="70">
        <f>SUMIFS(Drivers!BE$68:BE$103,BSSections,$E31,BSSummarys,$F31)</f>
        <v>39401.56</v>
      </c>
      <c r="AJ31" s="70">
        <f>SUMIFS(Drivers!BF$68:BF$103,BSSections,$E31,BSSummarys,$F31)</f>
        <v>39401.56</v>
      </c>
      <c r="AK31" s="70">
        <f>SUMIFS(Drivers!BG$68:BG$103,BSSections,$E31,BSSummarys,$F31)</f>
        <v>39401.56</v>
      </c>
      <c r="AL31" s="70">
        <f>SUMIFS(Drivers!BH$68:BH$103,BSSections,$E31,BSSummarys,$F31)</f>
        <v>39401.56</v>
      </c>
      <c r="AM31" s="70">
        <f>SUMIFS(Drivers!BI$68:BI$103,BSSections,$E31,BSSummarys,$F31)</f>
        <v>39401.56</v>
      </c>
      <c r="AN31" s="70">
        <f>SUMIFS(Drivers!BJ$68:BJ$103,BSSections,$E31,BSSummarys,$F31)</f>
        <v>39401.56</v>
      </c>
      <c r="AO31" s="70">
        <f>SUMIFS(Drivers!BK$68:BK$103,BSSections,$E31,BSSummarys,$F31)</f>
        <v>39401.56</v>
      </c>
      <c r="AP31" s="70">
        <f>SUMIFS(Drivers!BL$68:BL$103,BSSections,$E31,BSSummarys,$F31)</f>
        <v>39401.56</v>
      </c>
      <c r="AQ31" s="70">
        <f>SUMIFS(Drivers!BM$68:BM$103,BSSections,$E31,BSSummarys,$F31)</f>
        <v>39401.56</v>
      </c>
      <c r="AR31" s="70">
        <f>SUMIFS(Drivers!BN$68:BN$103,BSSections,$E31,BSSummarys,$F31)</f>
        <v>39401.56</v>
      </c>
      <c r="AS31" s="70">
        <f>SUMIFS(Drivers!BO$68:BO$103,BSSections,$E31,BSSummarys,$F31)</f>
        <v>39401.56</v>
      </c>
      <c r="AT31" s="70">
        <f>SUMIFS(Drivers!BP$68:BP$103,BSSections,$E31,BSSummarys,$F31)</f>
        <v>39401.56</v>
      </c>
      <c r="AU31" s="70">
        <f>SUMIFS(Drivers!BQ$68:BQ$103,BSSections,$E31,BSSummarys,$F31)</f>
        <v>39401.56</v>
      </c>
      <c r="AV31" s="70">
        <f>SUMIFS(Drivers!BR$68:BR$103,BSSections,$E31,BSSummarys,$F31)</f>
        <v>39401.56</v>
      </c>
      <c r="AW31" s="70">
        <f>SUMIFS(Drivers!BS$68:BS$103,BSSections,$E31,BSSummarys,$F31)</f>
        <v>39401.56</v>
      </c>
    </row>
    <row r="32" spans="2:49" ht="21" outlineLevel="1">
      <c r="B32" s="22"/>
      <c r="C32" s="67"/>
      <c r="D32" s="26" t="s">
        <v>242</v>
      </c>
      <c r="E32" s="14" t="s">
        <v>49</v>
      </c>
      <c r="F32" s="14" t="s">
        <v>242</v>
      </c>
      <c r="G32" s="15"/>
      <c r="H32" s="15"/>
      <c r="I32" s="14"/>
      <c r="J32" s="14"/>
      <c r="M32" s="70">
        <f>SUMIFS(Drivers!AI$68:AI$103,BSSections,$E32,BSSummarys,$F32)</f>
        <v>0</v>
      </c>
      <c r="N32" s="70">
        <f>SUMIFS(Drivers!AJ$68:AJ$103,BSSections,$E32,BSSummarys,$F32)</f>
        <v>0</v>
      </c>
      <c r="O32" s="70">
        <f>SUMIFS(Drivers!AK$68:AK$103,BSSections,$E32,BSSummarys,$F32)</f>
        <v>0</v>
      </c>
      <c r="P32" s="70">
        <f>SUMIFS(Drivers!AL$68:AL$103,BSSections,$E32,BSSummarys,$F32)</f>
        <v>0</v>
      </c>
      <c r="Q32" s="70">
        <f>SUMIFS(Drivers!AM$68:AM$103,BSSections,$E32,BSSummarys,$F32)</f>
        <v>0</v>
      </c>
      <c r="R32" s="70">
        <f>SUMIFS(Drivers!AN$68:AN$103,BSSections,$E32,BSSummarys,$F32)</f>
        <v>0</v>
      </c>
      <c r="S32" s="70">
        <f>SUMIFS(Drivers!AO$68:AO$103,BSSections,$E32,BSSummarys,$F32)</f>
        <v>0</v>
      </c>
      <c r="T32" s="70">
        <f>SUMIFS(Drivers!AP$68:AP$103,BSSections,$E32,BSSummarys,$F32)</f>
        <v>0</v>
      </c>
      <c r="U32" s="70">
        <f>SUMIFS(Drivers!AQ$68:AQ$103,BSSections,$E32,BSSummarys,$F32)</f>
        <v>0</v>
      </c>
      <c r="V32" s="70">
        <f>SUMIFS(Drivers!AR$68:AR$103,BSSections,$E32,BSSummarys,$F32)</f>
        <v>0</v>
      </c>
      <c r="W32" s="70">
        <f>SUMIFS(Drivers!AS$68:AS$103,BSSections,$E32,BSSummarys,$F32)</f>
        <v>0</v>
      </c>
      <c r="X32" s="70">
        <f>SUMIFS(Drivers!AT$68:AT$103,BSSections,$E32,BSSummarys,$F32)</f>
        <v>0</v>
      </c>
      <c r="Y32" s="70">
        <f>SUMIFS(Drivers!AU$68:AU$103,BSSections,$E32,BSSummarys,$F32)</f>
        <v>0</v>
      </c>
      <c r="Z32" s="70">
        <f>SUMIFS(Drivers!AV$68:AV$103,BSSections,$E32,BSSummarys,$F32)</f>
        <v>0</v>
      </c>
      <c r="AA32" s="70">
        <f>SUMIFS(Drivers!AW$68:AW$103,BSSections,$E32,BSSummarys,$F32)</f>
        <v>0</v>
      </c>
      <c r="AB32" s="70">
        <f>SUMIFS(Drivers!AX$68:AX$103,BSSections,$E32,BSSummarys,$F32)</f>
        <v>0</v>
      </c>
      <c r="AC32" s="70">
        <f>SUMIFS(Drivers!AY$68:AY$103,BSSections,$E32,BSSummarys,$F32)</f>
        <v>0</v>
      </c>
      <c r="AD32" s="70">
        <f>SUMIFS(Drivers!AZ$68:AZ$103,BSSections,$E32,BSSummarys,$F32)</f>
        <v>0</v>
      </c>
      <c r="AE32" s="70">
        <f>SUMIFS(Drivers!BA$68:BA$103,BSSections,$E32,BSSummarys,$F32)</f>
        <v>0</v>
      </c>
      <c r="AF32" s="70">
        <f>SUMIFS(Drivers!BB$68:BB$103,BSSections,$E32,BSSummarys,$F32)</f>
        <v>0</v>
      </c>
      <c r="AG32" s="70">
        <f>SUMIFS(Drivers!BC$68:BC$103,BSSections,$E32,BSSummarys,$F32)</f>
        <v>0</v>
      </c>
      <c r="AH32" s="70">
        <f>SUMIFS(Drivers!BD$68:BD$103,BSSections,$E32,BSSummarys,$F32)</f>
        <v>0</v>
      </c>
      <c r="AI32" s="70">
        <f>SUMIFS(Drivers!BE$68:BE$103,BSSections,$E32,BSSummarys,$F32)</f>
        <v>0</v>
      </c>
      <c r="AJ32" s="70">
        <f>SUMIFS(Drivers!BF$68:BF$103,BSSections,$E32,BSSummarys,$F32)</f>
        <v>0</v>
      </c>
      <c r="AK32" s="70">
        <f>SUMIFS(Drivers!BG$68:BG$103,BSSections,$E32,BSSummarys,$F32)</f>
        <v>0</v>
      </c>
      <c r="AL32" s="70">
        <f>SUMIFS(Drivers!BH$68:BH$103,BSSections,$E32,BSSummarys,$F32)</f>
        <v>0</v>
      </c>
      <c r="AM32" s="70">
        <f>SUMIFS(Drivers!BI$68:BI$103,BSSections,$E32,BSSummarys,$F32)</f>
        <v>0</v>
      </c>
      <c r="AN32" s="70">
        <f>SUMIFS(Drivers!BJ$68:BJ$103,BSSections,$E32,BSSummarys,$F32)</f>
        <v>0</v>
      </c>
      <c r="AO32" s="70">
        <f>SUMIFS(Drivers!BK$68:BK$103,BSSections,$E32,BSSummarys,$F32)</f>
        <v>0</v>
      </c>
      <c r="AP32" s="70">
        <f>SUMIFS(Drivers!BL$68:BL$103,BSSections,$E32,BSSummarys,$F32)</f>
        <v>0</v>
      </c>
      <c r="AQ32" s="70">
        <f>SUMIFS(Drivers!BM$68:BM$103,BSSections,$E32,BSSummarys,$F32)</f>
        <v>0</v>
      </c>
      <c r="AR32" s="70">
        <f>SUMIFS(Drivers!BN$68:BN$103,BSSections,$E32,BSSummarys,$F32)</f>
        <v>0</v>
      </c>
      <c r="AS32" s="70">
        <f>SUMIFS(Drivers!BO$68:BO$103,BSSections,$E32,BSSummarys,$F32)</f>
        <v>0</v>
      </c>
      <c r="AT32" s="70">
        <f>SUMIFS(Drivers!BP$68:BP$103,BSSections,$E32,BSSummarys,$F32)</f>
        <v>0</v>
      </c>
      <c r="AU32" s="70">
        <f>SUMIFS(Drivers!BQ$68:BQ$103,BSSections,$E32,BSSummarys,$F32)</f>
        <v>0</v>
      </c>
      <c r="AV32" s="70">
        <f>SUMIFS(Drivers!BR$68:BR$103,BSSections,$E32,BSSummarys,$F32)</f>
        <v>0</v>
      </c>
      <c r="AW32" s="70">
        <f>SUMIFS(Drivers!BS$68:BS$103,BSSections,$E32,BSSummarys,$F32)</f>
        <v>0</v>
      </c>
    </row>
    <row r="33" spans="2:49" ht="21" outlineLevel="1">
      <c r="B33" s="22"/>
      <c r="C33" s="67"/>
      <c r="D33" s="26" t="s">
        <v>57</v>
      </c>
      <c r="E33" s="14" t="s">
        <v>56</v>
      </c>
      <c r="F33" s="14" t="s">
        <v>57</v>
      </c>
      <c r="G33" s="15"/>
      <c r="H33" s="15"/>
      <c r="I33" s="14"/>
      <c r="J33" s="14"/>
      <c r="M33" s="70">
        <f>SUMIFS(Drivers!AI$68:AI$103,BSSections,$E33,BSSummarys,$F33)</f>
        <v>55349.5</v>
      </c>
      <c r="N33" s="70">
        <f>SUMIFS(Drivers!AJ$68:AJ$103,BSSections,$E33,BSSummarys,$F33)</f>
        <v>55349.5</v>
      </c>
      <c r="O33" s="70">
        <f>SUMIFS(Drivers!AK$68:AK$103,BSSections,$E33,BSSummarys,$F33)</f>
        <v>55349.5</v>
      </c>
      <c r="P33" s="70">
        <f>SUMIFS(Drivers!AL$68:AL$103,BSSections,$E33,BSSummarys,$F33)</f>
        <v>55349.5</v>
      </c>
      <c r="Q33" s="70">
        <f>SUMIFS(Drivers!AM$68:AM$103,BSSections,$E33,BSSummarys,$F33)</f>
        <v>55349.5</v>
      </c>
      <c r="R33" s="70">
        <f>SUMIFS(Drivers!AN$68:AN$103,BSSections,$E33,BSSummarys,$F33)</f>
        <v>55349.5</v>
      </c>
      <c r="S33" s="70">
        <f>SUMIFS(Drivers!AO$68:AO$103,BSSections,$E33,BSSummarys,$F33)</f>
        <v>55349.5</v>
      </c>
      <c r="T33" s="70">
        <f>SUMIFS(Drivers!AP$68:AP$103,BSSections,$E33,BSSummarys,$F33)</f>
        <v>55349.5</v>
      </c>
      <c r="U33" s="70">
        <f>SUMIFS(Drivers!AQ$68:AQ$103,BSSections,$E33,BSSummarys,$F33)</f>
        <v>55349.5</v>
      </c>
      <c r="V33" s="70">
        <f>SUMIFS(Drivers!AR$68:AR$103,BSSections,$E33,BSSummarys,$F33)</f>
        <v>55349.5</v>
      </c>
      <c r="W33" s="70">
        <f>SUMIFS(Drivers!AS$68:AS$103,BSSections,$E33,BSSummarys,$F33)</f>
        <v>55349.5</v>
      </c>
      <c r="X33" s="70">
        <f>SUMIFS(Drivers!AT$68:AT$103,BSSections,$E33,BSSummarys,$F33)</f>
        <v>55349.5</v>
      </c>
      <c r="Y33" s="70">
        <f>SUMIFS(Drivers!AU$68:AU$103,BSSections,$E33,BSSummarys,$F33)</f>
        <v>55349.5</v>
      </c>
      <c r="Z33" s="70">
        <f>SUMIFS(Drivers!AV$68:AV$103,BSSections,$E33,BSSummarys,$F33)</f>
        <v>55349.5</v>
      </c>
      <c r="AA33" s="70">
        <f>SUMIFS(Drivers!AW$68:AW$103,BSSections,$E33,BSSummarys,$F33)</f>
        <v>55349.5</v>
      </c>
      <c r="AB33" s="70">
        <f>SUMIFS(Drivers!AX$68:AX$103,BSSections,$E33,BSSummarys,$F33)</f>
        <v>55349.5</v>
      </c>
      <c r="AC33" s="70">
        <f>SUMIFS(Drivers!AY$68:AY$103,BSSections,$E33,BSSummarys,$F33)</f>
        <v>55349.5</v>
      </c>
      <c r="AD33" s="70">
        <f>SUMIFS(Drivers!AZ$68:AZ$103,BSSections,$E33,BSSummarys,$F33)</f>
        <v>55349.5</v>
      </c>
      <c r="AE33" s="70">
        <f>SUMIFS(Drivers!BA$68:BA$103,BSSections,$E33,BSSummarys,$F33)</f>
        <v>56349.5</v>
      </c>
      <c r="AF33" s="70">
        <f>SUMIFS(Drivers!BB$68:BB$103,BSSections,$E33,BSSummarys,$F33)</f>
        <v>56349.5</v>
      </c>
      <c r="AG33" s="70">
        <f>SUMIFS(Drivers!BC$68:BC$103,BSSections,$E33,BSSummarys,$F33)</f>
        <v>56349.5</v>
      </c>
      <c r="AH33" s="70">
        <f>SUMIFS(Drivers!BD$68:BD$103,BSSections,$E33,BSSummarys,$F33)</f>
        <v>56349.5</v>
      </c>
      <c r="AI33" s="70">
        <f>SUMIFS(Drivers!BE$68:BE$103,BSSections,$E33,BSSummarys,$F33)</f>
        <v>56349.5</v>
      </c>
      <c r="AJ33" s="70">
        <f>SUMIFS(Drivers!BF$68:BF$103,BSSections,$E33,BSSummarys,$F33)</f>
        <v>56349.5</v>
      </c>
      <c r="AK33" s="70">
        <f>SUMIFS(Drivers!BG$68:BG$103,BSSections,$E33,BSSummarys,$F33)</f>
        <v>56349.5</v>
      </c>
      <c r="AL33" s="70">
        <f>SUMIFS(Drivers!BH$68:BH$103,BSSections,$E33,BSSummarys,$F33)</f>
        <v>56349.5</v>
      </c>
      <c r="AM33" s="70">
        <f>SUMIFS(Drivers!BI$68:BI$103,BSSections,$E33,BSSummarys,$F33)</f>
        <v>56349.5</v>
      </c>
      <c r="AN33" s="70">
        <f>SUMIFS(Drivers!BJ$68:BJ$103,BSSections,$E33,BSSummarys,$F33)</f>
        <v>56349.5</v>
      </c>
      <c r="AO33" s="70">
        <f>SUMIFS(Drivers!BK$68:BK$103,BSSections,$E33,BSSummarys,$F33)</f>
        <v>56349.5</v>
      </c>
      <c r="AP33" s="70">
        <f>SUMIFS(Drivers!BL$68:BL$103,BSSections,$E33,BSSummarys,$F33)</f>
        <v>56349.5</v>
      </c>
      <c r="AQ33" s="70">
        <f>SUMIFS(Drivers!BM$68:BM$103,BSSections,$E33,BSSummarys,$F33)</f>
        <v>56349.5</v>
      </c>
      <c r="AR33" s="70">
        <f>SUMIFS(Drivers!BN$68:BN$103,BSSections,$E33,BSSummarys,$F33)</f>
        <v>56349.5</v>
      </c>
      <c r="AS33" s="70">
        <f>SUMIFS(Drivers!BO$68:BO$103,BSSections,$E33,BSSummarys,$F33)</f>
        <v>56349.5</v>
      </c>
      <c r="AT33" s="70">
        <f>SUMIFS(Drivers!BP$68:BP$103,BSSections,$E33,BSSummarys,$F33)</f>
        <v>56349.5</v>
      </c>
      <c r="AU33" s="70">
        <f>SUMIFS(Drivers!BQ$68:BQ$103,BSSections,$E33,BSSummarys,$F33)</f>
        <v>56349.5</v>
      </c>
      <c r="AV33" s="70">
        <f>SUMIFS(Drivers!BR$68:BR$103,BSSections,$E33,BSSummarys,$F33)</f>
        <v>56349.5</v>
      </c>
      <c r="AW33" s="70">
        <f>SUMIFS(Drivers!BS$68:BS$103,BSSections,$E33,BSSummarys,$F33)</f>
        <v>56349.5</v>
      </c>
    </row>
    <row r="34" spans="2:49" ht="21" outlineLevel="1">
      <c r="B34" s="22"/>
      <c r="C34" s="67"/>
      <c r="D34" s="26" t="s">
        <v>58</v>
      </c>
      <c r="E34" s="14" t="s">
        <v>56</v>
      </c>
      <c r="F34" s="14" t="s">
        <v>58</v>
      </c>
      <c r="G34" s="15"/>
      <c r="H34" s="15"/>
      <c r="I34" s="14"/>
      <c r="J34" s="14"/>
      <c r="M34" s="70">
        <f>SUMIFS(Drivers!AI$68:AI$103,BSSections,$E34,BSSummarys,$F34)</f>
        <v>-4942</v>
      </c>
      <c r="N34" s="70">
        <f>SUMIFS(Drivers!AJ$68:AJ$103,BSSections,$E34,BSSummarys,$F34)</f>
        <v>-4942</v>
      </c>
      <c r="O34" s="70">
        <f>SUMIFS(Drivers!AK$68:AK$103,BSSections,$E34,BSSummarys,$F34)</f>
        <v>-4942</v>
      </c>
      <c r="P34" s="70">
        <f>SUMIFS(Drivers!AL$68:AL$103,BSSections,$E34,BSSummarys,$F34)</f>
        <v>-4942</v>
      </c>
      <c r="Q34" s="70">
        <f>SUMIFS(Drivers!AM$68:AM$103,BSSections,$E34,BSSummarys,$F34)</f>
        <v>-4942</v>
      </c>
      <c r="R34" s="70">
        <f>SUMIFS(Drivers!AN$68:AN$103,BSSections,$E34,BSSummarys,$F34)</f>
        <v>-4942</v>
      </c>
      <c r="S34" s="70">
        <f>SUMIFS(Drivers!AO$68:AO$103,BSSections,$E34,BSSummarys,$F34)</f>
        <v>-4942</v>
      </c>
      <c r="T34" s="70">
        <f>SUMIFS(Drivers!AP$68:AP$103,BSSections,$E34,BSSummarys,$F34)</f>
        <v>-4942</v>
      </c>
      <c r="U34" s="70">
        <f>SUMIFS(Drivers!AQ$68:AQ$103,BSSections,$E34,BSSummarys,$F34)</f>
        <v>-4942</v>
      </c>
      <c r="V34" s="70">
        <f>SUMIFS(Drivers!AR$68:AR$103,BSSections,$E34,BSSummarys,$F34)</f>
        <v>-4942</v>
      </c>
      <c r="W34" s="70">
        <f>SUMIFS(Drivers!AS$68:AS$103,BSSections,$E34,BSSummarys,$F34)</f>
        <v>-4942</v>
      </c>
      <c r="X34" s="70">
        <f>SUMIFS(Drivers!AT$68:AT$103,BSSections,$E34,BSSummarys,$F34)</f>
        <v>-4942</v>
      </c>
      <c r="Y34" s="70">
        <f>SUMIFS(Drivers!AU$68:AU$103,BSSections,$E34,BSSummarys,$F34)</f>
        <v>-4942</v>
      </c>
      <c r="Z34" s="70">
        <f>SUMIFS(Drivers!AV$68:AV$103,BSSections,$E34,BSSummarys,$F34)</f>
        <v>-4942</v>
      </c>
      <c r="AA34" s="70">
        <f>SUMIFS(Drivers!AW$68:AW$103,BSSections,$E34,BSSummarys,$F34)</f>
        <v>-4942</v>
      </c>
      <c r="AB34" s="70">
        <f>SUMIFS(Drivers!AX$68:AX$103,BSSections,$E34,BSSummarys,$F34)</f>
        <v>-4942</v>
      </c>
      <c r="AC34" s="70">
        <f>SUMIFS(Drivers!AY$68:AY$103,BSSections,$E34,BSSummarys,$F34)</f>
        <v>-4942</v>
      </c>
      <c r="AD34" s="70">
        <f>SUMIFS(Drivers!AZ$68:AZ$103,BSSections,$E34,BSSummarys,$F34)</f>
        <v>-4942</v>
      </c>
      <c r="AE34" s="70">
        <f>SUMIFS(Drivers!BA$68:BA$103,BSSections,$E34,BSSummarys,$F34)</f>
        <v>-4942</v>
      </c>
      <c r="AF34" s="70">
        <f>SUMIFS(Drivers!BB$68:BB$103,BSSections,$E34,BSSummarys,$F34)</f>
        <v>-4942</v>
      </c>
      <c r="AG34" s="70">
        <f>SUMIFS(Drivers!BC$68:BC$103,BSSections,$E34,BSSummarys,$F34)</f>
        <v>-4942</v>
      </c>
      <c r="AH34" s="70">
        <f>SUMIFS(Drivers!BD$68:BD$103,BSSections,$E34,BSSummarys,$F34)</f>
        <v>-4942</v>
      </c>
      <c r="AI34" s="70">
        <f>SUMIFS(Drivers!BE$68:BE$103,BSSections,$E34,BSSummarys,$F34)</f>
        <v>-4942</v>
      </c>
      <c r="AJ34" s="70">
        <f>SUMIFS(Drivers!BF$68:BF$103,BSSections,$E34,BSSummarys,$F34)</f>
        <v>-4942</v>
      </c>
      <c r="AK34" s="70">
        <f>SUMIFS(Drivers!BG$68:BG$103,BSSections,$E34,BSSummarys,$F34)</f>
        <v>-4942</v>
      </c>
      <c r="AL34" s="70">
        <f>SUMIFS(Drivers!BH$68:BH$103,BSSections,$E34,BSSummarys,$F34)</f>
        <v>-4942</v>
      </c>
      <c r="AM34" s="70">
        <f>SUMIFS(Drivers!BI$68:BI$103,BSSections,$E34,BSSummarys,$F34)</f>
        <v>-4942</v>
      </c>
      <c r="AN34" s="70">
        <f>SUMIFS(Drivers!BJ$68:BJ$103,BSSections,$E34,BSSummarys,$F34)</f>
        <v>-4942</v>
      </c>
      <c r="AO34" s="70">
        <f>SUMIFS(Drivers!BK$68:BK$103,BSSections,$E34,BSSummarys,$F34)</f>
        <v>-4942</v>
      </c>
      <c r="AP34" s="70">
        <f>SUMIFS(Drivers!BL$68:BL$103,BSSections,$E34,BSSummarys,$F34)</f>
        <v>-4942</v>
      </c>
      <c r="AQ34" s="70">
        <f>SUMIFS(Drivers!BM$68:BM$103,BSSections,$E34,BSSummarys,$F34)</f>
        <v>-4942</v>
      </c>
      <c r="AR34" s="70">
        <f>SUMIFS(Drivers!BN$68:BN$103,BSSections,$E34,BSSummarys,$F34)</f>
        <v>-4942</v>
      </c>
      <c r="AS34" s="70">
        <f>SUMIFS(Drivers!BO$68:BO$103,BSSections,$E34,BSSummarys,$F34)</f>
        <v>-4942</v>
      </c>
      <c r="AT34" s="70">
        <f>SUMIFS(Drivers!BP$68:BP$103,BSSections,$E34,BSSummarys,$F34)</f>
        <v>-4942</v>
      </c>
      <c r="AU34" s="70">
        <f>SUMIFS(Drivers!BQ$68:BQ$103,BSSections,$E34,BSSummarys,$F34)</f>
        <v>-4942</v>
      </c>
      <c r="AV34" s="70">
        <f>SUMIFS(Drivers!BR$68:BR$103,BSSections,$E34,BSSummarys,$F34)</f>
        <v>-4942</v>
      </c>
      <c r="AW34" s="70">
        <f>SUMIFS(Drivers!BS$68:BS$103,BSSections,$E34,BSSummarys,$F34)</f>
        <v>-4942</v>
      </c>
    </row>
    <row r="35" spans="2:49" ht="21" outlineLevel="1">
      <c r="B35" s="22"/>
      <c r="C35" s="67"/>
      <c r="D35" s="26" t="s">
        <v>59</v>
      </c>
      <c r="E35" s="14" t="s">
        <v>56</v>
      </c>
      <c r="F35" s="14" t="s">
        <v>59</v>
      </c>
      <c r="G35" s="15"/>
      <c r="H35" s="15"/>
      <c r="I35" s="14"/>
      <c r="J35" s="14"/>
      <c r="M35" s="70">
        <f>SUMIFS(Drivers!AI$68:AI$103,BSSections,$E35,BSSummarys,$F35)</f>
        <v>1530000</v>
      </c>
      <c r="N35" s="70">
        <f>SUMIFS(Drivers!AJ$68:AJ$103,BSSections,$E35,BSSummarys,$F35)</f>
        <v>1530000</v>
      </c>
      <c r="O35" s="70">
        <f>SUMIFS(Drivers!AK$68:AK$103,BSSections,$E35,BSSummarys,$F35)</f>
        <v>1530000</v>
      </c>
      <c r="P35" s="70">
        <f>SUMIFS(Drivers!AL$68:AL$103,BSSections,$E35,BSSummarys,$F35)</f>
        <v>1530000</v>
      </c>
      <c r="Q35" s="70">
        <f>SUMIFS(Drivers!AM$68:AM$103,BSSections,$E35,BSSummarys,$F35)</f>
        <v>1530000</v>
      </c>
      <c r="R35" s="70">
        <f>SUMIFS(Drivers!AN$68:AN$103,BSSections,$E35,BSSummarys,$F35)</f>
        <v>1530000</v>
      </c>
      <c r="S35" s="70">
        <f>SUMIFS(Drivers!AO$68:AO$103,BSSections,$E35,BSSummarys,$F35)</f>
        <v>1530000</v>
      </c>
      <c r="T35" s="70">
        <f>SUMIFS(Drivers!AP$68:AP$103,BSSections,$E35,BSSummarys,$F35)</f>
        <v>1530000</v>
      </c>
      <c r="U35" s="70">
        <f>SUMIFS(Drivers!AQ$68:AQ$103,BSSections,$E35,BSSummarys,$F35)</f>
        <v>1530000</v>
      </c>
      <c r="V35" s="70">
        <f>SUMIFS(Drivers!AR$68:AR$103,BSSections,$E35,BSSummarys,$F35)</f>
        <v>1530000</v>
      </c>
      <c r="W35" s="70">
        <f>SUMIFS(Drivers!AS$68:AS$103,BSSections,$E35,BSSummarys,$F35)</f>
        <v>1530000</v>
      </c>
      <c r="X35" s="70">
        <f>SUMIFS(Drivers!AT$68:AT$103,BSSections,$E35,BSSummarys,$F35)</f>
        <v>1530000</v>
      </c>
      <c r="Y35" s="70">
        <f>SUMIFS(Drivers!AU$68:AU$103,BSSections,$E35,BSSummarys,$F35)</f>
        <v>1530000</v>
      </c>
      <c r="Z35" s="70">
        <f>SUMIFS(Drivers!AV$68:AV$103,BSSections,$E35,BSSummarys,$F35)</f>
        <v>1530000</v>
      </c>
      <c r="AA35" s="70">
        <f>SUMIFS(Drivers!AW$68:AW$103,BSSections,$E35,BSSummarys,$F35)</f>
        <v>1530000</v>
      </c>
      <c r="AB35" s="70">
        <f>SUMIFS(Drivers!AX$68:AX$103,BSSections,$E35,BSSummarys,$F35)</f>
        <v>1530000</v>
      </c>
      <c r="AC35" s="70">
        <f>SUMIFS(Drivers!AY$68:AY$103,BSSections,$E35,BSSummarys,$F35)</f>
        <v>1530000</v>
      </c>
      <c r="AD35" s="70">
        <f>SUMIFS(Drivers!AZ$68:AZ$103,BSSections,$E35,BSSummarys,$F35)</f>
        <v>1530000</v>
      </c>
      <c r="AE35" s="70">
        <f>SUMIFS(Drivers!BA$68:BA$103,BSSections,$E35,BSSummarys,$F35)</f>
        <v>1530000</v>
      </c>
      <c r="AF35" s="70">
        <f>SUMIFS(Drivers!BB$68:BB$103,BSSections,$E35,BSSummarys,$F35)</f>
        <v>1530000</v>
      </c>
      <c r="AG35" s="70">
        <f>SUMIFS(Drivers!BC$68:BC$103,BSSections,$E35,BSSummarys,$F35)</f>
        <v>1530000</v>
      </c>
      <c r="AH35" s="70">
        <f>SUMIFS(Drivers!BD$68:BD$103,BSSections,$E35,BSSummarys,$F35)</f>
        <v>1530000</v>
      </c>
      <c r="AI35" s="70">
        <f>SUMIFS(Drivers!BE$68:BE$103,BSSections,$E35,BSSummarys,$F35)</f>
        <v>1530000</v>
      </c>
      <c r="AJ35" s="70">
        <f>SUMIFS(Drivers!BF$68:BF$103,BSSections,$E35,BSSummarys,$F35)</f>
        <v>1530000</v>
      </c>
      <c r="AK35" s="70">
        <f>SUMIFS(Drivers!BG$68:BG$103,BSSections,$E35,BSSummarys,$F35)</f>
        <v>2530000</v>
      </c>
      <c r="AL35" s="70">
        <f>SUMIFS(Drivers!BH$68:BH$103,BSSections,$E35,BSSummarys,$F35)</f>
        <v>2530000</v>
      </c>
      <c r="AM35" s="70">
        <f>SUMIFS(Drivers!BI$68:BI$103,BSSections,$E35,BSSummarys,$F35)</f>
        <v>2530000</v>
      </c>
      <c r="AN35" s="70">
        <f>SUMIFS(Drivers!BJ$68:BJ$103,BSSections,$E35,BSSummarys,$F35)</f>
        <v>2530000</v>
      </c>
      <c r="AO35" s="70">
        <f>SUMIFS(Drivers!BK$68:BK$103,BSSections,$E35,BSSummarys,$F35)</f>
        <v>2530000</v>
      </c>
      <c r="AP35" s="70">
        <f>SUMIFS(Drivers!BL$68:BL$103,BSSections,$E35,BSSummarys,$F35)</f>
        <v>2530000</v>
      </c>
      <c r="AQ35" s="70">
        <f>SUMIFS(Drivers!BM$68:BM$103,BSSections,$E35,BSSummarys,$F35)</f>
        <v>2530000</v>
      </c>
      <c r="AR35" s="70">
        <f>SUMIFS(Drivers!BN$68:BN$103,BSSections,$E35,BSSummarys,$F35)</f>
        <v>2530000</v>
      </c>
      <c r="AS35" s="70">
        <f>SUMIFS(Drivers!BO$68:BO$103,BSSections,$E35,BSSummarys,$F35)</f>
        <v>2530000</v>
      </c>
      <c r="AT35" s="70">
        <f>SUMIFS(Drivers!BP$68:BP$103,BSSections,$E35,BSSummarys,$F35)</f>
        <v>2530000</v>
      </c>
      <c r="AU35" s="70">
        <f>SUMIFS(Drivers!BQ$68:BQ$103,BSSections,$E35,BSSummarys,$F35)</f>
        <v>2530000</v>
      </c>
      <c r="AV35" s="70">
        <f>SUMIFS(Drivers!BR$68:BR$103,BSSections,$E35,BSSummarys,$F35)</f>
        <v>2530000</v>
      </c>
      <c r="AW35" s="70">
        <f>SUMIFS(Drivers!BS$68:BS$103,BSSections,$E35,BSSummarys,$F35)</f>
        <v>2530000</v>
      </c>
    </row>
    <row r="36" spans="2:49" ht="21" outlineLevel="1">
      <c r="B36" s="22"/>
      <c r="C36" s="67"/>
      <c r="D36" s="26" t="s">
        <v>60</v>
      </c>
      <c r="E36" s="14" t="s">
        <v>56</v>
      </c>
      <c r="F36" s="14" t="s">
        <v>60</v>
      </c>
      <c r="G36" s="15"/>
      <c r="H36" s="15"/>
      <c r="I36" s="14"/>
      <c r="J36" s="14"/>
      <c r="M36" s="70">
        <f>SUMIFS(Drivers!AI$68:AI$103,BSSections,$E36,BSSummarys,$F36)</f>
        <v>23270</v>
      </c>
      <c r="N36" s="70">
        <f>SUMIFS(Drivers!AJ$68:AJ$103,BSSections,$E36,BSSummarys,$F36)</f>
        <v>23270</v>
      </c>
      <c r="O36" s="70">
        <f>SUMIFS(Drivers!AK$68:AK$103,BSSections,$E36,BSSummarys,$F36)</f>
        <v>23270</v>
      </c>
      <c r="P36" s="70">
        <f>SUMIFS(Drivers!AL$68:AL$103,BSSections,$E36,BSSummarys,$F36)</f>
        <v>23270</v>
      </c>
      <c r="Q36" s="70">
        <f>SUMIFS(Drivers!AM$68:AM$103,BSSections,$E36,BSSummarys,$F36)</f>
        <v>23270</v>
      </c>
      <c r="R36" s="70">
        <f>SUMIFS(Drivers!AN$68:AN$103,BSSections,$E36,BSSummarys,$F36)</f>
        <v>23270</v>
      </c>
      <c r="S36" s="70">
        <f>SUMIFS(Drivers!AO$68:AO$103,BSSections,$E36,BSSummarys,$F36)</f>
        <v>23270</v>
      </c>
      <c r="T36" s="70">
        <f>SUMIFS(Drivers!AP$68:AP$103,BSSections,$E36,BSSummarys,$F36)</f>
        <v>23270</v>
      </c>
      <c r="U36" s="70">
        <f>SUMIFS(Drivers!AQ$68:AQ$103,BSSections,$E36,BSSummarys,$F36)</f>
        <v>23270</v>
      </c>
      <c r="V36" s="70">
        <f>SUMIFS(Drivers!AR$68:AR$103,BSSections,$E36,BSSummarys,$F36)</f>
        <v>23270</v>
      </c>
      <c r="W36" s="70">
        <f>SUMIFS(Drivers!AS$68:AS$103,BSSections,$E36,BSSummarys,$F36)</f>
        <v>23270</v>
      </c>
      <c r="X36" s="70">
        <f>SUMIFS(Drivers!AT$68:AT$103,BSSections,$E36,BSSummarys,$F36)</f>
        <v>23270</v>
      </c>
      <c r="Y36" s="70">
        <f>SUMIFS(Drivers!AU$68:AU$103,BSSections,$E36,BSSummarys,$F36)</f>
        <v>23270</v>
      </c>
      <c r="Z36" s="70">
        <f>SUMIFS(Drivers!AV$68:AV$103,BSSections,$E36,BSSummarys,$F36)</f>
        <v>23270</v>
      </c>
      <c r="AA36" s="70">
        <f>SUMIFS(Drivers!AW$68:AW$103,BSSections,$E36,BSSummarys,$F36)</f>
        <v>23270</v>
      </c>
      <c r="AB36" s="70">
        <f>SUMIFS(Drivers!AX$68:AX$103,BSSections,$E36,BSSummarys,$F36)</f>
        <v>23270</v>
      </c>
      <c r="AC36" s="70">
        <f>SUMIFS(Drivers!AY$68:AY$103,BSSections,$E36,BSSummarys,$F36)</f>
        <v>23270</v>
      </c>
      <c r="AD36" s="70">
        <f>SUMIFS(Drivers!AZ$68:AZ$103,BSSections,$E36,BSSummarys,$F36)</f>
        <v>23270</v>
      </c>
      <c r="AE36" s="70">
        <f>SUMIFS(Drivers!BA$68:BA$103,BSSections,$E36,BSSummarys,$F36)</f>
        <v>23270</v>
      </c>
      <c r="AF36" s="70">
        <f>SUMIFS(Drivers!BB$68:BB$103,BSSections,$E36,BSSummarys,$F36)</f>
        <v>23270</v>
      </c>
      <c r="AG36" s="70">
        <f>SUMIFS(Drivers!BC$68:BC$103,BSSections,$E36,BSSummarys,$F36)</f>
        <v>23270</v>
      </c>
      <c r="AH36" s="70">
        <f>SUMIFS(Drivers!BD$68:BD$103,BSSections,$E36,BSSummarys,$F36)</f>
        <v>23270</v>
      </c>
      <c r="AI36" s="70">
        <f>SUMIFS(Drivers!BE$68:BE$103,BSSections,$E36,BSSummarys,$F36)</f>
        <v>73270</v>
      </c>
      <c r="AJ36" s="70">
        <f>SUMIFS(Drivers!BF$68:BF$103,BSSections,$E36,BSSummarys,$F36)</f>
        <v>73270</v>
      </c>
      <c r="AK36" s="70">
        <f>SUMIFS(Drivers!BG$68:BG$103,BSSections,$E36,BSSummarys,$F36)</f>
        <v>73270</v>
      </c>
      <c r="AL36" s="70">
        <f>SUMIFS(Drivers!BH$68:BH$103,BSSections,$E36,BSSummarys,$F36)</f>
        <v>73270</v>
      </c>
      <c r="AM36" s="70">
        <f>SUMIFS(Drivers!BI$68:BI$103,BSSections,$E36,BSSummarys,$F36)</f>
        <v>73270</v>
      </c>
      <c r="AN36" s="70">
        <f>SUMIFS(Drivers!BJ$68:BJ$103,BSSections,$E36,BSSummarys,$F36)</f>
        <v>73270</v>
      </c>
      <c r="AO36" s="70">
        <f>SUMIFS(Drivers!BK$68:BK$103,BSSections,$E36,BSSummarys,$F36)</f>
        <v>73270</v>
      </c>
      <c r="AP36" s="70">
        <f>SUMIFS(Drivers!BL$68:BL$103,BSSections,$E36,BSSummarys,$F36)</f>
        <v>73270</v>
      </c>
      <c r="AQ36" s="70">
        <f>SUMIFS(Drivers!BM$68:BM$103,BSSections,$E36,BSSummarys,$F36)</f>
        <v>73270</v>
      </c>
      <c r="AR36" s="70">
        <f>SUMIFS(Drivers!BN$68:BN$103,BSSections,$E36,BSSummarys,$F36)</f>
        <v>73270</v>
      </c>
      <c r="AS36" s="70">
        <f>SUMIFS(Drivers!BO$68:BO$103,BSSections,$E36,BSSummarys,$F36)</f>
        <v>73270</v>
      </c>
      <c r="AT36" s="70">
        <f>SUMIFS(Drivers!BP$68:BP$103,BSSections,$E36,BSSummarys,$F36)</f>
        <v>73270</v>
      </c>
      <c r="AU36" s="70">
        <f>SUMIFS(Drivers!BQ$68:BQ$103,BSSections,$E36,BSSummarys,$F36)</f>
        <v>73270</v>
      </c>
      <c r="AV36" s="70">
        <f>SUMIFS(Drivers!BR$68:BR$103,BSSections,$E36,BSSummarys,$F36)</f>
        <v>73270</v>
      </c>
      <c r="AW36" s="70">
        <f>SUMIFS(Drivers!BS$68:BS$103,BSSections,$E36,BSSummarys,$F36)</f>
        <v>73270</v>
      </c>
    </row>
    <row r="37" spans="2:49" ht="21" outlineLevel="1">
      <c r="B37" s="22"/>
      <c r="C37" s="67"/>
      <c r="D37" s="26" t="s">
        <v>63</v>
      </c>
      <c r="E37" s="14" t="s">
        <v>225</v>
      </c>
      <c r="F37" s="14" t="s">
        <v>63</v>
      </c>
      <c r="G37" s="15"/>
      <c r="H37" s="15"/>
      <c r="I37" s="14"/>
      <c r="J37" s="14"/>
      <c r="M37" s="70">
        <f>SUMIFS(Drivers!AI$68:AI$103,BSSections,$E37,BSSummarys,$F37)</f>
        <v>3500000</v>
      </c>
      <c r="N37" s="70">
        <f>SUMIFS(Drivers!AJ$68:AJ$103,BSSections,$E37,BSSummarys,$F37)</f>
        <v>3500000</v>
      </c>
      <c r="O37" s="70">
        <f>SUMIFS(Drivers!AK$68:AK$103,BSSections,$E37,BSSummarys,$F37)</f>
        <v>3500000</v>
      </c>
      <c r="P37" s="70">
        <f>SUMIFS(Drivers!AL$68:AL$103,BSSections,$E37,BSSummarys,$F37)</f>
        <v>3500000</v>
      </c>
      <c r="Q37" s="70">
        <f>SUMIFS(Drivers!AM$68:AM$103,BSSections,$E37,BSSummarys,$F37)</f>
        <v>3500000</v>
      </c>
      <c r="R37" s="70">
        <f>SUMIFS(Drivers!AN$68:AN$103,BSSections,$E37,BSSummarys,$F37)</f>
        <v>3500000</v>
      </c>
      <c r="S37" s="70">
        <f>SUMIFS(Drivers!AO$68:AO$103,BSSections,$E37,BSSummarys,$F37)</f>
        <v>3500000</v>
      </c>
      <c r="T37" s="70">
        <f>SUMIFS(Drivers!AP$68:AP$103,BSSections,$E37,BSSummarys,$F37)</f>
        <v>3500000</v>
      </c>
      <c r="U37" s="70">
        <f>SUMIFS(Drivers!AQ$68:AQ$103,BSSections,$E37,BSSummarys,$F37)</f>
        <v>3500000</v>
      </c>
      <c r="V37" s="70">
        <f>SUMIFS(Drivers!AR$68:AR$103,BSSections,$E37,BSSummarys,$F37)</f>
        <v>3500000</v>
      </c>
      <c r="W37" s="70">
        <f>SUMIFS(Drivers!AS$68:AS$103,BSSections,$E37,BSSummarys,$F37)</f>
        <v>3500000</v>
      </c>
      <c r="X37" s="70">
        <f>SUMIFS(Drivers!AT$68:AT$103,BSSections,$E37,BSSummarys,$F37)</f>
        <v>3500000</v>
      </c>
      <c r="Y37" s="70">
        <f>SUMIFS(Drivers!AU$68:AU$103,BSSections,$E37,BSSummarys,$F37)</f>
        <v>3500000</v>
      </c>
      <c r="Z37" s="70">
        <f>SUMIFS(Drivers!AV$68:AV$103,BSSections,$E37,BSSummarys,$F37)</f>
        <v>3500000</v>
      </c>
      <c r="AA37" s="70">
        <f>SUMIFS(Drivers!AW$68:AW$103,BSSections,$E37,BSSummarys,$F37)</f>
        <v>3500000</v>
      </c>
      <c r="AB37" s="70">
        <f>SUMIFS(Drivers!AX$68:AX$103,BSSections,$E37,BSSummarys,$F37)</f>
        <v>3500000</v>
      </c>
      <c r="AC37" s="70">
        <f>SUMIFS(Drivers!AY$68:AY$103,BSSections,$E37,BSSummarys,$F37)</f>
        <v>3500000</v>
      </c>
      <c r="AD37" s="70">
        <f>SUMIFS(Drivers!AZ$68:AZ$103,BSSections,$E37,BSSummarys,$F37)</f>
        <v>3500000</v>
      </c>
      <c r="AE37" s="70">
        <f>SUMIFS(Drivers!BA$68:BA$103,BSSections,$E37,BSSummarys,$F37)</f>
        <v>3500000</v>
      </c>
      <c r="AF37" s="70">
        <f>SUMIFS(Drivers!BB$68:BB$103,BSSections,$E37,BSSummarys,$F37)</f>
        <v>3500000</v>
      </c>
      <c r="AG37" s="70">
        <f>SUMIFS(Drivers!BC$68:BC$103,BSSections,$E37,BSSummarys,$F37)</f>
        <v>3500000</v>
      </c>
      <c r="AH37" s="70">
        <f>SUMIFS(Drivers!BD$68:BD$103,BSSections,$E37,BSSummarys,$F37)</f>
        <v>3500000</v>
      </c>
      <c r="AI37" s="70">
        <f>SUMIFS(Drivers!BE$68:BE$103,BSSections,$E37,BSSummarys,$F37)</f>
        <v>4500000</v>
      </c>
      <c r="AJ37" s="70">
        <f>SUMIFS(Drivers!BF$68:BF$103,BSSections,$E37,BSSummarys,$F37)</f>
        <v>4500000</v>
      </c>
      <c r="AK37" s="70">
        <f>SUMIFS(Drivers!BG$68:BG$103,BSSections,$E37,BSSummarys,$F37)</f>
        <v>4500000</v>
      </c>
      <c r="AL37" s="70">
        <f>SUMIFS(Drivers!BH$68:BH$103,BSSections,$E37,BSSummarys,$F37)</f>
        <v>4500000</v>
      </c>
      <c r="AM37" s="70">
        <f>SUMIFS(Drivers!BI$68:BI$103,BSSections,$E37,BSSummarys,$F37)</f>
        <v>4500000</v>
      </c>
      <c r="AN37" s="70">
        <f>SUMIFS(Drivers!BJ$68:BJ$103,BSSections,$E37,BSSummarys,$F37)</f>
        <v>4500000</v>
      </c>
      <c r="AO37" s="70">
        <f>SUMIFS(Drivers!BK$68:BK$103,BSSections,$E37,BSSummarys,$F37)</f>
        <v>4500000</v>
      </c>
      <c r="AP37" s="70">
        <f>SUMIFS(Drivers!BL$68:BL$103,BSSections,$E37,BSSummarys,$F37)</f>
        <v>4500000</v>
      </c>
      <c r="AQ37" s="70">
        <f>SUMIFS(Drivers!BM$68:BM$103,BSSections,$E37,BSSummarys,$F37)</f>
        <v>4500000</v>
      </c>
      <c r="AR37" s="70">
        <f>SUMIFS(Drivers!BN$68:BN$103,BSSections,$E37,BSSummarys,$F37)</f>
        <v>4500000</v>
      </c>
      <c r="AS37" s="70">
        <f>SUMIFS(Drivers!BO$68:BO$103,BSSections,$E37,BSSummarys,$F37)</f>
        <v>4500000</v>
      </c>
      <c r="AT37" s="70">
        <f>SUMIFS(Drivers!BP$68:BP$103,BSSections,$E37,BSSummarys,$F37)</f>
        <v>4500000</v>
      </c>
      <c r="AU37" s="70">
        <f>SUMIFS(Drivers!BQ$68:BQ$103,BSSections,$E37,BSSummarys,$F37)</f>
        <v>4500000</v>
      </c>
      <c r="AV37" s="70">
        <f>SUMIFS(Drivers!BR$68:BR$103,BSSections,$E37,BSSummarys,$F37)</f>
        <v>4500000</v>
      </c>
      <c r="AW37" s="70">
        <f>SUMIFS(Drivers!BS$68:BS$103,BSSections,$E37,BSSummarys,$F37)</f>
        <v>4500000</v>
      </c>
    </row>
    <row r="38" spans="2:49" ht="15" outlineLevel="1">
      <c r="B38" s="22"/>
      <c r="C38" s="72"/>
      <c r="D38" s="26" t="s">
        <v>64</v>
      </c>
      <c r="E38" s="14" t="s">
        <v>225</v>
      </c>
      <c r="F38" s="71" t="s">
        <v>64</v>
      </c>
      <c r="G38" s="15"/>
      <c r="H38" s="15" t="str">
        <f>IFERROR(INDEX(PBC_ACCOUNT_LIST[Cash Flow Section],MATCH('Data Summary'!J38,PBC_ACCOUNT_LIST[Id],0)),"")</f>
        <v/>
      </c>
      <c r="I38" s="14"/>
      <c r="J38" s="14"/>
      <c r="M38" s="70">
        <f>SUMIFS(Drivers!AI$68:AI$103,BSSections,$E38,BSSummarys,$F38)</f>
        <v>-659921.5</v>
      </c>
      <c r="N38" s="70">
        <f>SUMIFS(Drivers!AJ$68:AJ$103,BSSections,$E38,BSSummarys,$F38)</f>
        <v>-732726</v>
      </c>
      <c r="O38" s="70">
        <f>SUMIFS(Drivers!AK$68:AK$103,BSSections,$E38,BSSummarys,$F38)</f>
        <v>-862046</v>
      </c>
      <c r="P38" s="70">
        <f>SUMIFS(Drivers!AL$68:AL$103,BSSections,$E38,BSSummarys,$F38)</f>
        <v>-937415.5</v>
      </c>
      <c r="Q38" s="70">
        <f>SUMIFS(Drivers!AM$68:AM$103,BSSections,$E38,BSSummarys,$F38)</f>
        <v>-1072126</v>
      </c>
      <c r="R38" s="70">
        <f>SUMIFS(Drivers!AN$68:AN$103,BSSections,$E38,BSSummarys,$F38)</f>
        <v>-1150188.5</v>
      </c>
      <c r="S38" s="70">
        <f>SUMIFS(Drivers!AO$68:AO$103,BSSections,$E38,BSSummarys,$F38)</f>
        <v>-1290560.5</v>
      </c>
      <c r="T38" s="70">
        <f>SUMIFS(Drivers!AP$68:AP$103,BSSections,$E38,BSSummarys,$F38)</f>
        <v>-1436876.5</v>
      </c>
      <c r="U38" s="70">
        <f>SUMIFS(Drivers!AQ$68:AQ$103,BSSections,$E38,BSSummarys,$F38)</f>
        <v>-1583191.5</v>
      </c>
      <c r="V38" s="70">
        <f>SUMIFS(Drivers!AR$68:AR$103,BSSections,$E38,BSSummarys,$F38)</f>
        <v>-1735747.5</v>
      </c>
      <c r="W38" s="70">
        <f>SUMIFS(Drivers!AS$68:AS$103,BSSections,$E38,BSSummarys,$F38)</f>
        <v>-1888304.5</v>
      </c>
      <c r="X38" s="70">
        <f>SUMIFS(Drivers!AT$68:AT$103,BSSections,$E38,BSSummarys,$F38)</f>
        <v>-2047414.5</v>
      </c>
      <c r="Y38" s="70">
        <f>SUMIFS(Drivers!AU$68:AU$103,BSSections,$E38,BSSummarys,$F38)</f>
        <v>-2213404</v>
      </c>
      <c r="Z38" s="70">
        <f>SUMIFS(Drivers!AV$68:AV$103,BSSections,$E38,BSSummarys,$F38)</f>
        <v>-2386618.91</v>
      </c>
      <c r="AA38" s="70">
        <f>SUMIFS(Drivers!AW$68:AW$103,BSSections,$E38,BSSummarys,$F38)</f>
        <v>-2567419.5699999998</v>
      </c>
      <c r="AB38" s="70">
        <f>SUMIFS(Drivers!AX$68:AX$103,BSSections,$E38,BSSummarys,$F38)</f>
        <v>-2756186.23</v>
      </c>
      <c r="AC38" s="70">
        <f>SUMIFS(Drivers!AY$68:AY$103,BSSections,$E38,BSSummarys,$F38)</f>
        <v>-2953315.89</v>
      </c>
      <c r="AD38" s="70">
        <f>SUMIFS(Drivers!AZ$68:AZ$103,BSSections,$E38,BSSummarys,$F38)</f>
        <v>-3159229.55</v>
      </c>
      <c r="AE38" s="70">
        <f>SUMIFS(Drivers!BA$68:BA$103,BSSections,$E38,BSSummarys,$F38)</f>
        <v>-3366961.76</v>
      </c>
      <c r="AF38" s="70">
        <f>SUMIFS(Drivers!BB$68:BB$103,BSSections,$E38,BSSummarys,$F38)</f>
        <v>-3590775.81</v>
      </c>
      <c r="AG38" s="70">
        <f>SUMIFS(Drivers!BC$68:BC$103,BSSections,$E38,BSSummarys,$F38)</f>
        <v>-3825755.8</v>
      </c>
      <c r="AH38" s="70">
        <f>SUMIFS(Drivers!BD$68:BD$103,BSSections,$E38,BSSummarys,$F38)</f>
        <v>-4071410.01</v>
      </c>
      <c r="AI38" s="70">
        <f>SUMIFS(Drivers!BE$68:BE$103,BSSections,$E38,BSSummarys,$F38)</f>
        <v>-4301574.1715000002</v>
      </c>
      <c r="AJ38" s="70">
        <f>SUMIFS(Drivers!BF$68:BF$103,BSSections,$E38,BSSummarys,$F38)</f>
        <v>-4537519.3707625</v>
      </c>
      <c r="AK38" s="70">
        <f>SUMIFS(Drivers!BG$68:BG$103,BSSections,$E38,BSSummarys,$F38)</f>
        <v>-4778720.0893959375</v>
      </c>
      <c r="AL38" s="70">
        <f>SUMIFS(Drivers!BH$68:BH$103,BSSections,$E38,BSSummarys,$F38)</f>
        <v>-5025777.7970402269</v>
      </c>
      <c r="AM38" s="70">
        <f>SUMIFS(Drivers!BI$68:BI$103,BSSections,$E38,BSSummarys,$F38)</f>
        <v>-5276903.144772267</v>
      </c>
      <c r="AN38" s="70">
        <f>SUMIFS(Drivers!BJ$68:BJ$103,BSSections,$E38,BSSummarys,$F38)</f>
        <v>-5530853.9301074138</v>
      </c>
      <c r="AO38" s="70">
        <f>SUMIFS(Drivers!BK$68:BK$103,BSSections,$E38,BSSummarys,$F38)</f>
        <v>-5786256.6161262114</v>
      </c>
      <c r="AP38" s="70">
        <f>SUMIFS(Drivers!BL$68:BL$103,BSSections,$E38,BSSummarys,$F38)</f>
        <v>-6046076.0439357981</v>
      </c>
      <c r="AQ38" s="70">
        <f>SUMIFS(Drivers!BM$68:BM$103,BSSections,$E38,BSSummarys,$F38)</f>
        <v>-6310073.4617411252</v>
      </c>
      <c r="AR38" s="70">
        <f>SUMIFS(Drivers!BN$68:BN$103,BSSections,$E38,BSSummarys,$F38)</f>
        <v>-6578060.3019015333</v>
      </c>
      <c r="AS38" s="70">
        <f>SUMIFS(Drivers!BO$68:BO$103,BSSections,$E38,BSSummarys,$F38)</f>
        <v>-6849709.740252262</v>
      </c>
      <c r="AT38" s="70">
        <f>SUMIFS(Drivers!BP$68:BP$103,BSSections,$E38,BSSummarys,$F38)</f>
        <v>-7124950.8944612611</v>
      </c>
      <c r="AU38" s="70">
        <f>SUMIFS(Drivers!BQ$68:BQ$103,BSSections,$E38,BSSummarys,$F38)</f>
        <v>-7403917.8632231839</v>
      </c>
      <c r="AV38" s="70">
        <f>SUMIFS(Drivers!BR$68:BR$103,BSSections,$E38,BSSummarys,$F38)</f>
        <v>-7687008.581465154</v>
      </c>
      <c r="AW38" s="70">
        <f>SUMIFS(Drivers!BS$68:BS$103,BSSections,$E38,BSSummarys,$F38)</f>
        <v>-7974171.7755327914</v>
      </c>
    </row>
    <row r="39" spans="2:49" ht="18.75" customHeight="1">
      <c r="E39" s="14"/>
      <c r="F39" s="14"/>
      <c r="G39" s="15"/>
      <c r="H39" s="15" t="str">
        <f>IFERROR(INDEX(PBC_ACCOUNT_LIST[Cash Flow Section],MATCH('Data Summary'!J39,PBC_ACCOUNT_LIST[Id],0)),"")</f>
        <v/>
      </c>
      <c r="I39" s="14"/>
      <c r="J39" s="14"/>
    </row>
    <row r="40" spans="2:49" s="29" customFormat="1" ht="24">
      <c r="B40" s="38" t="s">
        <v>243</v>
      </c>
      <c r="C40" s="69"/>
      <c r="D40" s="31"/>
      <c r="E40" s="31"/>
      <c r="F40" s="31"/>
      <c r="G40" s="36"/>
      <c r="H40" s="36"/>
      <c r="I40" s="31"/>
      <c r="J40" s="31"/>
      <c r="K40" s="35"/>
      <c r="L40" s="35"/>
      <c r="M40" s="31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</row>
    <row r="41" spans="2:49" ht="21">
      <c r="B41" s="22"/>
      <c r="C41" s="67" t="s">
        <v>238</v>
      </c>
      <c r="D41" s="28"/>
      <c r="E41" s="68"/>
      <c r="F41" s="68"/>
      <c r="G41" s="110"/>
      <c r="H41" s="110" t="str">
        <f>IFERROR(INDEX(PBC_ACCOUNT_LIST[Cash Flow Section],MATCH('Data Summary'!J41,PBC_ACCOUNT_LIST[Id],0)),"")</f>
        <v/>
      </c>
      <c r="I41" s="14"/>
      <c r="J41" s="1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</row>
    <row r="42" spans="2:49" ht="18.75" customHeight="1" outlineLevel="1">
      <c r="B42" s="22"/>
      <c r="C42" s="67"/>
      <c r="D42" s="26" t="s">
        <v>157</v>
      </c>
      <c r="E42" s="14" t="str">
        <f>IFERROR(INDEX(PBC_ACCOUNT_LIST[Drivers Section],MATCH('Data Summary'!J42,PBC_ACCOUNT_LIST[Id],0)),"")</f>
        <v>Revenue</v>
      </c>
      <c r="F42" s="14" t="str">
        <f>IFERROR(INDEX(PBC_ACCOUNT_LIST[Summary Grouping],MATCH('Data Summary'!J42,PBC_ACCOUNT_LIST[Id],0)),"")</f>
        <v>Revenue</v>
      </c>
      <c r="G42" s="15"/>
      <c r="H42" s="15">
        <f>IFERROR(INDEX(PBC_ACCOUNT_LIST[Cash Flow Section],MATCH('Data Summary'!J42,PBC_ACCOUNT_LIST[Id],0)),"")</f>
        <v>0</v>
      </c>
      <c r="I42" s="14"/>
      <c r="J42" s="14">
        <v>199</v>
      </c>
      <c r="M42" s="66">
        <f>SUMIFS(Drivers!AI$10:AI$66,PLAcctIDs,$J42)</f>
        <v>40000</v>
      </c>
      <c r="N42" s="66">
        <f>SUMIFS(Drivers!AJ$10:AJ$66,PLAcctIDs,$J42)</f>
        <v>48456.5</v>
      </c>
      <c r="O42" s="66">
        <f>SUMIFS(Drivers!AK$10:AK$66,PLAcctIDs,$J42)</f>
        <v>42000</v>
      </c>
      <c r="P42" s="66">
        <f>SUMIFS(Drivers!AL$10:AL$66,PLAcctIDs,$J42)</f>
        <v>50879.5</v>
      </c>
      <c r="Q42" s="66">
        <f>SUMIFS(Drivers!AM$10:AM$66,PLAcctIDs,$J42)</f>
        <v>44100</v>
      </c>
      <c r="R42" s="66">
        <f>SUMIFS(Drivers!AN$10:AN$66,PLAcctIDs,$J42)</f>
        <v>53424</v>
      </c>
      <c r="S42" s="66">
        <f>SUMIFS(Drivers!AO$10:AO$66,PLAcctIDs,$J42)</f>
        <v>46305</v>
      </c>
      <c r="T42" s="66">
        <f>SUMIFS(Drivers!AP$10:AP$66,PLAcctIDs,$J42)</f>
        <v>48620</v>
      </c>
      <c r="U42" s="66">
        <f>SUMIFS(Drivers!AQ$10:AQ$66,PLAcctIDs,$J42)</f>
        <v>48620</v>
      </c>
      <c r="V42" s="66">
        <f>SUMIFS(Drivers!AR$10:AR$66,PLAcctIDs,$J42)</f>
        <v>51051</v>
      </c>
      <c r="W42" s="66">
        <f>SUMIFS(Drivers!AS$10:AS$66,PLAcctIDs,$J42)</f>
        <v>51051</v>
      </c>
      <c r="X42" s="66">
        <f>SUMIFS(Drivers!AT$10:AT$66,PLAcctIDs,$J42)</f>
        <v>53604</v>
      </c>
      <c r="Y42" s="66">
        <f>SUMIFS(Drivers!AU$10:AU$66,PLAcctIDs,$J42)</f>
        <v>56284</v>
      </c>
      <c r="Z42" s="66">
        <f>SUMIFS(Drivers!AV$10:AV$66,PLAcctIDs,$J42)</f>
        <v>59098.22</v>
      </c>
      <c r="AA42" s="66">
        <f>SUMIFS(Drivers!AW$10:AW$66,PLAcctIDs,$J42)</f>
        <v>62053</v>
      </c>
      <c r="AB42" s="66">
        <f>SUMIFS(Drivers!AX$10:AX$66,PLAcctIDs,$J42)</f>
        <v>65156</v>
      </c>
      <c r="AC42" s="66">
        <f>SUMIFS(Drivers!AY$10:AY$66,PLAcctIDs,$J42)</f>
        <v>68414</v>
      </c>
      <c r="AD42" s="66">
        <f>SUMIFS(Drivers!AZ$10:AZ$66,PLAcctIDs,$J42)</f>
        <v>71834</v>
      </c>
      <c r="AE42" s="66">
        <f>SUMIFS(Drivers!BA$10:BA$66,PLAcctIDs,$J42)</f>
        <v>83825.97</v>
      </c>
      <c r="AF42" s="66">
        <f>SUMIFS(Drivers!BB$10:BB$66,PLAcctIDs,$J42)</f>
        <v>79197.259999999995</v>
      </c>
      <c r="AG42" s="66">
        <f>SUMIFS(Drivers!BC$10:BC$66,PLAcctIDs,$J42)</f>
        <v>83157.13</v>
      </c>
      <c r="AH42" s="66">
        <f>SUMIFS(Drivers!BD$10:BD$66,PLAcctIDs,$J42)</f>
        <v>87314.98</v>
      </c>
      <c r="AI42" s="66">
        <f>SUMIFS(Drivers!BE$10:BE$66,PLAcctIDs,$J42)</f>
        <v>82905.084499999997</v>
      </c>
      <c r="AJ42" s="66">
        <f>SUMIFS(Drivers!BF$10:BF$66,PLAcctIDs,$J42)</f>
        <v>85441.024287499997</v>
      </c>
      <c r="AK42" s="66">
        <f>SUMIFS(Drivers!BG$10:BG$66,PLAcctIDs,$J42)</f>
        <v>87822.253537812503</v>
      </c>
      <c r="AL42" s="66">
        <f>SUMIFS(Drivers!BH$10:BH$66,PLAcctIDs,$J42)</f>
        <v>88521.603156929705</v>
      </c>
      <c r="AM42" s="66">
        <f>SUMIFS(Drivers!BI$10:BI$66,PLAcctIDs,$J42)</f>
        <v>90153.363209392381</v>
      </c>
      <c r="AN42" s="66">
        <f>SUMIFS(Drivers!BJ$10:BJ$66,PLAcctIDs,$J42)</f>
        <v>91377.704021036057</v>
      </c>
      <c r="AO42" s="66">
        <f>SUMIFS(Drivers!BK$10:BK$66,PLAcctIDs,$J42)</f>
        <v>92088.680724717356</v>
      </c>
      <c r="AP42" s="66">
        <f>SUMIFS(Drivers!BL$10:BL$66,PLAcctIDs,$J42)</f>
        <v>93695.810064042889</v>
      </c>
      <c r="AQ42" s="66">
        <f>SUMIFS(Drivers!BM$10:BM$66,PLAcctIDs,$J42)</f>
        <v>95140.397574937917</v>
      </c>
      <c r="AR42" s="66">
        <f>SUMIFS(Drivers!BN$10:BN$66,PLAcctIDs,$J42)</f>
        <v>96421.07278143485</v>
      </c>
      <c r="AS42" s="66">
        <f>SUMIFS(Drivers!BO$10:BO$66,PLAcctIDs,$J42)</f>
        <v>97803.479965723265</v>
      </c>
      <c r="AT42" s="66">
        <f>SUMIFS(Drivers!BP$10:BP$66,PLAcctIDs,$J42)</f>
        <v>99142.250398081145</v>
      </c>
      <c r="AU42" s="66">
        <f>SUMIFS(Drivers!BQ$10:BQ$66,PLAcctIDs,$J42)</f>
        <v>100501.04601406405</v>
      </c>
      <c r="AV42" s="66">
        <f>SUMIFS(Drivers!BR$10:BR$66,PLAcctIDs,$J42)</f>
        <v>101973.20993969974</v>
      </c>
      <c r="AW42" s="66">
        <f>SUMIFS(Drivers!BS$10:BS$66,PLAcctIDs,$J42)</f>
        <v>103421.75491793966</v>
      </c>
    </row>
    <row r="43" spans="2:49" ht="18.75" customHeight="1" outlineLevel="1">
      <c r="B43" s="22"/>
      <c r="C43" s="67"/>
      <c r="D43" s="26" t="s">
        <v>160</v>
      </c>
      <c r="E43" s="14" t="str">
        <f>IFERROR(INDEX(PBC_ACCOUNT_LIST[Drivers Section],MATCH('Data Summary'!J43,PBC_ACCOUNT_LIST[Id],0)),"")</f>
        <v>Revenue</v>
      </c>
      <c r="F43" s="14" t="str">
        <f>IFERROR(INDEX(PBC_ACCOUNT_LIST[Summary Grouping],MATCH('Data Summary'!J43,PBC_ACCOUNT_LIST[Id],0)),"")</f>
        <v>Revenue</v>
      </c>
      <c r="G43" s="15"/>
      <c r="H43" s="15">
        <f>IFERROR(INDEX(PBC_ACCOUNT_LIST[Cash Flow Section],MATCH('Data Summary'!J43,PBC_ACCOUNT_LIST[Id],0)),"")</f>
        <v>0</v>
      </c>
      <c r="I43" s="14"/>
      <c r="J43" s="14">
        <v>73</v>
      </c>
      <c r="M43" s="66">
        <f>SUMIFS(Drivers!AI$10:AI$66,PLAcctIDs,$J43)</f>
        <v>0</v>
      </c>
      <c r="N43" s="66">
        <f>SUMIFS(Drivers!AJ$10:AJ$66,PLAcctIDs,$J43)</f>
        <v>0</v>
      </c>
      <c r="O43" s="66">
        <f>SUMIFS(Drivers!AK$10:AK$66,PLAcctIDs,$J43)</f>
        <v>0</v>
      </c>
      <c r="P43" s="66">
        <f>SUMIFS(Drivers!AL$10:AL$66,PLAcctIDs,$J43)</f>
        <v>0</v>
      </c>
      <c r="Q43" s="66">
        <f>SUMIFS(Drivers!AM$10:AM$66,PLAcctIDs,$J43)</f>
        <v>0</v>
      </c>
      <c r="R43" s="66">
        <f>SUMIFS(Drivers!AN$10:AN$66,PLAcctIDs,$J43)</f>
        <v>0</v>
      </c>
      <c r="S43" s="66">
        <f>SUMIFS(Drivers!AO$10:AO$66,PLAcctIDs,$J43)</f>
        <v>0</v>
      </c>
      <c r="T43" s="66">
        <f>SUMIFS(Drivers!AP$10:AP$66,PLAcctIDs,$J43)</f>
        <v>0</v>
      </c>
      <c r="U43" s="66">
        <f>SUMIFS(Drivers!AQ$10:AQ$66,PLAcctIDs,$J43)</f>
        <v>0</v>
      </c>
      <c r="V43" s="66">
        <f>SUMIFS(Drivers!AR$10:AR$66,PLAcctIDs,$J43)</f>
        <v>0</v>
      </c>
      <c r="W43" s="66">
        <f>SUMIFS(Drivers!AS$10:AS$66,PLAcctIDs,$J43)</f>
        <v>0</v>
      </c>
      <c r="X43" s="66">
        <f>SUMIFS(Drivers!AT$10:AT$66,PLAcctIDs,$J43)</f>
        <v>0</v>
      </c>
      <c r="Y43" s="66">
        <f>SUMIFS(Drivers!AU$10:AU$66,PLAcctIDs,$J43)</f>
        <v>0</v>
      </c>
      <c r="Z43" s="66">
        <f>SUMIFS(Drivers!AV$10:AV$66,PLAcctIDs,$J43)</f>
        <v>0</v>
      </c>
      <c r="AA43" s="66">
        <f>SUMIFS(Drivers!AW$10:AW$66,PLAcctIDs,$J43)</f>
        <v>0</v>
      </c>
      <c r="AB43" s="66">
        <f>SUMIFS(Drivers!AX$10:AX$66,PLAcctIDs,$J43)</f>
        <v>0</v>
      </c>
      <c r="AC43" s="66">
        <f>SUMIFS(Drivers!AY$10:AY$66,PLAcctIDs,$J43)</f>
        <v>0</v>
      </c>
      <c r="AD43" s="66">
        <f>SUMIFS(Drivers!AZ$10:AZ$66,PLAcctIDs,$J43)</f>
        <v>0</v>
      </c>
      <c r="AE43" s="66">
        <f>SUMIFS(Drivers!BA$10:BA$66,PLAcctIDs,$J43)</f>
        <v>300</v>
      </c>
      <c r="AF43" s="66">
        <f>SUMIFS(Drivers!BB$10:BB$66,PLAcctIDs,$J43)</f>
        <v>0</v>
      </c>
      <c r="AG43" s="66">
        <f>SUMIFS(Drivers!BC$10:BC$66,PLAcctIDs,$J43)</f>
        <v>0</v>
      </c>
      <c r="AH43" s="66">
        <f>SUMIFS(Drivers!BD$10:BD$66,PLAcctIDs,$J43)</f>
        <v>0</v>
      </c>
      <c r="AI43" s="66">
        <f>SUMIFS(Drivers!BE$10:BE$66,PLAcctIDs,$J43)</f>
        <v>52.5</v>
      </c>
      <c r="AJ43" s="66">
        <f>SUMIFS(Drivers!BF$10:BF$66,PLAcctIDs,$J43)</f>
        <v>61.6875</v>
      </c>
      <c r="AK43" s="66">
        <f>SUMIFS(Drivers!BG$10:BG$66,PLAcctIDs,$J43)</f>
        <v>72.482812500000009</v>
      </c>
      <c r="AL43" s="66">
        <f>SUMIFS(Drivers!BH$10:BH$66,PLAcctIDs,$J43)</f>
        <v>32.667304687500007</v>
      </c>
      <c r="AM43" s="66">
        <f>SUMIFS(Drivers!BI$10:BI$66,PLAcctIDs,$J43)</f>
        <v>38.384083007812507</v>
      </c>
      <c r="AN43" s="66">
        <f>SUMIFS(Drivers!BJ$10:BJ$66,PLAcctIDs,$J43)</f>
        <v>45.1012975341797</v>
      </c>
      <c r="AO43" s="66">
        <f>SUMIFS(Drivers!BK$10:BK$66,PLAcctIDs,$J43)</f>
        <v>52.994024602661149</v>
      </c>
      <c r="AP43" s="66">
        <f>SUMIFS(Drivers!BL$10:BL$66,PLAcctIDs,$J43)</f>
        <v>53.08047890812685</v>
      </c>
      <c r="AQ43" s="66">
        <f>SUMIFS(Drivers!BM$10:BM$66,PLAcctIDs,$J43)</f>
        <v>51.574250217049041</v>
      </c>
      <c r="AR43" s="66">
        <f>SUMIFS(Drivers!BN$10:BN$66,PLAcctIDs,$J43)</f>
        <v>47.915251817532621</v>
      </c>
      <c r="AS43" s="66">
        <f>SUMIFS(Drivers!BO$10:BO$66,PLAcctIDs,$J43)</f>
        <v>50.583642565288329</v>
      </c>
      <c r="AT43" s="66">
        <f>SUMIFS(Drivers!BP$10:BP$66,PLAcctIDs,$J43)</f>
        <v>52.718565487846597</v>
      </c>
      <c r="AU43" s="66">
        <f>SUMIFS(Drivers!BQ$10:BQ$66,PLAcctIDs,$J43)</f>
        <v>54.051587379738308</v>
      </c>
      <c r="AV43" s="66">
        <f>SUMIFS(Drivers!BR$10:BR$66,PLAcctIDs,$J43)</f>
        <v>54.236660865726819</v>
      </c>
      <c r="AW43" s="66">
        <f>SUMIFS(Drivers!BS$10:BS$66,PLAcctIDs,$J43)</f>
        <v>54.438992708306806</v>
      </c>
    </row>
    <row r="44" spans="2:49" ht="18.75" customHeight="1" outlineLevel="1">
      <c r="B44" s="22"/>
      <c r="C44" s="67"/>
      <c r="D44" s="26" t="s">
        <v>162</v>
      </c>
      <c r="E44" s="14" t="str">
        <f>IFERROR(INDEX(PBC_ACCOUNT_LIST[Drivers Section],MATCH('Data Summary'!J44,PBC_ACCOUNT_LIST[Id],0)),"")</f>
        <v>COGS</v>
      </c>
      <c r="F44" s="14" t="str">
        <f>IFERROR(INDEX(PBC_ACCOUNT_LIST[Summary Grouping],MATCH('Data Summary'!J44,PBC_ACCOUNT_LIST[Id],0)),"")</f>
        <v>COGS</v>
      </c>
      <c r="G44" s="15"/>
      <c r="H44" s="15">
        <f>IFERROR(INDEX(PBC_ACCOUNT_LIST[Cash Flow Section],MATCH('Data Summary'!J44,PBC_ACCOUNT_LIST[Id],0)),"")</f>
        <v>0</v>
      </c>
      <c r="I44" s="14"/>
      <c r="J44" s="14">
        <v>164</v>
      </c>
      <c r="M44" s="66">
        <f>SUMIFS(Drivers!AI$10:AI$66,PLAcctIDs,$J44)</f>
        <v>2990</v>
      </c>
      <c r="N44" s="66">
        <f>SUMIFS(Drivers!AJ$10:AJ$66,PLAcctIDs,$J44)</f>
        <v>2857</v>
      </c>
      <c r="O44" s="66">
        <f>SUMIFS(Drivers!AK$10:AK$66,PLAcctIDs,$J44)</f>
        <v>3140</v>
      </c>
      <c r="P44" s="66">
        <f>SUMIFS(Drivers!AL$10:AL$66,PLAcctIDs,$J44)</f>
        <v>3000</v>
      </c>
      <c r="Q44" s="66">
        <f>SUMIFS(Drivers!AM$10:AM$66,PLAcctIDs,$J44)</f>
        <v>3296</v>
      </c>
      <c r="R44" s="66">
        <f>SUMIFS(Drivers!AN$10:AN$66,PLAcctIDs,$J44)</f>
        <v>3150</v>
      </c>
      <c r="S44" s="66">
        <f>SUMIFS(Drivers!AO$10:AO$66,PLAcctIDs,$J44)</f>
        <v>3461</v>
      </c>
      <c r="T44" s="66">
        <f>SUMIFS(Drivers!AP$10:AP$66,PLAcctIDs,$J44)</f>
        <v>3634</v>
      </c>
      <c r="U44" s="66">
        <f>SUMIFS(Drivers!AQ$10:AQ$66,PLAcctIDs,$J44)</f>
        <v>3634</v>
      </c>
      <c r="V44" s="66">
        <f>SUMIFS(Drivers!AR$10:AR$66,PLAcctIDs,$J44)</f>
        <v>3816</v>
      </c>
      <c r="W44" s="66">
        <f>SUMIFS(Drivers!AS$10:AS$66,PLAcctIDs,$J44)</f>
        <v>3816</v>
      </c>
      <c r="X44" s="66">
        <f>SUMIFS(Drivers!AT$10:AT$66,PLAcctIDs,$J44)</f>
        <v>4007</v>
      </c>
      <c r="Y44" s="66">
        <f>SUMIFS(Drivers!AU$10:AU$66,PLAcctIDs,$J44)</f>
        <v>4207</v>
      </c>
      <c r="Z44" s="66">
        <f>SUMIFS(Drivers!AV$10:AV$66,PLAcctIDs,$J44)</f>
        <v>4417.6099999999997</v>
      </c>
      <c r="AA44" s="66">
        <f>SUMIFS(Drivers!AW$10:AW$66,PLAcctIDs,$J44)</f>
        <v>4638</v>
      </c>
      <c r="AB44" s="66">
        <f>SUMIFS(Drivers!AX$10:AX$66,PLAcctIDs,$J44)</f>
        <v>4870</v>
      </c>
      <c r="AC44" s="66">
        <f>SUMIFS(Drivers!AY$10:AY$66,PLAcctIDs,$J44)</f>
        <v>5114</v>
      </c>
      <c r="AD44" s="66">
        <f>SUMIFS(Drivers!AZ$10:AZ$66,PLAcctIDs,$J44)</f>
        <v>5370</v>
      </c>
      <c r="AE44" s="66">
        <f>SUMIFS(Drivers!BA$10:BA$66,PLAcctIDs,$J44)</f>
        <v>5638.12</v>
      </c>
      <c r="AF44" s="66">
        <f>SUMIFS(Drivers!BB$10:BB$66,PLAcctIDs,$J44)</f>
        <v>5920.02</v>
      </c>
      <c r="AG44" s="66">
        <f>SUMIFS(Drivers!BC$10:BC$66,PLAcctIDs,$J44)</f>
        <v>6216.03</v>
      </c>
      <c r="AH44" s="66">
        <f>SUMIFS(Drivers!BD$10:BD$66,PLAcctIDs,$J44)</f>
        <v>6526.83</v>
      </c>
      <c r="AI44" s="66">
        <f>SUMIFS(Drivers!BE$10:BE$66,PLAcctIDs,$J44)</f>
        <v>6087.375</v>
      </c>
      <c r="AJ44" s="66">
        <f>SUMIFS(Drivers!BF$10:BF$66,PLAcctIDs,$J44)</f>
        <v>6257.7156250000007</v>
      </c>
      <c r="AK44" s="66">
        <f>SUMIFS(Drivers!BG$10:BG$66,PLAcctIDs,$J44)</f>
        <v>6413.0658593749995</v>
      </c>
      <c r="AL44" s="66">
        <f>SUMIFS(Drivers!BH$10:BH$66,PLAcctIDs,$J44)</f>
        <v>6548.6813847656249</v>
      </c>
      <c r="AM44" s="66">
        <f>SUMIFS(Drivers!BI$10:BI$66,PLAcctIDs,$J44)</f>
        <v>6658.69712709961</v>
      </c>
      <c r="AN44" s="66">
        <f>SUMIFS(Drivers!BJ$10:BJ$66,PLAcctIDs,$J44)</f>
        <v>6736.1638743420399</v>
      </c>
      <c r="AO44" s="66">
        <f>SUMIFS(Drivers!BK$10:BK$66,PLAcctIDs,$J44)</f>
        <v>6772.797302351898</v>
      </c>
      <c r="AP44" s="66">
        <f>SUMIFS(Drivers!BL$10:BL$66,PLAcctIDs,$J44)</f>
        <v>6892.746205263481</v>
      </c>
      <c r="AQ44" s="66">
        <f>SUMIFS(Drivers!BM$10:BM$66,PLAcctIDs,$J44)</f>
        <v>7003.8765568095905</v>
      </c>
      <c r="AR44" s="66">
        <f>SUMIFS(Drivers!BN$10:BN$66,PLAcctIDs,$J44)</f>
        <v>7107.2684288606433</v>
      </c>
      <c r="AS44" s="66">
        <f>SUMIFS(Drivers!BO$10:BO$66,PLAcctIDs,$J44)</f>
        <v>7205.0211615772714</v>
      </c>
      <c r="AT44" s="66">
        <f>SUMIFS(Drivers!BP$10:BP$66,PLAcctIDs,$J44)</f>
        <v>7300.6278676108623</v>
      </c>
      <c r="AU44" s="66">
        <f>SUMIFS(Drivers!BQ$10:BQ$66,PLAcctIDs,$J44)</f>
        <v>7399.409066432906</v>
      </c>
      <c r="AV44" s="66">
        <f>SUMIFS(Drivers!BR$10:BR$66,PLAcctIDs,$J44)</f>
        <v>7509.066125147081</v>
      </c>
      <c r="AW44" s="66">
        <f>SUMIFS(Drivers!BS$10:BS$66,PLAcctIDs,$J44)</f>
        <v>7616.9221111267134</v>
      </c>
    </row>
    <row r="45" spans="2:49" ht="18.75" customHeight="1" outlineLevel="1">
      <c r="B45" s="22"/>
      <c r="C45" s="67"/>
      <c r="D45" s="26" t="s">
        <v>163</v>
      </c>
      <c r="E45" s="14" t="str">
        <f>IFERROR(INDEX(PBC_ACCOUNT_LIST[Drivers Section],MATCH('Data Summary'!J45,PBC_ACCOUNT_LIST[Id],0)),"")</f>
        <v>COGS</v>
      </c>
      <c r="F45" s="14" t="str">
        <f>IFERROR(INDEX(PBC_ACCOUNT_LIST[Summary Grouping],MATCH('Data Summary'!J45,PBC_ACCOUNT_LIST[Id],0)),"")</f>
        <v>COGS</v>
      </c>
      <c r="G45" s="15"/>
      <c r="H45" s="15">
        <f>IFERROR(INDEX(PBC_ACCOUNT_LIST[Cash Flow Section],MATCH('Data Summary'!J45,PBC_ACCOUNT_LIST[Id],0)),"")</f>
        <v>0</v>
      </c>
      <c r="I45" s="14"/>
      <c r="J45" s="14">
        <v>165</v>
      </c>
      <c r="M45" s="66">
        <f>SUMIFS(Drivers!AI$10:AI$66,PLAcctIDs,$J45)</f>
        <v>807.5</v>
      </c>
      <c r="N45" s="66">
        <f>SUMIFS(Drivers!AJ$10:AJ$66,PLAcctIDs,$J45)</f>
        <v>742</v>
      </c>
      <c r="O45" s="66">
        <f>SUMIFS(Drivers!AK$10:AK$66,PLAcctIDs,$J45)</f>
        <v>848</v>
      </c>
      <c r="P45" s="66">
        <f>SUMIFS(Drivers!AL$10:AL$66,PLAcctIDs,$J45)</f>
        <v>779</v>
      </c>
      <c r="Q45" s="66">
        <f>SUMIFS(Drivers!AM$10:AM$66,PLAcctIDs,$J45)</f>
        <v>890.5</v>
      </c>
      <c r="R45" s="66">
        <f>SUMIFS(Drivers!AN$10:AN$66,PLAcctIDs,$J45)</f>
        <v>818.5</v>
      </c>
      <c r="S45" s="66">
        <f>SUMIFS(Drivers!AO$10:AO$66,PLAcctIDs,$J45)</f>
        <v>935.5</v>
      </c>
      <c r="T45" s="66">
        <f>SUMIFS(Drivers!AP$10:AP$66,PLAcctIDs,$J45)</f>
        <v>981</v>
      </c>
      <c r="U45" s="66">
        <f>SUMIFS(Drivers!AQ$10:AQ$66,PLAcctIDs,$J45)</f>
        <v>980.5</v>
      </c>
      <c r="V45" s="66">
        <f>SUMIFS(Drivers!AR$10:AR$66,PLAcctIDs,$J45)</f>
        <v>1030</v>
      </c>
      <c r="W45" s="66">
        <f>SUMIFS(Drivers!AS$10:AS$66,PLAcctIDs,$J45)</f>
        <v>1030.33</v>
      </c>
      <c r="X45" s="66">
        <f>SUMIFS(Drivers!AT$10:AT$66,PLAcctIDs,$J45)</f>
        <v>1082.33</v>
      </c>
      <c r="Y45" s="66">
        <f>SUMIFS(Drivers!AU$10:AU$66,PLAcctIDs,$J45)</f>
        <v>1136</v>
      </c>
      <c r="Z45" s="66">
        <f>SUMIFS(Drivers!AV$10:AV$66,PLAcctIDs,$J45)</f>
        <v>1192.81</v>
      </c>
      <c r="AA45" s="66">
        <f>SUMIFS(Drivers!AW$10:AW$66,PLAcctIDs,$J45)</f>
        <v>1252</v>
      </c>
      <c r="AB45" s="66">
        <f>SUMIFS(Drivers!AX$10:AX$66,PLAcctIDs,$J45)</f>
        <v>1315</v>
      </c>
      <c r="AC45" s="66">
        <f>SUMIFS(Drivers!AY$10:AY$66,PLAcctIDs,$J45)</f>
        <v>1381</v>
      </c>
      <c r="AD45" s="66">
        <f>SUMIFS(Drivers!AZ$10:AZ$66,PLAcctIDs,$J45)</f>
        <v>1450</v>
      </c>
      <c r="AE45" s="66">
        <f>SUMIFS(Drivers!BA$10:BA$66,PLAcctIDs,$J45)</f>
        <v>1522.36</v>
      </c>
      <c r="AF45" s="66">
        <f>SUMIFS(Drivers!BB$10:BB$66,PLAcctIDs,$J45)</f>
        <v>1598.48</v>
      </c>
      <c r="AG45" s="66">
        <f>SUMIFS(Drivers!BC$10:BC$66,PLAcctIDs,$J45)</f>
        <v>1678.4</v>
      </c>
      <c r="AH45" s="66">
        <f>SUMIFS(Drivers!BD$10:BD$66,PLAcctIDs,$J45)</f>
        <v>1762.32</v>
      </c>
      <c r="AI45" s="66">
        <f>SUMIFS(Drivers!BE$10:BE$66,PLAcctIDs,$J45)</f>
        <v>1643.6979999999999</v>
      </c>
      <c r="AJ45" s="66">
        <f>SUMIFS(Drivers!BF$10:BF$66,PLAcctIDs,$J45)</f>
        <v>1689.6701500000001</v>
      </c>
      <c r="AK45" s="66">
        <f>SUMIFS(Drivers!BG$10:BG$66,PLAcctIDs,$J45)</f>
        <v>1731.61242625</v>
      </c>
      <c r="AL45" s="66">
        <f>SUMIFS(Drivers!BH$10:BH$66,PLAcctIDs,$J45)</f>
        <v>1768.2316008437499</v>
      </c>
      <c r="AM45" s="66">
        <f>SUMIFS(Drivers!BI$10:BI$66,PLAcctIDs,$J45)</f>
        <v>1797.9381309914063</v>
      </c>
      <c r="AN45" s="66">
        <f>SUMIFS(Drivers!BJ$10:BJ$66,PLAcctIDs,$J45)</f>
        <v>1818.8573039149023</v>
      </c>
      <c r="AO45" s="66">
        <f>SUMIFS(Drivers!BK$10:BK$66,PLAcctIDs,$J45)</f>
        <v>1828.7513321000104</v>
      </c>
      <c r="AP45" s="66">
        <f>SUMIFS(Drivers!BL$10:BL$66,PLAcctIDs,$J45)</f>
        <v>1861.135665217512</v>
      </c>
      <c r="AQ45" s="66">
        <f>SUMIFS(Drivers!BM$10:BM$66,PLAcctIDs,$J45)</f>
        <v>1891.1421303805769</v>
      </c>
      <c r="AR45" s="66">
        <f>SUMIFS(Drivers!BN$10:BN$66,PLAcctIDs,$J45)</f>
        <v>1919.0598286034276</v>
      </c>
      <c r="AS45" s="66">
        <f>SUMIFS(Drivers!BO$10:BO$66,PLAcctIDs,$J45)</f>
        <v>1945.4547684613715</v>
      </c>
      <c r="AT45" s="66">
        <f>SUMIFS(Drivers!BP$10:BP$66,PLAcctIDs,$J45)</f>
        <v>1971.2701800186153</v>
      </c>
      <c r="AU45" s="66">
        <f>SUMIFS(Drivers!BQ$10:BQ$66,PLAcctIDs,$J45)</f>
        <v>1997.9424333367649</v>
      </c>
      <c r="AV45" s="66">
        <f>SUMIFS(Drivers!BR$10:BR$66,PLAcctIDs,$J45)</f>
        <v>2027.5508760531968</v>
      </c>
      <c r="AW45" s="66">
        <f>SUMIFS(Drivers!BS$10:BS$66,PLAcctIDs,$J45)</f>
        <v>2056.6735379494421</v>
      </c>
    </row>
    <row r="46" spans="2:49" ht="18.75" customHeight="1" outlineLevel="1">
      <c r="B46" s="22"/>
      <c r="C46" s="67"/>
      <c r="D46" s="26" t="s">
        <v>164</v>
      </c>
      <c r="E46" s="14" t="str">
        <f>IFERROR(INDEX(PBC_ACCOUNT_LIST[Drivers Section],MATCH('Data Summary'!J46,PBC_ACCOUNT_LIST[Id],0)),"")</f>
        <v>COGS</v>
      </c>
      <c r="F46" s="14" t="str">
        <f>IFERROR(INDEX(PBC_ACCOUNT_LIST[Summary Grouping],MATCH('Data Summary'!J46,PBC_ACCOUNT_LIST[Id],0)),"")</f>
        <v>COGS</v>
      </c>
      <c r="G46" s="15"/>
      <c r="H46" s="15">
        <f>IFERROR(INDEX(PBC_ACCOUNT_LIST[Cash Flow Section],MATCH('Data Summary'!J46,PBC_ACCOUNT_LIST[Id],0)),"")</f>
        <v>0</v>
      </c>
      <c r="I46" s="14"/>
      <c r="J46" s="14">
        <v>24</v>
      </c>
      <c r="M46" s="66">
        <f>SUMIFS(Drivers!AI$10:AI$66,PLAcctIDs,$J46)</f>
        <v>0</v>
      </c>
      <c r="N46" s="66">
        <f>SUMIFS(Drivers!AJ$10:AJ$66,PLAcctIDs,$J46)</f>
        <v>0</v>
      </c>
      <c r="O46" s="66">
        <f>SUMIFS(Drivers!AK$10:AK$66,PLAcctIDs,$J46)</f>
        <v>0</v>
      </c>
      <c r="P46" s="66">
        <f>SUMIFS(Drivers!AL$10:AL$66,PLAcctIDs,$J46)</f>
        <v>0</v>
      </c>
      <c r="Q46" s="66">
        <f>SUMIFS(Drivers!AM$10:AM$66,PLAcctIDs,$J46)</f>
        <v>0</v>
      </c>
      <c r="R46" s="66">
        <f>SUMIFS(Drivers!AN$10:AN$66,PLAcctIDs,$J46)</f>
        <v>0</v>
      </c>
      <c r="S46" s="66">
        <f>SUMIFS(Drivers!AO$10:AO$66,PLAcctIDs,$J46)</f>
        <v>0</v>
      </c>
      <c r="T46" s="66">
        <f>SUMIFS(Drivers!AP$10:AP$66,PLAcctIDs,$J46)</f>
        <v>0</v>
      </c>
      <c r="U46" s="66">
        <f>SUMIFS(Drivers!AQ$10:AQ$66,PLAcctIDs,$J46)</f>
        <v>0</v>
      </c>
      <c r="V46" s="66">
        <f>SUMIFS(Drivers!AR$10:AR$66,PLAcctIDs,$J46)</f>
        <v>0</v>
      </c>
      <c r="W46" s="66">
        <f>SUMIFS(Drivers!AS$10:AS$66,PLAcctIDs,$J46)</f>
        <v>0</v>
      </c>
      <c r="X46" s="66">
        <f>SUMIFS(Drivers!AT$10:AT$66,PLAcctIDs,$J46)</f>
        <v>0</v>
      </c>
      <c r="Y46" s="66">
        <f>SUMIFS(Drivers!AU$10:AU$66,PLAcctIDs,$J46)</f>
        <v>0</v>
      </c>
      <c r="Z46" s="66">
        <f>SUMIFS(Drivers!AV$10:AV$66,PLAcctIDs,$J46)</f>
        <v>0</v>
      </c>
      <c r="AA46" s="66">
        <f>SUMIFS(Drivers!AW$10:AW$66,PLAcctIDs,$J46)</f>
        <v>0</v>
      </c>
      <c r="AB46" s="66">
        <f>SUMIFS(Drivers!AX$10:AX$66,PLAcctIDs,$J46)</f>
        <v>0</v>
      </c>
      <c r="AC46" s="66">
        <f>SUMIFS(Drivers!AY$10:AY$66,PLAcctIDs,$J46)</f>
        <v>0</v>
      </c>
      <c r="AD46" s="66">
        <f>SUMIFS(Drivers!AZ$10:AZ$66,PLAcctIDs,$J46)</f>
        <v>0</v>
      </c>
      <c r="AE46" s="66">
        <f>SUMIFS(Drivers!BA$10:BA$66,PLAcctIDs,$J46)</f>
        <v>300</v>
      </c>
      <c r="AF46" s="66">
        <f>SUMIFS(Drivers!BB$10:BB$66,PLAcctIDs,$J46)</f>
        <v>0</v>
      </c>
      <c r="AG46" s="66">
        <f>SUMIFS(Drivers!BC$10:BC$66,PLAcctIDs,$J46)</f>
        <v>0</v>
      </c>
      <c r="AH46" s="66">
        <f>SUMIFS(Drivers!BD$10:BD$66,PLAcctIDs,$J46)</f>
        <v>0</v>
      </c>
      <c r="AI46" s="66">
        <f>SUMIFS(Drivers!BE$10:BE$66,PLAcctIDs,$J46)</f>
        <v>52.5</v>
      </c>
      <c r="AJ46" s="66">
        <f>SUMIFS(Drivers!BF$10:BF$66,PLAcctIDs,$J46)</f>
        <v>61.6875</v>
      </c>
      <c r="AK46" s="66">
        <f>SUMIFS(Drivers!BG$10:BG$66,PLAcctIDs,$J46)</f>
        <v>72.482812500000009</v>
      </c>
      <c r="AL46" s="66">
        <f>SUMIFS(Drivers!BH$10:BH$66,PLAcctIDs,$J46)</f>
        <v>32.667304687500007</v>
      </c>
      <c r="AM46" s="66">
        <f>SUMIFS(Drivers!BI$10:BI$66,PLAcctIDs,$J46)</f>
        <v>38.384083007812507</v>
      </c>
      <c r="AN46" s="66">
        <f>SUMIFS(Drivers!BJ$10:BJ$66,PLAcctIDs,$J46)</f>
        <v>45.1012975341797</v>
      </c>
      <c r="AO46" s="66">
        <f>SUMIFS(Drivers!BK$10:BK$66,PLAcctIDs,$J46)</f>
        <v>52.994024602661149</v>
      </c>
      <c r="AP46" s="66">
        <f>SUMIFS(Drivers!BL$10:BL$66,PLAcctIDs,$J46)</f>
        <v>53.08047890812685</v>
      </c>
      <c r="AQ46" s="66">
        <f>SUMIFS(Drivers!BM$10:BM$66,PLAcctIDs,$J46)</f>
        <v>51.574250217049041</v>
      </c>
      <c r="AR46" s="66">
        <f>SUMIFS(Drivers!BN$10:BN$66,PLAcctIDs,$J46)</f>
        <v>47.915251817532621</v>
      </c>
      <c r="AS46" s="66">
        <f>SUMIFS(Drivers!BO$10:BO$66,PLAcctIDs,$J46)</f>
        <v>50.583642565288329</v>
      </c>
      <c r="AT46" s="66">
        <f>SUMIFS(Drivers!BP$10:BP$66,PLAcctIDs,$J46)</f>
        <v>52.718565487846597</v>
      </c>
      <c r="AU46" s="66">
        <f>SUMIFS(Drivers!BQ$10:BQ$66,PLAcctIDs,$J46)</f>
        <v>54.051587379738308</v>
      </c>
      <c r="AV46" s="66">
        <f>SUMIFS(Drivers!BR$10:BR$66,PLAcctIDs,$J46)</f>
        <v>54.236660865726819</v>
      </c>
      <c r="AW46" s="66">
        <f>SUMIFS(Drivers!BS$10:BS$66,PLAcctIDs,$J46)</f>
        <v>54.438992708306806</v>
      </c>
    </row>
    <row r="47" spans="2:49" ht="18.75" customHeight="1" outlineLevel="1">
      <c r="B47" s="22"/>
      <c r="C47" s="67"/>
      <c r="D47" s="26" t="s">
        <v>165</v>
      </c>
      <c r="E47" s="14" t="str">
        <f>IFERROR(INDEX(PBC_ACCOUNT_LIST[Drivers Section],MATCH('Data Summary'!J47,PBC_ACCOUNT_LIST[Id],0)),"")</f>
        <v>COGS</v>
      </c>
      <c r="F47" s="14" t="str">
        <f>IFERROR(INDEX(PBC_ACCOUNT_LIST[Summary Grouping],MATCH('Data Summary'!J47,PBC_ACCOUNT_LIST[Id],0)),"")</f>
        <v>COGS</v>
      </c>
      <c r="G47" s="15"/>
      <c r="H47" s="15">
        <f>IFERROR(INDEX(PBC_ACCOUNT_LIST[Cash Flow Section],MATCH('Data Summary'!J47,PBC_ACCOUNT_LIST[Id],0)),"")</f>
        <v>0</v>
      </c>
      <c r="I47" s="14"/>
      <c r="J47" s="14">
        <v>207</v>
      </c>
      <c r="M47" s="66">
        <f>SUMIFS(Drivers!AI$10:AI$66,PLAcctIDs,$J47)</f>
        <v>0</v>
      </c>
      <c r="N47" s="66">
        <f>SUMIFS(Drivers!AJ$10:AJ$66,PLAcctIDs,$J47)</f>
        <v>0</v>
      </c>
      <c r="O47" s="66">
        <f>SUMIFS(Drivers!AK$10:AK$66,PLAcctIDs,$J47)</f>
        <v>0</v>
      </c>
      <c r="P47" s="66">
        <f>SUMIFS(Drivers!AL$10:AL$66,PLAcctIDs,$J47)</f>
        <v>0</v>
      </c>
      <c r="Q47" s="66">
        <f>SUMIFS(Drivers!AM$10:AM$66,PLAcctIDs,$J47)</f>
        <v>0</v>
      </c>
      <c r="R47" s="66">
        <f>SUMIFS(Drivers!AN$10:AN$66,PLAcctIDs,$J47)</f>
        <v>0</v>
      </c>
      <c r="S47" s="66">
        <f>SUMIFS(Drivers!AO$10:AO$66,PLAcctIDs,$J47)</f>
        <v>0</v>
      </c>
      <c r="T47" s="66">
        <f>SUMIFS(Drivers!AP$10:AP$66,PLAcctIDs,$J47)</f>
        <v>0</v>
      </c>
      <c r="U47" s="66">
        <f>SUMIFS(Drivers!AQ$10:AQ$66,PLAcctIDs,$J47)</f>
        <v>0</v>
      </c>
      <c r="V47" s="66">
        <f>SUMIFS(Drivers!AR$10:AR$66,PLAcctIDs,$J47)</f>
        <v>0</v>
      </c>
      <c r="W47" s="66">
        <f>SUMIFS(Drivers!AS$10:AS$66,PLAcctIDs,$J47)</f>
        <v>0</v>
      </c>
      <c r="X47" s="66">
        <f>SUMIFS(Drivers!AT$10:AT$66,PLAcctIDs,$J47)</f>
        <v>0</v>
      </c>
      <c r="Y47" s="66">
        <f>SUMIFS(Drivers!AU$10:AU$66,PLAcctIDs,$J47)</f>
        <v>0</v>
      </c>
      <c r="Z47" s="66">
        <f>SUMIFS(Drivers!AV$10:AV$66,PLAcctIDs,$J47)</f>
        <v>0</v>
      </c>
      <c r="AA47" s="66">
        <f>SUMIFS(Drivers!AW$10:AW$66,PLAcctIDs,$J47)</f>
        <v>0</v>
      </c>
      <c r="AB47" s="66">
        <f>SUMIFS(Drivers!AX$10:AX$66,PLAcctIDs,$J47)</f>
        <v>0</v>
      </c>
      <c r="AC47" s="66">
        <f>SUMIFS(Drivers!AY$10:AY$66,PLAcctIDs,$J47)</f>
        <v>0</v>
      </c>
      <c r="AD47" s="66">
        <f>SUMIFS(Drivers!AZ$10:AZ$66,PLAcctIDs,$J47)</f>
        <v>0</v>
      </c>
      <c r="AE47" s="66">
        <f>SUMIFS(Drivers!BA$10:BA$66,PLAcctIDs,$J47)</f>
        <v>0</v>
      </c>
      <c r="AF47" s="66">
        <f>SUMIFS(Drivers!BB$10:BB$66,PLAcctIDs,$J47)</f>
        <v>-1000</v>
      </c>
      <c r="AG47" s="66">
        <f>SUMIFS(Drivers!BC$10:BC$66,PLAcctIDs,$J47)</f>
        <v>0</v>
      </c>
      <c r="AH47" s="66">
        <f>SUMIFS(Drivers!BD$10:BD$66,PLAcctIDs,$J47)</f>
        <v>0</v>
      </c>
      <c r="AI47" s="66">
        <f>SUMIFS(Drivers!BE$10:BE$66,PLAcctIDs,$J47)</f>
        <v>-175</v>
      </c>
      <c r="AJ47" s="66">
        <f>SUMIFS(Drivers!BF$10:BF$66,PLAcctIDs,$J47)</f>
        <v>-205.62500000000003</v>
      </c>
      <c r="AK47" s="66">
        <f>SUMIFS(Drivers!BG$10:BG$66,PLAcctIDs,$J47)</f>
        <v>-241.609375</v>
      </c>
      <c r="AL47" s="66">
        <f>SUMIFS(Drivers!BH$10:BH$66,PLAcctIDs,$J47)</f>
        <v>-283.89101562499997</v>
      </c>
      <c r="AM47" s="66">
        <f>SUMIFS(Drivers!BI$10:BI$66,PLAcctIDs,$J47)</f>
        <v>-158.57194335937501</v>
      </c>
      <c r="AN47" s="66">
        <f>SUMIFS(Drivers!BJ$10:BJ$66,PLAcctIDs,$J47)</f>
        <v>-186.3220334472656</v>
      </c>
      <c r="AO47" s="66">
        <f>SUMIFS(Drivers!BK$10:BK$66,PLAcctIDs,$J47)</f>
        <v>-218.92838930053708</v>
      </c>
      <c r="AP47" s="66">
        <f>SUMIFS(Drivers!BL$10:BL$66,PLAcctIDs,$J47)</f>
        <v>-226.61585742813108</v>
      </c>
      <c r="AQ47" s="66">
        <f>SUMIFS(Drivers!BM$10:BM$66,PLAcctIDs,$J47)</f>
        <v>-230.289257478054</v>
      </c>
      <c r="AR47" s="66">
        <f>SUMIFS(Drivers!BN$10:BN$66,PLAcctIDs,$J47)</f>
        <v>-228.30823691171349</v>
      </c>
      <c r="AS47" s="66">
        <f>SUMIFS(Drivers!BO$10:BO$66,PLAcctIDs,$J47)</f>
        <v>-218.58125063688837</v>
      </c>
      <c r="AT47" s="66">
        <f>SUMIFS(Drivers!BP$10:BP$66,PLAcctIDs,$J47)</f>
        <v>-229.08287941045319</v>
      </c>
      <c r="AU47" s="66">
        <f>SUMIFS(Drivers!BQ$10:BQ$66,PLAcctIDs,$J47)</f>
        <v>-236.56602745401105</v>
      </c>
      <c r="AV47" s="66">
        <f>SUMIFS(Drivers!BR$10:BR$66,PLAcctIDs,$J47)</f>
        <v>-239.65261413086893</v>
      </c>
      <c r="AW47" s="66">
        <f>SUMIFS(Drivers!BS$10:BS$66,PLAcctIDs,$J47)</f>
        <v>-241.93404655384805</v>
      </c>
    </row>
    <row r="48" spans="2:49" ht="18.75" customHeight="1" outlineLevel="1">
      <c r="B48" s="22"/>
      <c r="C48" s="67"/>
      <c r="D48" s="26" t="s">
        <v>168</v>
      </c>
      <c r="E48" s="14" t="str">
        <f>IFERROR(INDEX(PBC_ACCOUNT_LIST[Drivers Section],MATCH('Data Summary'!J48,PBC_ACCOUNT_LIST[Id],0)),"")</f>
        <v>Opex</v>
      </c>
      <c r="F48" s="14" t="str">
        <f>IFERROR(INDEX(PBC_ACCOUNT_LIST[Summary Grouping],MATCH('Data Summary'!J48,PBC_ACCOUNT_LIST[Id],0)),"")</f>
        <v>Marketing &amp; Advertising</v>
      </c>
      <c r="G48" s="15"/>
      <c r="H48" s="15">
        <f>IFERROR(INDEX(PBC_ACCOUNT_LIST[Cash Flow Section],MATCH('Data Summary'!J48,PBC_ACCOUNT_LIST[Id],0)),"")</f>
        <v>0</v>
      </c>
      <c r="I48" s="14"/>
      <c r="J48" s="14">
        <v>200</v>
      </c>
      <c r="M48" s="66">
        <f>SUMIFS(Drivers!AI$10:AI$66,PLAcctIDs,$J48)</f>
        <v>15816</v>
      </c>
      <c r="N48" s="66">
        <f>SUMIFS(Drivers!AJ$10:AJ$66,PLAcctIDs,$J48)</f>
        <v>11988</v>
      </c>
      <c r="O48" s="66">
        <f>SUMIFS(Drivers!AK$10:AK$66,PLAcctIDs,$J48)</f>
        <v>16607</v>
      </c>
      <c r="P48" s="66">
        <f>SUMIFS(Drivers!AL$10:AL$66,PLAcctIDs,$J48)</f>
        <v>12587</v>
      </c>
      <c r="Q48" s="66">
        <f>SUMIFS(Drivers!AM$10:AM$66,PLAcctIDs,$J48)</f>
        <v>17437</v>
      </c>
      <c r="R48" s="66">
        <f>SUMIFS(Drivers!AN$10:AN$66,PLAcctIDs,$J48)</f>
        <v>13216</v>
      </c>
      <c r="S48" s="66">
        <f>SUMIFS(Drivers!AO$10:AO$66,PLAcctIDs,$J48)</f>
        <v>18309</v>
      </c>
      <c r="T48" s="66">
        <f>SUMIFS(Drivers!AP$10:AP$66,PLAcctIDs,$J48)</f>
        <v>19224</v>
      </c>
      <c r="U48" s="66">
        <f>SUMIFS(Drivers!AQ$10:AQ$66,PLAcctIDs,$J48)</f>
        <v>19224</v>
      </c>
      <c r="V48" s="66">
        <f>SUMIFS(Drivers!AR$10:AR$66,PLAcctIDs,$J48)</f>
        <v>20186</v>
      </c>
      <c r="W48" s="66">
        <f>SUMIFS(Drivers!AS$10:AS$66,PLAcctIDs,$J48)</f>
        <v>20186</v>
      </c>
      <c r="X48" s="66">
        <f>SUMIFS(Drivers!AT$10:AT$66,PLAcctIDs,$J48)</f>
        <v>21195</v>
      </c>
      <c r="Y48" s="66">
        <f>SUMIFS(Drivers!AU$10:AU$66,PLAcctIDs,$J48)</f>
        <v>22255</v>
      </c>
      <c r="Z48" s="66">
        <f>SUMIFS(Drivers!AV$10:AV$66,PLAcctIDs,$J48)</f>
        <v>23367.37</v>
      </c>
      <c r="AA48" s="66">
        <f>SUMIFS(Drivers!AW$10:AW$66,PLAcctIDs,$J48)</f>
        <v>24536</v>
      </c>
      <c r="AB48" s="66">
        <f>SUMIFS(Drivers!AX$10:AX$66,PLAcctIDs,$J48)</f>
        <v>25763</v>
      </c>
      <c r="AC48" s="66">
        <f>SUMIFS(Drivers!AY$10:AY$66,PLAcctIDs,$J48)</f>
        <v>27051</v>
      </c>
      <c r="AD48" s="66">
        <f>SUMIFS(Drivers!AZ$10:AZ$66,PLAcctIDs,$J48)</f>
        <v>28403</v>
      </c>
      <c r="AE48" s="66">
        <f>SUMIFS(Drivers!BA$10:BA$66,PLAcctIDs,$J48)</f>
        <v>29823.35</v>
      </c>
      <c r="AF48" s="66">
        <f>SUMIFS(Drivers!BB$10:BB$66,PLAcctIDs,$J48)</f>
        <v>31314.51</v>
      </c>
      <c r="AG48" s="66">
        <f>SUMIFS(Drivers!BC$10:BC$66,PLAcctIDs,$J48)</f>
        <v>32880.239999999998</v>
      </c>
      <c r="AH48" s="66">
        <f>SUMIFS(Drivers!BD$10:BD$66,PLAcctIDs,$J48)</f>
        <v>34524.25</v>
      </c>
      <c r="AI48" s="66">
        <f>SUMIFS(Drivers!BE$10:BE$66,PLAcctIDs,$J48)</f>
        <v>32199.361250000002</v>
      </c>
      <c r="AJ48" s="66">
        <f>SUMIFS(Drivers!BF$10:BF$66,PLAcctIDs,$J48)</f>
        <v>33100.324468750005</v>
      </c>
      <c r="AK48" s="66">
        <f>SUMIFS(Drivers!BG$10:BG$66,PLAcctIDs,$J48)</f>
        <v>33922.356250781253</v>
      </c>
      <c r="AL48" s="66">
        <f>SUMIFS(Drivers!BH$10:BH$66,PLAcctIDs,$J48)</f>
        <v>34639.68234466797</v>
      </c>
      <c r="AM48" s="66">
        <f>SUMIFS(Drivers!BI$10:BI$66,PLAcctIDs,$J48)</f>
        <v>35221.587504984862</v>
      </c>
      <c r="AN48" s="66">
        <f>SUMIFS(Drivers!BJ$10:BJ$66,PLAcctIDs,$J48)</f>
        <v>35631.323318357216</v>
      </c>
      <c r="AO48" s="66">
        <f>SUMIFS(Drivers!BK$10:BK$66,PLAcctIDs,$J48)</f>
        <v>35825.061149069734</v>
      </c>
      <c r="AP48" s="66">
        <f>SUMIFS(Drivers!BL$10:BL$66,PLAcctIDs,$J48)</f>
        <v>36459.558631406937</v>
      </c>
      <c r="AQ48" s="66">
        <f>SUMIFS(Drivers!BM$10:BM$66,PLAcctIDs,$J48)</f>
        <v>37047.424609871894</v>
      </c>
      <c r="AR48" s="66">
        <f>SUMIFS(Drivers!BN$10:BN$66,PLAcctIDs,$J48)</f>
        <v>37594.311572712766</v>
      </c>
      <c r="AS48" s="66">
        <f>SUMIFS(Drivers!BO$10:BO$66,PLAcctIDs,$J48)</f>
        <v>38111.371687620602</v>
      </c>
      <c r="AT48" s="66">
        <f>SUMIFS(Drivers!BP$10:BP$66,PLAcctIDs,$J48)</f>
        <v>38617.083919581848</v>
      </c>
      <c r="AU48" s="66">
        <f>SUMIFS(Drivers!BQ$10:BQ$66,PLAcctIDs,$J48)</f>
        <v>39139.592024796162</v>
      </c>
      <c r="AV48" s="66">
        <f>SUMIFS(Drivers!BR$10:BR$66,PLAcctIDs,$J48)</f>
        <v>39719.634928048283</v>
      </c>
      <c r="AW48" s="66">
        <f>SUMIFS(Drivers!BS$10:BS$66,PLAcctIDs,$J48)</f>
        <v>40290.148279960529</v>
      </c>
    </row>
    <row r="49" spans="2:49" ht="18.75" customHeight="1" outlineLevel="1">
      <c r="B49" s="22"/>
      <c r="C49" s="67"/>
      <c r="D49" s="26" t="s">
        <v>169</v>
      </c>
      <c r="E49" s="14" t="str">
        <f>IFERROR(INDEX(PBC_ACCOUNT_LIST[Drivers Section],MATCH('Data Summary'!J49,PBC_ACCOUNT_LIST[Id],0)),"")</f>
        <v>Opex</v>
      </c>
      <c r="F49" s="14" t="str">
        <f>IFERROR(INDEX(PBC_ACCOUNT_LIST[Summary Grouping],MATCH('Data Summary'!J49,PBC_ACCOUNT_LIST[Id],0)),"")</f>
        <v>Office &amp; Other G&amp;A</v>
      </c>
      <c r="G49" s="15"/>
      <c r="H49" s="15">
        <f>IFERROR(INDEX(PBC_ACCOUNT_LIST[Cash Flow Section],MATCH('Data Summary'!J49,PBC_ACCOUNT_LIST[Id],0)),"")</f>
        <v>0</v>
      </c>
      <c r="I49" s="14"/>
      <c r="J49" s="14">
        <v>166</v>
      </c>
      <c r="M49" s="66">
        <f>SUMIFS(Drivers!AI$10:AI$66,PLAcctIDs,$J49)</f>
        <v>1088.5</v>
      </c>
      <c r="N49" s="66">
        <f>SUMIFS(Drivers!AJ$10:AJ$66,PLAcctIDs,$J49)</f>
        <v>863.5</v>
      </c>
      <c r="O49" s="66">
        <f>SUMIFS(Drivers!AK$10:AK$66,PLAcctIDs,$J49)</f>
        <v>1143</v>
      </c>
      <c r="P49" s="66">
        <f>SUMIFS(Drivers!AL$10:AL$66,PLAcctIDs,$J49)</f>
        <v>906</v>
      </c>
      <c r="Q49" s="66">
        <f>SUMIFS(Drivers!AM$10:AM$66,PLAcctIDs,$J49)</f>
        <v>1200</v>
      </c>
      <c r="R49" s="66">
        <f>SUMIFS(Drivers!AN$10:AN$66,PLAcctIDs,$J49)</f>
        <v>952</v>
      </c>
      <c r="S49" s="66">
        <f>SUMIFS(Drivers!AO$10:AO$66,PLAcctIDs,$J49)</f>
        <v>1260.5</v>
      </c>
      <c r="T49" s="66">
        <f>SUMIFS(Drivers!AP$10:AP$66,PLAcctIDs,$J49)</f>
        <v>1323</v>
      </c>
      <c r="U49" s="66">
        <f>SUMIFS(Drivers!AQ$10:AQ$66,PLAcctIDs,$J49)</f>
        <v>1322.5</v>
      </c>
      <c r="V49" s="66">
        <f>SUMIFS(Drivers!AR$10:AR$66,PLAcctIDs,$J49)</f>
        <v>1389</v>
      </c>
      <c r="W49" s="66">
        <f>SUMIFS(Drivers!AS$10:AS$66,PLAcctIDs,$J49)</f>
        <v>1389.33</v>
      </c>
      <c r="X49" s="66">
        <f>SUMIFS(Drivers!AT$10:AT$66,PLAcctIDs,$J49)</f>
        <v>1459.33</v>
      </c>
      <c r="Y49" s="66">
        <f>SUMIFS(Drivers!AU$10:AU$66,PLAcctIDs,$J49)</f>
        <v>1529.5</v>
      </c>
      <c r="Z49" s="66">
        <f>SUMIFS(Drivers!AV$10:AV$66,PLAcctIDs,$J49)</f>
        <v>1608.28</v>
      </c>
      <c r="AA49" s="66">
        <f>SUMIFS(Drivers!AW$10:AW$66,PLAcctIDs,$J49)</f>
        <v>1691</v>
      </c>
      <c r="AB49" s="66">
        <f>SUMIFS(Drivers!AX$10:AX$66,PLAcctIDs,$J49)</f>
        <v>1773</v>
      </c>
      <c r="AC49" s="66">
        <f>SUMIFS(Drivers!AY$10:AY$66,PLAcctIDs,$J49)</f>
        <v>1862</v>
      </c>
      <c r="AD49" s="66">
        <f>SUMIFS(Drivers!AZ$10:AZ$66,PLAcctIDs,$J49)</f>
        <v>1955</v>
      </c>
      <c r="AE49" s="66">
        <f>SUMIFS(Drivers!BA$10:BA$66,PLAcctIDs,$J49)</f>
        <v>2052.62</v>
      </c>
      <c r="AF49" s="66">
        <f>SUMIFS(Drivers!BB$10:BB$66,PLAcctIDs,$J49)</f>
        <v>2155.25</v>
      </c>
      <c r="AG49" s="66">
        <f>SUMIFS(Drivers!BC$10:BC$66,PLAcctIDs,$J49)</f>
        <v>2263.0100000000002</v>
      </c>
      <c r="AH49" s="66">
        <f>SUMIFS(Drivers!BD$10:BD$66,PLAcctIDs,$J49)</f>
        <v>2376.16</v>
      </c>
      <c r="AI49" s="66">
        <f>SUMIFS(Drivers!BE$10:BE$66,PLAcctIDs,$J49)</f>
        <v>2216.2070000000003</v>
      </c>
      <c r="AJ49" s="66">
        <f>SUMIFS(Drivers!BF$10:BF$66,PLAcctIDs,$J49)</f>
        <v>2278.193225</v>
      </c>
      <c r="AK49" s="66">
        <f>SUMIFS(Drivers!BG$10:BG$66,PLAcctIDs,$J49)</f>
        <v>2334.7520393750005</v>
      </c>
      <c r="AL49" s="66">
        <f>SUMIFS(Drivers!BH$10:BH$66,PLAcctIDs,$J49)</f>
        <v>2384.1251462656251</v>
      </c>
      <c r="AM49" s="66">
        <f>SUMIFS(Drivers!BI$10:BI$66,PLAcctIDs,$J49)</f>
        <v>2424.1782968621096</v>
      </c>
      <c r="AN49" s="66">
        <f>SUMIFS(Drivers!BJ$10:BJ$66,PLAcctIDs,$J49)</f>
        <v>2452.3827488129787</v>
      </c>
      <c r="AO49" s="66">
        <f>SUMIFS(Drivers!BK$10:BK$66,PLAcctIDs,$J49)</f>
        <v>2465.72172985525</v>
      </c>
      <c r="AP49" s="66">
        <f>SUMIFS(Drivers!BL$10:BL$66,PLAcctIDs,$J49)</f>
        <v>2509.3868075799192</v>
      </c>
      <c r="AQ49" s="66">
        <f>SUMIFS(Drivers!BM$10:BM$66,PLAcctIDs,$J49)</f>
        <v>2549.8456845314045</v>
      </c>
      <c r="AR49" s="66">
        <f>SUMIFS(Drivers!BN$10:BN$66,PLAcctIDs,$J49)</f>
        <v>2587.4870724337752</v>
      </c>
      <c r="AS49" s="66">
        <f>SUMIFS(Drivers!BO$10:BO$66,PLAcctIDs,$J49)</f>
        <v>2623.075409513202</v>
      </c>
      <c r="AT49" s="66">
        <f>SUMIFS(Drivers!BP$10:BP$66,PLAcctIDs,$J49)</f>
        <v>2657.8824042271426</v>
      </c>
      <c r="AU49" s="66">
        <f>SUMIFS(Drivers!BQ$10:BQ$66,PLAcctIDs,$J49)</f>
        <v>2693.8448439246213</v>
      </c>
      <c r="AV49" s="66">
        <f>SUMIFS(Drivers!BR$10:BR$66,PLAcctIDs,$J49)</f>
        <v>2733.7663888867614</v>
      </c>
      <c r="AW49" s="66">
        <f>SUMIFS(Drivers!BS$10:BS$66,PLAcctIDs,$J49)</f>
        <v>2773.0328156154587</v>
      </c>
    </row>
    <row r="50" spans="2:49" ht="18.75" customHeight="1" outlineLevel="1">
      <c r="B50" s="22"/>
      <c r="C50" s="67"/>
      <c r="D50" s="26" t="s">
        <v>170</v>
      </c>
      <c r="E50" s="14" t="str">
        <f>IFERROR(INDEX(PBC_ACCOUNT_LIST[Drivers Section],MATCH('Data Summary'!J50,PBC_ACCOUNT_LIST[Id],0)),"")</f>
        <v>Opex</v>
      </c>
      <c r="F50" s="14" t="str">
        <f>IFERROR(INDEX(PBC_ACCOUNT_LIST[Summary Grouping],MATCH('Data Summary'!J50,PBC_ACCOUNT_LIST[Id],0)),"")</f>
        <v>Marketing &amp; Advertising</v>
      </c>
      <c r="G50" s="15"/>
      <c r="H50" s="15">
        <f>IFERROR(INDEX(PBC_ACCOUNT_LIST[Cash Flow Section],MATCH('Data Summary'!J50,PBC_ACCOUNT_LIST[Id],0)),"")</f>
        <v>0</v>
      </c>
      <c r="I50" s="14"/>
      <c r="J50" s="14">
        <v>167</v>
      </c>
      <c r="M50" s="66">
        <f>SUMIFS(Drivers!AI$10:AI$66,PLAcctIDs,$J50)</f>
        <v>26158.5</v>
      </c>
      <c r="N50" s="66">
        <f>SUMIFS(Drivers!AJ$10:AJ$66,PLAcctIDs,$J50)</f>
        <v>15999</v>
      </c>
      <c r="O50" s="66">
        <f>SUMIFS(Drivers!AK$10:AK$66,PLAcctIDs,$J50)</f>
        <v>27467</v>
      </c>
      <c r="P50" s="66">
        <f>SUMIFS(Drivers!AL$10:AL$66,PLAcctIDs,$J50)</f>
        <v>16799</v>
      </c>
      <c r="Q50" s="66">
        <f>SUMIFS(Drivers!AM$10:AM$66,PLAcctIDs,$J50)</f>
        <v>28840</v>
      </c>
      <c r="R50" s="66">
        <f>SUMIFS(Drivers!AN$10:AN$66,PLAcctIDs,$J50)</f>
        <v>17639</v>
      </c>
      <c r="S50" s="66">
        <f>SUMIFS(Drivers!AO$10:AO$66,PLAcctIDs,$J50)</f>
        <v>30282</v>
      </c>
      <c r="T50" s="66">
        <f>SUMIFS(Drivers!AP$10:AP$66,PLAcctIDs,$J50)</f>
        <v>31796</v>
      </c>
      <c r="U50" s="66">
        <f>SUMIFS(Drivers!AQ$10:AQ$66,PLAcctIDs,$J50)</f>
        <v>31796</v>
      </c>
      <c r="V50" s="66">
        <f>SUMIFS(Drivers!AR$10:AR$66,PLAcctIDs,$J50)</f>
        <v>33386</v>
      </c>
      <c r="W50" s="66">
        <f>SUMIFS(Drivers!AS$10:AS$66,PLAcctIDs,$J50)</f>
        <v>33386</v>
      </c>
      <c r="X50" s="66">
        <f>SUMIFS(Drivers!AT$10:AT$66,PLAcctIDs,$J50)</f>
        <v>35055</v>
      </c>
      <c r="Y50" s="66">
        <f>SUMIFS(Drivers!AU$10:AU$66,PLAcctIDs,$J50)</f>
        <v>36808</v>
      </c>
      <c r="Z50" s="66">
        <f>SUMIFS(Drivers!AV$10:AV$66,PLAcctIDs,$J50)</f>
        <v>38648.5</v>
      </c>
      <c r="AA50" s="66">
        <f>SUMIFS(Drivers!AW$10:AW$66,PLAcctIDs,$J50)</f>
        <v>40581</v>
      </c>
      <c r="AB50" s="66">
        <f>SUMIFS(Drivers!AX$10:AX$66,PLAcctIDs,$J50)</f>
        <v>42610</v>
      </c>
      <c r="AC50" s="66">
        <f>SUMIFS(Drivers!AY$10:AY$66,PLAcctIDs,$J50)</f>
        <v>44740</v>
      </c>
      <c r="AD50" s="66">
        <f>SUMIFS(Drivers!AZ$10:AZ$66,PLAcctIDs,$J50)</f>
        <v>46977</v>
      </c>
      <c r="AE50" s="66">
        <f>SUMIFS(Drivers!BA$10:BA$66,PLAcctIDs,$J50)</f>
        <v>49326.37</v>
      </c>
      <c r="AF50" s="66">
        <f>SUMIFS(Drivers!BB$10:BB$66,PLAcctIDs,$J50)</f>
        <v>51792.69</v>
      </c>
      <c r="AG50" s="66">
        <f>SUMIFS(Drivers!BC$10:BC$66,PLAcctIDs,$J50)</f>
        <v>54382.33</v>
      </c>
      <c r="AH50" s="66">
        <f>SUMIFS(Drivers!BD$10:BD$66,PLAcctIDs,$J50)</f>
        <v>57101.440000000002</v>
      </c>
      <c r="AI50" s="66">
        <f>SUMIFS(Drivers!BE$10:BE$66,PLAcctIDs,$J50)</f>
        <v>53255.970250000006</v>
      </c>
      <c r="AJ50" s="66">
        <f>SUMIFS(Drivers!BF$10:BF$66,PLAcctIDs,$J50)</f>
        <v>54746.265043750005</v>
      </c>
      <c r="AK50" s="66">
        <f>SUMIFS(Drivers!BG$10:BG$66,PLAcctIDs,$J50)</f>
        <v>56105.886426406258</v>
      </c>
      <c r="AL50" s="66">
        <f>SUMIFS(Drivers!BH$10:BH$66,PLAcctIDs,$J50)</f>
        <v>57292.301801027352</v>
      </c>
      <c r="AM50" s="66">
        <f>SUMIFS(Drivers!BI$10:BI$66,PLAcctIDs,$J50)</f>
        <v>58254.733866207127</v>
      </c>
      <c r="AN50" s="66">
        <f>SUMIFS(Drivers!BJ$10:BJ$66,PLAcctIDs,$J50)</f>
        <v>58932.404542793382</v>
      </c>
      <c r="AO50" s="66">
        <f>SUMIFS(Drivers!BK$10:BK$66,PLAcctIDs,$J50)</f>
        <v>59252.823337782225</v>
      </c>
      <c r="AP50" s="66">
        <f>SUMIFS(Drivers!BL$10:BL$66,PLAcctIDs,$J50)</f>
        <v>60302.272628144114</v>
      </c>
      <c r="AQ50" s="66">
        <f>SUMIFS(Drivers!BM$10:BM$66,PLAcctIDs,$J50)</f>
        <v>61274.573955413078</v>
      </c>
      <c r="AR50" s="66">
        <f>SUMIFS(Drivers!BN$10:BN$66,PLAcctIDs,$J50)</f>
        <v>62179.094272989278</v>
      </c>
      <c r="AS50" s="66">
        <f>SUMIFS(Drivers!BO$10:BO$66,PLAcctIDs,$J50)</f>
        <v>63034.282955582603</v>
      </c>
      <c r="AT50" s="66">
        <f>SUMIFS(Drivers!BP$10:BP$66,PLAcctIDs,$J50)</f>
        <v>63870.704046223313</v>
      </c>
      <c r="AU50" s="66">
        <f>SUMIFS(Drivers!BQ$10:BQ$66,PLAcctIDs,$J50)</f>
        <v>64734.906459323553</v>
      </c>
      <c r="AV50" s="66">
        <f>SUMIFS(Drivers!BR$10:BR$66,PLAcctIDs,$J50)</f>
        <v>65694.271005593298</v>
      </c>
      <c r="AW50" s="66">
        <f>SUMIFS(Drivers!BS$10:BS$66,PLAcctIDs,$J50)</f>
        <v>66637.870721646905</v>
      </c>
    </row>
    <row r="51" spans="2:49" ht="18.75" customHeight="1" outlineLevel="1">
      <c r="B51" s="22"/>
      <c r="C51" s="67"/>
      <c r="D51" s="26" t="s">
        <v>171</v>
      </c>
      <c r="E51" s="14" t="str">
        <f>IFERROR(INDEX(PBC_ACCOUNT_LIST[Drivers Section],MATCH('Data Summary'!J51,PBC_ACCOUNT_LIST[Id],0)),"")</f>
        <v>Opex</v>
      </c>
      <c r="F51" s="14" t="str">
        <f>IFERROR(INDEX(PBC_ACCOUNT_LIST[Summary Grouping],MATCH('Data Summary'!J51,PBC_ACCOUNT_LIST[Id],0)),"")</f>
        <v>Office &amp; Other G&amp;A</v>
      </c>
      <c r="G51" s="15"/>
      <c r="H51" s="15">
        <f>IFERROR(INDEX(PBC_ACCOUNT_LIST[Cash Flow Section],MATCH('Data Summary'!J51,PBC_ACCOUNT_LIST[Id],0)),"")</f>
        <v>0</v>
      </c>
      <c r="I51" s="14"/>
      <c r="J51" s="14">
        <v>168</v>
      </c>
      <c r="M51" s="66">
        <f>SUMIFS(Drivers!AI$10:AI$66,PLAcctIDs,$J51)</f>
        <v>25029</v>
      </c>
      <c r="N51" s="66">
        <f>SUMIFS(Drivers!AJ$10:AJ$66,PLAcctIDs,$J51)</f>
        <v>21246</v>
      </c>
      <c r="O51" s="66">
        <f>SUMIFS(Drivers!AK$10:AK$66,PLAcctIDs,$J51)</f>
        <v>26280</v>
      </c>
      <c r="P51" s="66">
        <f>SUMIFS(Drivers!AL$10:AL$66,PLAcctIDs,$J51)</f>
        <v>22308</v>
      </c>
      <c r="Q51" s="66">
        <f>SUMIFS(Drivers!AM$10:AM$66,PLAcctIDs,$J51)</f>
        <v>27594</v>
      </c>
      <c r="R51" s="66">
        <f>SUMIFS(Drivers!AN$10:AN$66,PLAcctIDs,$J51)</f>
        <v>23424</v>
      </c>
      <c r="S51" s="66">
        <f>SUMIFS(Drivers!AO$10:AO$66,PLAcctIDs,$J51)</f>
        <v>28974</v>
      </c>
      <c r="T51" s="66">
        <f>SUMIFS(Drivers!AP$10:AP$66,PLAcctIDs,$J51)</f>
        <v>30423</v>
      </c>
      <c r="U51" s="66">
        <f>SUMIFS(Drivers!AQ$10:AQ$66,PLAcctIDs,$J51)</f>
        <v>30423</v>
      </c>
      <c r="V51" s="66">
        <f>SUMIFS(Drivers!AR$10:AR$66,PLAcctIDs,$J51)</f>
        <v>31944</v>
      </c>
      <c r="W51" s="66">
        <f>SUMIFS(Drivers!AS$10:AS$66,PLAcctIDs,$J51)</f>
        <v>31944</v>
      </c>
      <c r="X51" s="66">
        <f>SUMIFS(Drivers!AT$10:AT$66,PLAcctIDs,$J51)</f>
        <v>33541</v>
      </c>
      <c r="Y51" s="66">
        <f>SUMIFS(Drivers!AU$10:AU$66,PLAcctIDs,$J51)</f>
        <v>35218</v>
      </c>
      <c r="Z51" s="66">
        <f>SUMIFS(Drivers!AV$10:AV$66,PLAcctIDs,$J51)</f>
        <v>36979.269999999997</v>
      </c>
      <c r="AA51" s="66">
        <f>SUMIFS(Drivers!AW$10:AW$66,PLAcctIDs,$J51)</f>
        <v>38828</v>
      </c>
      <c r="AB51" s="66">
        <f>SUMIFS(Drivers!AX$10:AX$66,PLAcctIDs,$J51)</f>
        <v>40770</v>
      </c>
      <c r="AC51" s="66">
        <f>SUMIFS(Drivers!AY$10:AY$66,PLAcctIDs,$J51)</f>
        <v>42808</v>
      </c>
      <c r="AD51" s="66">
        <f>SUMIFS(Drivers!AZ$10:AZ$66,PLAcctIDs,$J51)</f>
        <v>44949</v>
      </c>
      <c r="AE51" s="66">
        <f>SUMIFS(Drivers!BA$10:BA$66,PLAcctIDs,$J51)</f>
        <v>47195.96</v>
      </c>
      <c r="AF51" s="66">
        <f>SUMIFS(Drivers!BB$10:BB$66,PLAcctIDs,$J51)</f>
        <v>49555.75</v>
      </c>
      <c r="AG51" s="66">
        <f>SUMIFS(Drivers!BC$10:BC$66,PLAcctIDs,$J51)</f>
        <v>52033.54</v>
      </c>
      <c r="AH51" s="66">
        <f>SUMIFS(Drivers!BD$10:BD$66,PLAcctIDs,$J51)</f>
        <v>54635.22</v>
      </c>
      <c r="AI51" s="66">
        <f>SUMIFS(Drivers!BE$10:BE$66,PLAcctIDs,$J51)</f>
        <v>50956.057249999998</v>
      </c>
      <c r="AJ51" s="66">
        <f>SUMIFS(Drivers!BF$10:BF$66,PLAcctIDs,$J51)</f>
        <v>52381.967268749999</v>
      </c>
      <c r="AK51" s="66">
        <f>SUMIFS(Drivers!BG$10:BG$66,PLAcctIDs,$J51)</f>
        <v>53682.736540781254</v>
      </c>
      <c r="AL51" s="66">
        <f>SUMIFS(Drivers!BH$10:BH$66,PLAcctIDs,$J51)</f>
        <v>54817.922435417982</v>
      </c>
      <c r="AM51" s="66">
        <f>SUMIFS(Drivers!BI$10:BI$66,PLAcctIDs,$J51)</f>
        <v>55738.802611616127</v>
      </c>
      <c r="AN51" s="66">
        <f>SUMIFS(Drivers!BJ$10:BJ$66,PLAcctIDs,$J51)</f>
        <v>56387.223568648944</v>
      </c>
      <c r="AO51" s="66">
        <f>SUMIFS(Drivers!BK$10:BK$66,PLAcctIDs,$J51)</f>
        <v>56693.824193162494</v>
      </c>
      <c r="AP51" s="66">
        <f>SUMIFS(Drivers!BL$10:BL$66,PLAcctIDs,$J51)</f>
        <v>57697.93340821594</v>
      </c>
      <c r="AQ51" s="66">
        <f>SUMIFS(Drivers!BM$10:BM$66,PLAcctIDs,$J51)</f>
        <v>58628.227482622489</v>
      </c>
      <c r="AR51" s="66">
        <f>SUMIFS(Drivers!BN$10:BN$66,PLAcctIDs,$J51)</f>
        <v>59493.688397444705</v>
      </c>
      <c r="AS51" s="66">
        <f>SUMIFS(Drivers!BO$10:BO$66,PLAcctIDs,$J51)</f>
        <v>60311.947440799377</v>
      </c>
      <c r="AT51" s="66">
        <f>SUMIFS(Drivers!BP$10:BP$66,PLAcctIDs,$J51)</f>
        <v>61112.247785906438</v>
      </c>
      <c r="AU51" s="66">
        <f>SUMIFS(Drivers!BQ$10:BQ$66,PLAcctIDs,$J51)</f>
        <v>61939.127023926492</v>
      </c>
      <c r="AV51" s="66">
        <f>SUMIFS(Drivers!BR$10:BR$66,PLAcctIDs,$J51)</f>
        <v>62857.055019310203</v>
      </c>
      <c r="AW51" s="66">
        <f>SUMIFS(Drivers!BS$10:BS$66,PLAcctIDs,$J51)</f>
        <v>63759.901301251695</v>
      </c>
    </row>
    <row r="52" spans="2:49" ht="18.75" customHeight="1" outlineLevel="1">
      <c r="B52" s="22"/>
      <c r="C52" s="67"/>
      <c r="D52" s="26" t="s">
        <v>172</v>
      </c>
      <c r="E52" s="14" t="str">
        <f>IFERROR(INDEX(PBC_ACCOUNT_LIST[Drivers Section],MATCH('Data Summary'!J52,PBC_ACCOUNT_LIST[Id],0)),"")</f>
        <v>Opex</v>
      </c>
      <c r="F52" s="14" t="str">
        <f>IFERROR(INDEX(PBC_ACCOUNT_LIST[Summary Grouping],MATCH('Data Summary'!J52,PBC_ACCOUNT_LIST[Id],0)),"")</f>
        <v>Office &amp; Other G&amp;A</v>
      </c>
      <c r="G52" s="15"/>
      <c r="H52" s="15">
        <f>IFERROR(INDEX(PBC_ACCOUNT_LIST[Cash Flow Section],MATCH('Data Summary'!J52,PBC_ACCOUNT_LIST[Id],0)),"")</f>
        <v>0</v>
      </c>
      <c r="I52" s="14"/>
      <c r="J52" s="14">
        <v>201</v>
      </c>
      <c r="M52" s="66">
        <f>SUMIFS(Drivers!AI$10:AI$66,PLAcctIDs,$J52)</f>
        <v>972</v>
      </c>
      <c r="N52" s="66">
        <f>SUMIFS(Drivers!AJ$10:AJ$66,PLAcctIDs,$J52)</f>
        <v>533</v>
      </c>
      <c r="O52" s="66">
        <f>SUMIFS(Drivers!AK$10:AK$66,PLAcctIDs,$J52)</f>
        <v>1020</v>
      </c>
      <c r="P52" s="66">
        <f>SUMIFS(Drivers!AL$10:AL$66,PLAcctIDs,$J52)</f>
        <v>560</v>
      </c>
      <c r="Q52" s="66">
        <f>SUMIFS(Drivers!AM$10:AM$66,PLAcctIDs,$J52)</f>
        <v>1071</v>
      </c>
      <c r="R52" s="66">
        <f>SUMIFS(Drivers!AN$10:AN$66,PLAcctIDs,$J52)</f>
        <v>588</v>
      </c>
      <c r="S52" s="66">
        <f>SUMIFS(Drivers!AO$10:AO$66,PLAcctIDs,$J52)</f>
        <v>1125</v>
      </c>
      <c r="T52" s="66">
        <f>SUMIFS(Drivers!AP$10:AP$66,PLAcctIDs,$J52)</f>
        <v>1181</v>
      </c>
      <c r="U52" s="66">
        <f>SUMIFS(Drivers!AQ$10:AQ$66,PLAcctIDs,$J52)</f>
        <v>1181</v>
      </c>
      <c r="V52" s="66">
        <f>SUMIFS(Drivers!AR$10:AR$66,PLAcctIDs,$J52)</f>
        <v>1240</v>
      </c>
      <c r="W52" s="66">
        <f>SUMIFS(Drivers!AS$10:AS$66,PLAcctIDs,$J52)</f>
        <v>1240</v>
      </c>
      <c r="X52" s="66">
        <f>SUMIFS(Drivers!AT$10:AT$66,PLAcctIDs,$J52)</f>
        <v>1302</v>
      </c>
      <c r="Y52" s="66">
        <f>SUMIFS(Drivers!AU$10:AU$66,PLAcctIDs,$J52)</f>
        <v>1367</v>
      </c>
      <c r="Z52" s="66">
        <f>SUMIFS(Drivers!AV$10:AV$66,PLAcctIDs,$J52)</f>
        <v>1435.7</v>
      </c>
      <c r="AA52" s="66">
        <f>SUMIFS(Drivers!AW$10:AW$66,PLAcctIDs,$J52)</f>
        <v>1507</v>
      </c>
      <c r="AB52" s="66">
        <f>SUMIFS(Drivers!AX$10:AX$66,PLAcctIDs,$J52)</f>
        <v>1583</v>
      </c>
      <c r="AC52" s="66">
        <f>SUMIFS(Drivers!AY$10:AY$66,PLAcctIDs,$J52)</f>
        <v>1662</v>
      </c>
      <c r="AD52" s="66">
        <f>SUMIFS(Drivers!AZ$10:AZ$66,PLAcctIDs,$J52)</f>
        <v>1745</v>
      </c>
      <c r="AE52" s="66">
        <f>SUMIFS(Drivers!BA$10:BA$66,PLAcctIDs,$J52)</f>
        <v>1832.35</v>
      </c>
      <c r="AF52" s="66">
        <f>SUMIFS(Drivers!BB$10:BB$66,PLAcctIDs,$J52)</f>
        <v>1923.97</v>
      </c>
      <c r="AG52" s="66">
        <f>SUMIFS(Drivers!BC$10:BC$66,PLAcctIDs,$J52)</f>
        <v>2020.17</v>
      </c>
      <c r="AH52" s="66">
        <f>SUMIFS(Drivers!BD$10:BD$66,PLAcctIDs,$J52)</f>
        <v>2121.1799999999998</v>
      </c>
      <c r="AI52" s="66">
        <f>SUMIFS(Drivers!BE$10:BE$66,PLAcctIDs,$J52)</f>
        <v>1978.3172500000003</v>
      </c>
      <c r="AJ52" s="66">
        <f>SUMIFS(Drivers!BF$10:BF$66,PLAcctIDs,$J52)</f>
        <v>2033.6727687499999</v>
      </c>
      <c r="AK52" s="66">
        <f>SUMIFS(Drivers!BG$10:BG$66,PLAcctIDs,$J52)</f>
        <v>2084.1905032812501</v>
      </c>
      <c r="AL52" s="66">
        <f>SUMIFS(Drivers!BH$10:BH$66,PLAcctIDs,$J52)</f>
        <v>2128.2625913554689</v>
      </c>
      <c r="AM52" s="66">
        <f>SUMIFS(Drivers!BI$10:BI$66,PLAcctIDs,$J52)</f>
        <v>2164.0137948426764</v>
      </c>
      <c r="AN52" s="66">
        <f>SUMIFS(Drivers!BJ$10:BJ$66,PLAcctIDs,$J52)</f>
        <v>2189.1864589401443</v>
      </c>
      <c r="AO52" s="66">
        <f>SUMIFS(Drivers!BK$10:BK$66,PLAcctIDs,$J52)</f>
        <v>2201.0875892546696</v>
      </c>
      <c r="AP52" s="66">
        <f>SUMIFS(Drivers!BL$10:BL$66,PLAcctIDs,$J52)</f>
        <v>2240.0723986242369</v>
      </c>
      <c r="AQ52" s="66">
        <f>SUMIFS(Drivers!BM$10:BM$66,PLAcctIDs,$J52)</f>
        <v>2276.1923338522283</v>
      </c>
      <c r="AR52" s="66">
        <f>SUMIFS(Drivers!BN$10:BN$66,PLAcctIDs,$J52)</f>
        <v>2309.7926542021496</v>
      </c>
      <c r="AS52" s="66">
        <f>SUMIFS(Drivers!BO$10:BO$66,PLAcctIDs,$J52)</f>
        <v>2341.5604152003184</v>
      </c>
      <c r="AT52" s="66">
        <f>SUMIFS(Drivers!BP$10:BP$66,PLAcctIDs,$J52)</f>
        <v>2372.6310737629055</v>
      </c>
      <c r="AU52" s="66">
        <f>SUMIFS(Drivers!BQ$10:BQ$66,PLAcctIDs,$J52)</f>
        <v>2404.733881356889</v>
      </c>
      <c r="AV52" s="66">
        <f>SUMIFS(Drivers!BR$10:BR$66,PLAcctIDs,$J52)</f>
        <v>2440.3719824747777</v>
      </c>
      <c r="AW52" s="66">
        <f>SUMIFS(Drivers!BS$10:BS$66,PLAcctIDs,$J52)</f>
        <v>2475.4244096486223</v>
      </c>
    </row>
    <row r="53" spans="2:49" ht="18.75" customHeight="1" outlineLevel="1">
      <c r="B53" s="22"/>
      <c r="C53" s="67"/>
      <c r="D53" s="26" t="s">
        <v>173</v>
      </c>
      <c r="E53" s="14" t="str">
        <f>IFERROR(INDEX(PBC_ACCOUNT_LIST[Drivers Section],MATCH('Data Summary'!J53,PBC_ACCOUNT_LIST[Id],0)),"")</f>
        <v>Opex</v>
      </c>
      <c r="F53" s="14" t="str">
        <f>IFERROR(INDEX(PBC_ACCOUNT_LIST[Summary Grouping],MATCH('Data Summary'!J53,PBC_ACCOUNT_LIST[Id],0)),"")</f>
        <v>Office &amp; Other G&amp;A</v>
      </c>
      <c r="G53" s="15"/>
      <c r="H53" s="15">
        <f>IFERROR(INDEX(PBC_ACCOUNT_LIST[Cash Flow Section],MATCH('Data Summary'!J53,PBC_ACCOUNT_LIST[Id],0)),"")</f>
        <v>0</v>
      </c>
      <c r="I53" s="14"/>
      <c r="J53" s="14">
        <v>170</v>
      </c>
      <c r="M53" s="66">
        <f>SUMIFS(Drivers!AI$10:AI$66,PLAcctIDs,$J53)</f>
        <v>2123.5</v>
      </c>
      <c r="N53" s="66">
        <f>SUMIFS(Drivers!AJ$10:AJ$66,PLAcctIDs,$J53)</f>
        <v>1880</v>
      </c>
      <c r="O53" s="66">
        <f>SUMIFS(Drivers!AK$10:AK$66,PLAcctIDs,$J53)</f>
        <v>2230</v>
      </c>
      <c r="P53" s="66">
        <f>SUMIFS(Drivers!AL$10:AL$66,PLAcctIDs,$J53)</f>
        <v>1974</v>
      </c>
      <c r="Q53" s="66">
        <f>SUMIFS(Drivers!AM$10:AM$66,PLAcctIDs,$J53)</f>
        <v>2341</v>
      </c>
      <c r="R53" s="66">
        <f>SUMIFS(Drivers!AN$10:AN$66,PLAcctIDs,$J53)</f>
        <v>2073</v>
      </c>
      <c r="S53" s="66">
        <f>SUMIFS(Drivers!AO$10:AO$66,PLAcctIDs,$J53)</f>
        <v>2458</v>
      </c>
      <c r="T53" s="66">
        <f>SUMIFS(Drivers!AP$10:AP$66,PLAcctIDs,$J53)</f>
        <v>2581</v>
      </c>
      <c r="U53" s="66">
        <f>SUMIFS(Drivers!AQ$10:AQ$66,PLAcctIDs,$J53)</f>
        <v>2581</v>
      </c>
      <c r="V53" s="66">
        <f>SUMIFS(Drivers!AR$10:AR$66,PLAcctIDs,$J53)</f>
        <v>2710</v>
      </c>
      <c r="W53" s="66">
        <f>SUMIFS(Drivers!AS$10:AS$66,PLAcctIDs,$J53)</f>
        <v>2710</v>
      </c>
      <c r="X53" s="66">
        <f>SUMIFS(Drivers!AT$10:AT$66,PLAcctIDs,$J53)</f>
        <v>2846</v>
      </c>
      <c r="Y53" s="66">
        <f>SUMIFS(Drivers!AU$10:AU$66,PLAcctIDs,$J53)</f>
        <v>2988</v>
      </c>
      <c r="Z53" s="66">
        <f>SUMIFS(Drivers!AV$10:AV$66,PLAcctIDs,$J53)</f>
        <v>3137.43</v>
      </c>
      <c r="AA53" s="66">
        <f>SUMIFS(Drivers!AW$10:AW$66,PLAcctIDs,$J53)</f>
        <v>3294</v>
      </c>
      <c r="AB53" s="66">
        <f>SUMIFS(Drivers!AX$10:AX$66,PLAcctIDs,$J53)</f>
        <v>3459</v>
      </c>
      <c r="AC53" s="66">
        <f>SUMIFS(Drivers!AY$10:AY$66,PLAcctIDs,$J53)</f>
        <v>3632</v>
      </c>
      <c r="AD53" s="66">
        <f>SUMIFS(Drivers!AZ$10:AZ$66,PLAcctIDs,$J53)</f>
        <v>3814</v>
      </c>
      <c r="AE53" s="66">
        <f>SUMIFS(Drivers!BA$10:BA$66,PLAcctIDs,$J53)</f>
        <v>4004.25</v>
      </c>
      <c r="AF53" s="66">
        <f>SUMIFS(Drivers!BB$10:BB$66,PLAcctIDs,$J53)</f>
        <v>4204.46</v>
      </c>
      <c r="AG53" s="66">
        <f>SUMIFS(Drivers!BC$10:BC$66,PLAcctIDs,$J53)</f>
        <v>4414.68</v>
      </c>
      <c r="AH53" s="66">
        <f>SUMIFS(Drivers!BD$10:BD$66,PLAcctIDs,$J53)</f>
        <v>4635.41</v>
      </c>
      <c r="AI53" s="66">
        <f>SUMIFS(Drivers!BE$10:BE$66,PLAcctIDs,$J53)</f>
        <v>4323.34</v>
      </c>
      <c r="AJ53" s="66">
        <f>SUMIFS(Drivers!BF$10:BF$66,PLAcctIDs,$J53)</f>
        <v>4444.3244999999997</v>
      </c>
      <c r="AK53" s="66">
        <f>SUMIFS(Drivers!BG$10:BG$66,PLAcctIDs,$J53)</f>
        <v>4554.6312875000003</v>
      </c>
      <c r="AL53" s="66">
        <f>SUMIFS(Drivers!BH$10:BH$66,PLAcctIDs,$J53)</f>
        <v>4650.9480128125006</v>
      </c>
      <c r="AM53" s="66">
        <f>SUMIFS(Drivers!BI$10:BI$66,PLAcctIDs,$J53)</f>
        <v>4729.0834150546871</v>
      </c>
      <c r="AN53" s="66">
        <f>SUMIFS(Drivers!BJ$10:BJ$66,PLAcctIDs,$J53)</f>
        <v>4784.1040126892576</v>
      </c>
      <c r="AO53" s="66">
        <f>SUMIFS(Drivers!BK$10:BK$66,PLAcctIDs,$J53)</f>
        <v>4810.1254649098773</v>
      </c>
      <c r="AP53" s="66">
        <f>SUMIFS(Drivers!BL$10:BL$66,PLAcctIDs,$J53)</f>
        <v>4895.3129212691065</v>
      </c>
      <c r="AQ53" s="66">
        <f>SUMIFS(Drivers!BM$10:BM$66,PLAcctIDs,$J53)</f>
        <v>4974.2358949911995</v>
      </c>
      <c r="AR53" s="66">
        <f>SUMIFS(Drivers!BN$10:BN$66,PLAcctIDs,$J53)</f>
        <v>5047.6667013021597</v>
      </c>
      <c r="AS53" s="66">
        <f>SUMIFS(Drivers!BO$10:BO$66,PLAcctIDs,$J53)</f>
        <v>5117.0924717878506</v>
      </c>
      <c r="AT53" s="66">
        <f>SUMIFS(Drivers!BP$10:BP$66,PLAcctIDs,$J53)</f>
        <v>5184.994056716153</v>
      </c>
      <c r="AU53" s="66">
        <f>SUMIFS(Drivers!BQ$10:BQ$66,PLAcctIDs,$J53)</f>
        <v>5255.1498144208608</v>
      </c>
      <c r="AV53" s="66">
        <f>SUMIFS(Drivers!BR$10:BR$66,PLAcctIDs,$J53)</f>
        <v>5333.029075585283</v>
      </c>
      <c r="AW53" s="66">
        <f>SUMIFS(Drivers!BS$10:BS$66,PLAcctIDs,$J53)</f>
        <v>5409.6294025906136</v>
      </c>
    </row>
    <row r="54" spans="2:49" ht="18.75" customHeight="1" outlineLevel="1">
      <c r="B54" s="22"/>
      <c r="C54" s="67"/>
      <c r="D54" s="26" t="s">
        <v>174</v>
      </c>
      <c r="E54" s="14" t="str">
        <f>IFERROR(INDEX(PBC_ACCOUNT_LIST[Drivers Section],MATCH('Data Summary'!J54,PBC_ACCOUNT_LIST[Id],0)),"")</f>
        <v>Opex</v>
      </c>
      <c r="F54" s="14" t="str">
        <f>IFERROR(INDEX(PBC_ACCOUNT_LIST[Summary Grouping],MATCH('Data Summary'!J54,PBC_ACCOUNT_LIST[Id],0)),"")</f>
        <v>Office &amp; Other G&amp;A</v>
      </c>
      <c r="G54" s="15"/>
      <c r="H54" s="15">
        <f>IFERROR(INDEX(PBC_ACCOUNT_LIST[Cash Flow Section],MATCH('Data Summary'!J54,PBC_ACCOUNT_LIST[Id],0)),"")</f>
        <v>0</v>
      </c>
      <c r="I54" s="14"/>
      <c r="J54" s="14">
        <v>171</v>
      </c>
      <c r="M54" s="66">
        <f>SUMIFS(Drivers!AI$10:AI$66,PLAcctIDs,$J54)</f>
        <v>10367</v>
      </c>
      <c r="N54" s="66">
        <f>SUMIFS(Drivers!AJ$10:AJ$66,PLAcctIDs,$J54)</f>
        <v>9056</v>
      </c>
      <c r="O54" s="66">
        <f>SUMIFS(Drivers!AK$10:AK$66,PLAcctIDs,$J54)</f>
        <v>10886</v>
      </c>
      <c r="P54" s="66">
        <f>SUMIFS(Drivers!AL$10:AL$66,PLAcctIDs,$J54)</f>
        <v>9509</v>
      </c>
      <c r="Q54" s="66">
        <f>SUMIFS(Drivers!AM$10:AM$66,PLAcctIDs,$J54)</f>
        <v>11430</v>
      </c>
      <c r="R54" s="66">
        <f>SUMIFS(Drivers!AN$10:AN$66,PLAcctIDs,$J54)</f>
        <v>9984</v>
      </c>
      <c r="S54" s="66">
        <f>SUMIFS(Drivers!AO$10:AO$66,PLAcctIDs,$J54)</f>
        <v>12002</v>
      </c>
      <c r="T54" s="66">
        <f>SUMIFS(Drivers!AP$10:AP$66,PLAcctIDs,$J54)</f>
        <v>12602</v>
      </c>
      <c r="U54" s="66">
        <f>SUMIFS(Drivers!AQ$10:AQ$66,PLAcctIDs,$J54)</f>
        <v>12602</v>
      </c>
      <c r="V54" s="66">
        <f>SUMIFS(Drivers!AR$10:AR$66,PLAcctIDs,$J54)</f>
        <v>13232</v>
      </c>
      <c r="W54" s="66">
        <f>SUMIFS(Drivers!AS$10:AS$66,PLAcctIDs,$J54)</f>
        <v>13232</v>
      </c>
      <c r="X54" s="66">
        <f>SUMIFS(Drivers!AT$10:AT$66,PLAcctIDs,$J54)</f>
        <v>13893</v>
      </c>
      <c r="Y54" s="66">
        <f>SUMIFS(Drivers!AU$10:AU$66,PLAcctIDs,$J54)</f>
        <v>14588</v>
      </c>
      <c r="Z54" s="66">
        <f>SUMIFS(Drivers!AV$10:AV$66,PLAcctIDs,$J54)</f>
        <v>15317.51</v>
      </c>
      <c r="AA54" s="66">
        <f>SUMIFS(Drivers!AW$10:AW$66,PLAcctIDs,$J54)</f>
        <v>16083</v>
      </c>
      <c r="AB54" s="66">
        <f>SUMIFS(Drivers!AX$10:AX$66,PLAcctIDs,$J54)</f>
        <v>16888</v>
      </c>
      <c r="AC54" s="66">
        <f>SUMIFS(Drivers!AY$10:AY$66,PLAcctIDs,$J54)</f>
        <v>17732</v>
      </c>
      <c r="AD54" s="66">
        <f>SUMIFS(Drivers!AZ$10:AZ$66,PLAcctIDs,$J54)</f>
        <v>18619</v>
      </c>
      <c r="AE54" s="66">
        <f>SUMIFS(Drivers!BA$10:BA$66,PLAcctIDs,$J54)</f>
        <v>19549.45</v>
      </c>
      <c r="AF54" s="66">
        <f>SUMIFS(Drivers!BB$10:BB$66,PLAcctIDs,$J54)</f>
        <v>20526.93</v>
      </c>
      <c r="AG54" s="66">
        <f>SUMIFS(Drivers!BC$10:BC$66,PLAcctIDs,$J54)</f>
        <v>21553.27</v>
      </c>
      <c r="AH54" s="66">
        <f>SUMIFS(Drivers!BD$10:BD$66,PLAcctIDs,$J54)</f>
        <v>22630.94</v>
      </c>
      <c r="AI54" s="66">
        <f>SUMIFS(Drivers!BE$10:BE$66,PLAcctIDs,$J54)</f>
        <v>21107.028250000003</v>
      </c>
      <c r="AJ54" s="66">
        <f>SUMIFS(Drivers!BF$10:BF$66,PLAcctIDs,$J54)</f>
        <v>21697.658193750001</v>
      </c>
      <c r="AK54" s="66">
        <f>SUMIFS(Drivers!BG$10:BG$66,PLAcctIDs,$J54)</f>
        <v>22236.423377656254</v>
      </c>
      <c r="AL54" s="66">
        <f>SUMIFS(Drivers!BH$10:BH$66,PLAcctIDs,$J54)</f>
        <v>22706.643718746098</v>
      </c>
      <c r="AM54" s="66">
        <f>SUMIFS(Drivers!BI$10:BI$66,PLAcctIDs,$J54)</f>
        <v>23088.093619526662</v>
      </c>
      <c r="AN54" s="66">
        <f>SUMIFS(Drivers!BJ$10:BJ$66,PLAcctIDs,$J54)</f>
        <v>23356.687752943828</v>
      </c>
      <c r="AO54" s="66">
        <f>SUMIFS(Drivers!BK$10:BK$66,PLAcctIDs,$J54)</f>
        <v>23483.693609709</v>
      </c>
      <c r="AP54" s="66">
        <f>SUMIFS(Drivers!BL$10:BL$66,PLAcctIDs,$J54)</f>
        <v>23899.610047658076</v>
      </c>
      <c r="AQ54" s="66">
        <f>SUMIFS(Drivers!BM$10:BM$66,PLAcctIDs,$J54)</f>
        <v>24284.951622091983</v>
      </c>
      <c r="AR54" s="66">
        <f>SUMIFS(Drivers!BN$10:BN$66,PLAcctIDs,$J54)</f>
        <v>24643.444064868236</v>
      </c>
      <c r="AS54" s="66">
        <f>SUMIFS(Drivers!BO$10:BO$66,PLAcctIDs,$J54)</f>
        <v>24982.384125439614</v>
      </c>
      <c r="AT54" s="66">
        <f>SUMIFS(Drivers!BP$10:BP$66,PLAcctIDs,$J54)</f>
        <v>25313.884963974382</v>
      </c>
      <c r="AU54" s="66">
        <f>SUMIFS(Drivers!BQ$10:BQ$66,PLAcctIDs,$J54)</f>
        <v>25656.394475904723</v>
      </c>
      <c r="AV54" s="66">
        <f>SUMIFS(Drivers!BR$10:BR$66,PLAcctIDs,$J54)</f>
        <v>26036.617127488975</v>
      </c>
      <c r="AW54" s="66">
        <f>SUMIFS(Drivers!BS$10:BS$66,PLAcctIDs,$J54)</f>
        <v>26410.593366459387</v>
      </c>
    </row>
    <row r="55" spans="2:49" ht="18.75" customHeight="1" outlineLevel="1">
      <c r="B55" s="22"/>
      <c r="C55" s="67"/>
      <c r="D55" s="26" t="s">
        <v>175</v>
      </c>
      <c r="E55" s="14" t="str">
        <f>IFERROR(INDEX(PBC_ACCOUNT_LIST[Drivers Section],MATCH('Data Summary'!J55,PBC_ACCOUNT_LIST[Id],0)),"")</f>
        <v>Opex</v>
      </c>
      <c r="F55" s="14" t="str">
        <f>IFERROR(INDEX(PBC_ACCOUNT_LIST[Summary Grouping],MATCH('Data Summary'!J55,PBC_ACCOUNT_LIST[Id],0)),"")</f>
        <v>Office &amp; Other G&amp;A</v>
      </c>
      <c r="G55" s="15"/>
      <c r="H55" s="15">
        <f>IFERROR(INDEX(PBC_ACCOUNT_LIST[Cash Flow Section],MATCH('Data Summary'!J55,PBC_ACCOUNT_LIST[Id],0)),"")</f>
        <v>0</v>
      </c>
      <c r="I55" s="14"/>
      <c r="J55" s="14">
        <v>203</v>
      </c>
      <c r="M55" s="66">
        <f>SUMIFS(Drivers!AI$10:AI$66,PLAcctIDs,$J55)</f>
        <v>1364</v>
      </c>
      <c r="N55" s="66">
        <f>SUMIFS(Drivers!AJ$10:AJ$66,PLAcctIDs,$J55)</f>
        <v>808</v>
      </c>
      <c r="O55" s="66">
        <f>SUMIFS(Drivers!AK$10:AK$66,PLAcctIDs,$J55)</f>
        <v>1432</v>
      </c>
      <c r="P55" s="66">
        <f>SUMIFS(Drivers!AL$10:AL$66,PLAcctIDs,$J55)</f>
        <v>848</v>
      </c>
      <c r="Q55" s="66">
        <f>SUMIFS(Drivers!AM$10:AM$66,PLAcctIDs,$J55)</f>
        <v>1504</v>
      </c>
      <c r="R55" s="66">
        <f>SUMIFS(Drivers!AN$10:AN$66,PLAcctIDs,$J55)</f>
        <v>890</v>
      </c>
      <c r="S55" s="66">
        <f>SUMIFS(Drivers!AO$10:AO$66,PLAcctIDs,$J55)</f>
        <v>1579</v>
      </c>
      <c r="T55" s="66">
        <f>SUMIFS(Drivers!AP$10:AP$66,PLAcctIDs,$J55)</f>
        <v>1658</v>
      </c>
      <c r="U55" s="66">
        <f>SUMIFS(Drivers!AQ$10:AQ$66,PLAcctIDs,$J55)</f>
        <v>1658</v>
      </c>
      <c r="V55" s="66">
        <f>SUMIFS(Drivers!AR$10:AR$66,PLAcctIDs,$J55)</f>
        <v>1741</v>
      </c>
      <c r="W55" s="66">
        <f>SUMIFS(Drivers!AS$10:AS$66,PLAcctIDs,$J55)</f>
        <v>1741</v>
      </c>
      <c r="X55" s="66">
        <f>SUMIFS(Drivers!AT$10:AT$66,PLAcctIDs,$J55)</f>
        <v>1828</v>
      </c>
      <c r="Y55" s="66">
        <f>SUMIFS(Drivers!AU$10:AU$66,PLAcctIDs,$J55)</f>
        <v>1920</v>
      </c>
      <c r="Z55" s="66">
        <f>SUMIFS(Drivers!AV$10:AV$66,PLAcctIDs,$J55)</f>
        <v>2015.65</v>
      </c>
      <c r="AA55" s="66">
        <f>SUMIFS(Drivers!AW$10:AW$66,PLAcctIDs,$J55)</f>
        <v>2116</v>
      </c>
      <c r="AB55" s="66">
        <f>SUMIFS(Drivers!AX$10:AX$66,PLAcctIDs,$J55)</f>
        <v>2222</v>
      </c>
      <c r="AC55" s="66">
        <f>SUMIFS(Drivers!AY$10:AY$66,PLAcctIDs,$J55)</f>
        <v>2333</v>
      </c>
      <c r="AD55" s="66">
        <f>SUMIFS(Drivers!AZ$10:AZ$66,PLAcctIDs,$J55)</f>
        <v>2450</v>
      </c>
      <c r="AE55" s="66">
        <f>SUMIFS(Drivers!BA$10:BA$66,PLAcctIDs,$J55)</f>
        <v>2572.5300000000002</v>
      </c>
      <c r="AF55" s="66">
        <f>SUMIFS(Drivers!BB$10:BB$66,PLAcctIDs,$J55)</f>
        <v>2701.16</v>
      </c>
      <c r="AG55" s="66">
        <f>SUMIFS(Drivers!BC$10:BC$66,PLAcctIDs,$J55)</f>
        <v>2836.22</v>
      </c>
      <c r="AH55" s="66">
        <f>SUMIFS(Drivers!BD$10:BD$66,PLAcctIDs,$J55)</f>
        <v>2978.03</v>
      </c>
      <c r="AI55" s="66">
        <f>SUMIFS(Drivers!BE$10:BE$66,PLAcctIDs,$J55)</f>
        <v>2777.4145000000003</v>
      </c>
      <c r="AJ55" s="66">
        <f>SUMIFS(Drivers!BF$10:BF$66,PLAcctIDs,$J55)</f>
        <v>2855.1870375000003</v>
      </c>
      <c r="AK55" s="66">
        <f>SUMIFS(Drivers!BG$10:BG$66,PLAcctIDs,$J55)</f>
        <v>2926.0947690625003</v>
      </c>
      <c r="AL55" s="66">
        <f>SUMIFS(Drivers!BH$10:BH$66,PLAcctIDs,$J55)</f>
        <v>2987.9686036484381</v>
      </c>
      <c r="AM55" s="66">
        <f>SUMIFS(Drivers!BI$10:BI$66,PLAcctIDs,$J55)</f>
        <v>3038.1601092869141</v>
      </c>
      <c r="AN55" s="66">
        <f>SUMIFS(Drivers!BJ$10:BJ$66,PLAcctIDs,$J55)</f>
        <v>3073.4996284121244</v>
      </c>
      <c r="AO55" s="66">
        <f>SUMIFS(Drivers!BK$10:BK$66,PLAcctIDs,$J55)</f>
        <v>3090.2068133842458</v>
      </c>
      <c r="AP55" s="66">
        <f>SUMIFS(Drivers!BL$10:BL$66,PLAcctIDs,$J55)</f>
        <v>3144.9454682264891</v>
      </c>
      <c r="AQ55" s="66">
        <f>SUMIFS(Drivers!BM$10:BM$66,PLAcctIDs,$J55)</f>
        <v>3195.6531936036245</v>
      </c>
      <c r="AR55" s="66">
        <f>SUMIFS(Drivers!BN$10:BN$66,PLAcctIDs,$J55)</f>
        <v>3242.8259178983217</v>
      </c>
      <c r="AS55" s="66">
        <f>SUMIFS(Drivers!BO$10:BO$66,PLAcctIDs,$J55)</f>
        <v>3287.4259478920508</v>
      </c>
      <c r="AT55" s="66">
        <f>SUMIFS(Drivers!BP$10:BP$66,PLAcctIDs,$J55)</f>
        <v>3331.04746964795</v>
      </c>
      <c r="AU55" s="66">
        <f>SUMIFS(Drivers!BQ$10:BQ$66,PLAcctIDs,$J55)</f>
        <v>3376.1183418642195</v>
      </c>
      <c r="AV55" s="66">
        <f>SUMIFS(Drivers!BR$10:BR$66,PLAcctIDs,$J55)</f>
        <v>3426.1528593482153</v>
      </c>
      <c r="AW55" s="66">
        <f>SUMIFS(Drivers!BS$10:BS$66,PLAcctIDs,$J55)</f>
        <v>3475.3641527945169</v>
      </c>
    </row>
    <row r="56" spans="2:49" ht="18.75" customHeight="1" outlineLevel="1">
      <c r="B56" s="22"/>
      <c r="C56" s="67"/>
      <c r="D56" s="26" t="s">
        <v>176</v>
      </c>
      <c r="E56" s="14" t="str">
        <f>IFERROR(INDEX(PBC_ACCOUNT_LIST[Drivers Section],MATCH('Data Summary'!J56,PBC_ACCOUNT_LIST[Id],0)),"")</f>
        <v>Opex</v>
      </c>
      <c r="F56" s="14" t="str">
        <f>IFERROR(INDEX(PBC_ACCOUNT_LIST[Summary Grouping],MATCH('Data Summary'!J56,PBC_ACCOUNT_LIST[Id],0)),"")</f>
        <v>Professional Services</v>
      </c>
      <c r="G56" s="15"/>
      <c r="H56" s="15">
        <f>IFERROR(INDEX(PBC_ACCOUNT_LIST[Cash Flow Section],MATCH('Data Summary'!J56,PBC_ACCOUNT_LIST[Id],0)),"")</f>
        <v>0</v>
      </c>
      <c r="I56" s="14"/>
      <c r="J56" s="14">
        <v>172</v>
      </c>
      <c r="M56" s="66">
        <f>SUMIFS(Drivers!AI$10:AI$66,PLAcctIDs,$J56)</f>
        <v>0</v>
      </c>
      <c r="N56" s="66">
        <f>SUMIFS(Drivers!AJ$10:AJ$66,PLAcctIDs,$J56)</f>
        <v>0</v>
      </c>
      <c r="O56" s="66">
        <f>SUMIFS(Drivers!AK$10:AK$66,PLAcctIDs,$J56)</f>
        <v>0</v>
      </c>
      <c r="P56" s="66">
        <f>SUMIFS(Drivers!AL$10:AL$66,PLAcctIDs,$J56)</f>
        <v>0</v>
      </c>
      <c r="Q56" s="66">
        <f>SUMIFS(Drivers!AM$10:AM$66,PLAcctIDs,$J56)</f>
        <v>0</v>
      </c>
      <c r="R56" s="66">
        <f>SUMIFS(Drivers!AN$10:AN$66,PLAcctIDs,$J56)</f>
        <v>0</v>
      </c>
      <c r="S56" s="66">
        <f>SUMIFS(Drivers!AO$10:AO$66,PLAcctIDs,$J56)</f>
        <v>0</v>
      </c>
      <c r="T56" s="66">
        <f>SUMIFS(Drivers!AP$10:AP$66,PLAcctIDs,$J56)</f>
        <v>0</v>
      </c>
      <c r="U56" s="66">
        <f>SUMIFS(Drivers!AQ$10:AQ$66,PLAcctIDs,$J56)</f>
        <v>0</v>
      </c>
      <c r="V56" s="66">
        <f>SUMIFS(Drivers!AR$10:AR$66,PLAcctIDs,$J56)</f>
        <v>0</v>
      </c>
      <c r="W56" s="66">
        <f>SUMIFS(Drivers!AS$10:AS$66,PLAcctIDs,$J56)</f>
        <v>0</v>
      </c>
      <c r="X56" s="66">
        <f>SUMIFS(Drivers!AT$10:AT$66,PLAcctIDs,$J56)</f>
        <v>0</v>
      </c>
      <c r="Y56" s="66">
        <f>SUMIFS(Drivers!AU$10:AU$66,PLAcctIDs,$J56)</f>
        <v>0</v>
      </c>
      <c r="Z56" s="66">
        <f>SUMIFS(Drivers!AV$10:AV$66,PLAcctIDs,$J56)</f>
        <v>0</v>
      </c>
      <c r="AA56" s="66">
        <f>SUMIFS(Drivers!AW$10:AW$66,PLAcctIDs,$J56)</f>
        <v>0</v>
      </c>
      <c r="AB56" s="66">
        <f>SUMIFS(Drivers!AX$10:AX$66,PLAcctIDs,$J56)</f>
        <v>0</v>
      </c>
      <c r="AC56" s="66">
        <f>SUMIFS(Drivers!AY$10:AY$66,PLAcctIDs,$J56)</f>
        <v>0</v>
      </c>
      <c r="AD56" s="66">
        <f>SUMIFS(Drivers!AZ$10:AZ$66,PLAcctIDs,$J56)</f>
        <v>0</v>
      </c>
      <c r="AE56" s="66">
        <f>SUMIFS(Drivers!BA$10:BA$66,PLAcctIDs,$J56)</f>
        <v>0</v>
      </c>
      <c r="AF56" s="66">
        <f>SUMIFS(Drivers!BB$10:BB$66,PLAcctIDs,$J56)</f>
        <v>0</v>
      </c>
      <c r="AG56" s="66">
        <f>SUMIFS(Drivers!BC$10:BC$66,PLAcctIDs,$J56)</f>
        <v>0</v>
      </c>
      <c r="AH56" s="66">
        <f>SUMIFS(Drivers!BD$10:BD$66,PLAcctIDs,$J56)</f>
        <v>0</v>
      </c>
      <c r="AI56" s="66">
        <f>SUMIFS(Drivers!BE$10:BE$66,PLAcctIDs,$J56)</f>
        <v>0</v>
      </c>
      <c r="AJ56" s="66">
        <f>SUMIFS(Drivers!BF$10:BF$66,PLAcctIDs,$J56)</f>
        <v>0</v>
      </c>
      <c r="AK56" s="66">
        <f>SUMIFS(Drivers!BG$10:BG$66,PLAcctIDs,$J56)</f>
        <v>0</v>
      </c>
      <c r="AL56" s="66">
        <f>SUMIFS(Drivers!BH$10:BH$66,PLAcctIDs,$J56)</f>
        <v>0</v>
      </c>
      <c r="AM56" s="66">
        <f>SUMIFS(Drivers!BI$10:BI$66,PLAcctIDs,$J56)</f>
        <v>0</v>
      </c>
      <c r="AN56" s="66">
        <f>SUMIFS(Drivers!BJ$10:BJ$66,PLAcctIDs,$J56)</f>
        <v>0</v>
      </c>
      <c r="AO56" s="66">
        <f>SUMIFS(Drivers!BK$10:BK$66,PLAcctIDs,$J56)</f>
        <v>0</v>
      </c>
      <c r="AP56" s="66">
        <f>SUMIFS(Drivers!BL$10:BL$66,PLAcctIDs,$J56)</f>
        <v>0</v>
      </c>
      <c r="AQ56" s="66">
        <f>SUMIFS(Drivers!BM$10:BM$66,PLAcctIDs,$J56)</f>
        <v>0</v>
      </c>
      <c r="AR56" s="66">
        <f>SUMIFS(Drivers!BN$10:BN$66,PLAcctIDs,$J56)</f>
        <v>0</v>
      </c>
      <c r="AS56" s="66">
        <f>SUMIFS(Drivers!BO$10:BO$66,PLAcctIDs,$J56)</f>
        <v>0</v>
      </c>
      <c r="AT56" s="66">
        <f>SUMIFS(Drivers!BP$10:BP$66,PLAcctIDs,$J56)</f>
        <v>0</v>
      </c>
      <c r="AU56" s="66">
        <f>SUMIFS(Drivers!BQ$10:BQ$66,PLAcctIDs,$J56)</f>
        <v>0</v>
      </c>
      <c r="AV56" s="66">
        <f>SUMIFS(Drivers!BR$10:BR$66,PLAcctIDs,$J56)</f>
        <v>0</v>
      </c>
      <c r="AW56" s="66">
        <f>SUMIFS(Drivers!BS$10:BS$66,PLAcctIDs,$J56)</f>
        <v>0</v>
      </c>
    </row>
    <row r="57" spans="2:49" ht="18.75" customHeight="1" outlineLevel="1">
      <c r="B57" s="22"/>
      <c r="C57" s="67"/>
      <c r="D57" s="26" t="s">
        <v>177</v>
      </c>
      <c r="E57" s="14" t="str">
        <f>IFERROR(INDEX(PBC_ACCOUNT_LIST[Drivers Section],MATCH('Data Summary'!J57,PBC_ACCOUNT_LIST[Id],0)),"")</f>
        <v>Opex</v>
      </c>
      <c r="F57" s="14" t="str">
        <f>IFERROR(INDEX(PBC_ACCOUNT_LIST[Summary Grouping],MATCH('Data Summary'!J57,PBC_ACCOUNT_LIST[Id],0)),"")</f>
        <v>Professional Services</v>
      </c>
      <c r="G57" s="15"/>
      <c r="H57" s="15">
        <f>IFERROR(INDEX(PBC_ACCOUNT_LIST[Cash Flow Section],MATCH('Data Summary'!J57,PBC_ACCOUNT_LIST[Id],0)),"")</f>
        <v>0</v>
      </c>
      <c r="I57" s="14"/>
      <c r="J57" s="14">
        <v>173</v>
      </c>
      <c r="M57" s="66">
        <f>SUMIFS(Drivers!AI$10:AI$66,PLAcctIDs,$J57)</f>
        <v>2810</v>
      </c>
      <c r="N57" s="66">
        <f>SUMIFS(Drivers!AJ$10:AJ$66,PLAcctIDs,$J57)</f>
        <v>2328</v>
      </c>
      <c r="O57" s="66">
        <f>SUMIFS(Drivers!AK$10:AK$66,PLAcctIDs,$J57)</f>
        <v>2950</v>
      </c>
      <c r="P57" s="66">
        <f>SUMIFS(Drivers!AL$10:AL$66,PLAcctIDs,$J57)</f>
        <v>2445</v>
      </c>
      <c r="Q57" s="66">
        <f>SUMIFS(Drivers!AM$10:AM$66,PLAcctIDs,$J57)</f>
        <v>3098</v>
      </c>
      <c r="R57" s="66">
        <f>SUMIFS(Drivers!AN$10:AN$66,PLAcctIDs,$J57)</f>
        <v>2567</v>
      </c>
      <c r="S57" s="66">
        <f>SUMIFS(Drivers!AO$10:AO$66,PLAcctIDs,$J57)</f>
        <v>3253</v>
      </c>
      <c r="T57" s="66">
        <f>SUMIFS(Drivers!AP$10:AP$66,PLAcctIDs,$J57)</f>
        <v>3416</v>
      </c>
      <c r="U57" s="66">
        <f>SUMIFS(Drivers!AQ$10:AQ$66,PLAcctIDs,$J57)</f>
        <v>3416</v>
      </c>
      <c r="V57" s="66">
        <f>SUMIFS(Drivers!AR$10:AR$66,PLAcctIDs,$J57)</f>
        <v>3586</v>
      </c>
      <c r="W57" s="66">
        <f>SUMIFS(Drivers!AS$10:AS$66,PLAcctIDs,$J57)</f>
        <v>3586</v>
      </c>
      <c r="X57" s="66">
        <f>SUMIFS(Drivers!AT$10:AT$66,PLAcctIDs,$J57)</f>
        <v>3766</v>
      </c>
      <c r="Y57" s="66">
        <f>SUMIFS(Drivers!AU$10:AU$66,PLAcctIDs,$J57)</f>
        <v>3954</v>
      </c>
      <c r="Z57" s="66">
        <f>SUMIFS(Drivers!AV$10:AV$66,PLAcctIDs,$J57)</f>
        <v>4151.6099999999997</v>
      </c>
      <c r="AA57" s="66">
        <f>SUMIFS(Drivers!AW$10:AW$66,PLAcctIDs,$J57)</f>
        <v>4359</v>
      </c>
      <c r="AB57" s="66">
        <f>SUMIFS(Drivers!AX$10:AX$66,PLAcctIDs,$J57)</f>
        <v>4577</v>
      </c>
      <c r="AC57" s="66">
        <f>SUMIFS(Drivers!AY$10:AY$66,PLAcctIDs,$J57)</f>
        <v>4806</v>
      </c>
      <c r="AD57" s="66">
        <f>SUMIFS(Drivers!AZ$10:AZ$66,PLAcctIDs,$J57)</f>
        <v>5046</v>
      </c>
      <c r="AE57" s="66">
        <f>SUMIFS(Drivers!BA$10:BA$66,PLAcctIDs,$J57)</f>
        <v>5298.63</v>
      </c>
      <c r="AF57" s="66">
        <f>SUMIFS(Drivers!BB$10:BB$66,PLAcctIDs,$J57)</f>
        <v>5563.56</v>
      </c>
      <c r="AG57" s="66">
        <f>SUMIFS(Drivers!BC$10:BC$66,PLAcctIDs,$J57)</f>
        <v>5841.73</v>
      </c>
      <c r="AH57" s="66">
        <f>SUMIFS(Drivers!BD$10:BD$66,PLAcctIDs,$J57)</f>
        <v>6133.82</v>
      </c>
      <c r="AI57" s="66">
        <f>SUMIFS(Drivers!BE$10:BE$66,PLAcctIDs,$J57)</f>
        <v>5720.7044999999998</v>
      </c>
      <c r="AJ57" s="66">
        <f>SUMIFS(Drivers!BF$10:BF$66,PLAcctIDs,$J57)</f>
        <v>5880.7777875000002</v>
      </c>
      <c r="AK57" s="66">
        <f>SUMIFS(Drivers!BG$10:BG$66,PLAcctIDs,$J57)</f>
        <v>6026.8639003124999</v>
      </c>
      <c r="AL57" s="66">
        <f>SUMIFS(Drivers!BH$10:BH$66,PLAcctIDs,$J57)</f>
        <v>6154.3048328671885</v>
      </c>
      <c r="AM57" s="66">
        <f>SUMIFS(Drivers!BI$10:BI$66,PLAcctIDs,$J57)</f>
        <v>6257.6851786189445</v>
      </c>
      <c r="AN57" s="66">
        <f>SUMIFS(Drivers!BJ$10:BJ$66,PLAcctIDs,$J57)</f>
        <v>6330.4773348772615</v>
      </c>
      <c r="AO57" s="66">
        <f>SUMIFS(Drivers!BK$10:BK$66,PLAcctIDs,$J57)</f>
        <v>6364.8923684807805</v>
      </c>
      <c r="AP57" s="66">
        <f>SUMIFS(Drivers!BL$10:BL$66,PLAcctIDs,$J57)</f>
        <v>6477.6252454649175</v>
      </c>
      <c r="AQ57" s="66">
        <f>SUMIFS(Drivers!BM$10:BM$66,PLAcctIDs,$J57)</f>
        <v>6582.0735506087785</v>
      </c>
      <c r="AR57" s="66">
        <f>SUMIFS(Drivers!BN$10:BN$66,PLAcctIDs,$J57)</f>
        <v>6679.2352394106283</v>
      </c>
      <c r="AS57" s="66">
        <f>SUMIFS(Drivers!BO$10:BO$66,PLAcctIDs,$J57)</f>
        <v>6771.0980605557306</v>
      </c>
      <c r="AT57" s="66">
        <f>SUMIFS(Drivers!BP$10:BP$66,PLAcctIDs,$J57)</f>
        <v>6860.9453148946668</v>
      </c>
      <c r="AU57" s="66">
        <f>SUMIFS(Drivers!BQ$10:BQ$66,PLAcctIDs,$J57)</f>
        <v>6953.7772113977135</v>
      </c>
      <c r="AV57" s="66">
        <f>SUMIFS(Drivers!BR$10:BR$66,PLAcctIDs,$J57)</f>
        <v>7056.8320589081759</v>
      </c>
      <c r="AW57" s="66">
        <f>SUMIFS(Drivers!BS$10:BS$66,PLAcctIDs,$J57)</f>
        <v>7158.1932512607464</v>
      </c>
    </row>
    <row r="58" spans="2:49" ht="18.75" customHeight="1" outlineLevel="1">
      <c r="B58" s="22"/>
      <c r="C58" s="67"/>
      <c r="D58" s="26" t="s">
        <v>178</v>
      </c>
      <c r="E58" s="14" t="str">
        <f>IFERROR(INDEX(PBC_ACCOUNT_LIST[Drivers Section],MATCH('Data Summary'!J58,PBC_ACCOUNT_LIST[Id],0)),"")</f>
        <v>Opex</v>
      </c>
      <c r="F58" s="14" t="str">
        <f>IFERROR(INDEX(PBC_ACCOUNT_LIST[Summary Grouping],MATCH('Data Summary'!J58,PBC_ACCOUNT_LIST[Id],0)),"")</f>
        <v>Professional Services</v>
      </c>
      <c r="G58" s="15"/>
      <c r="H58" s="15">
        <f>IFERROR(INDEX(PBC_ACCOUNT_LIST[Cash Flow Section],MATCH('Data Summary'!J58,PBC_ACCOUNT_LIST[Id],0)),"")</f>
        <v>0</v>
      </c>
      <c r="I58" s="14"/>
      <c r="J58" s="14">
        <v>175</v>
      </c>
      <c r="M58" s="66">
        <f>SUMIFS(Drivers!AI$10:AI$66,PLAcctIDs,$J58)</f>
        <v>4752</v>
      </c>
      <c r="N58" s="66">
        <f>SUMIFS(Drivers!AJ$10:AJ$66,PLAcctIDs,$J58)</f>
        <v>2497</v>
      </c>
      <c r="O58" s="66">
        <f>SUMIFS(Drivers!AK$10:AK$66,PLAcctIDs,$J58)</f>
        <v>4990</v>
      </c>
      <c r="P58" s="66">
        <f>SUMIFS(Drivers!AL$10:AL$66,PLAcctIDs,$J58)</f>
        <v>2622</v>
      </c>
      <c r="Q58" s="66">
        <f>SUMIFS(Drivers!AM$10:AM$66,PLAcctIDs,$J58)</f>
        <v>5239</v>
      </c>
      <c r="R58" s="66">
        <f>SUMIFS(Drivers!AN$10:AN$66,PLAcctIDs,$J58)</f>
        <v>2753</v>
      </c>
      <c r="S58" s="66">
        <f>SUMIFS(Drivers!AO$10:AO$66,PLAcctIDs,$J58)</f>
        <v>5501</v>
      </c>
      <c r="T58" s="66">
        <f>SUMIFS(Drivers!AP$10:AP$66,PLAcctIDs,$J58)</f>
        <v>5777</v>
      </c>
      <c r="U58" s="66">
        <f>SUMIFS(Drivers!AQ$10:AQ$66,PLAcctIDs,$J58)</f>
        <v>5777</v>
      </c>
      <c r="V58" s="66">
        <f>SUMIFS(Drivers!AR$10:AR$66,PLAcctIDs,$J58)</f>
        <v>6065</v>
      </c>
      <c r="W58" s="66">
        <f>SUMIFS(Drivers!AS$10:AS$66,PLAcctIDs,$J58)</f>
        <v>6065</v>
      </c>
      <c r="X58" s="66">
        <f>SUMIFS(Drivers!AT$10:AT$66,PLAcctIDs,$J58)</f>
        <v>6369</v>
      </c>
      <c r="Y58" s="66">
        <f>SUMIFS(Drivers!AU$10:AU$66,PLAcctIDs,$J58)</f>
        <v>6687</v>
      </c>
      <c r="Z58" s="66">
        <f>SUMIFS(Drivers!AV$10:AV$66,PLAcctIDs,$J58)</f>
        <v>7021.37</v>
      </c>
      <c r="AA58" s="66">
        <f>SUMIFS(Drivers!AW$10:AW$66,PLAcctIDs,$J58)</f>
        <v>7372</v>
      </c>
      <c r="AB58" s="66">
        <f>SUMIFS(Drivers!AX$10:AX$66,PLAcctIDs,$J58)</f>
        <v>7741</v>
      </c>
      <c r="AC58" s="66">
        <f>SUMIFS(Drivers!AY$10:AY$66,PLAcctIDs,$J58)</f>
        <v>8128</v>
      </c>
      <c r="AD58" s="66">
        <f>SUMIFS(Drivers!AZ$10:AZ$66,PLAcctIDs,$J58)</f>
        <v>8535</v>
      </c>
      <c r="AE58" s="66">
        <f>SUMIFS(Drivers!BA$10:BA$66,PLAcctIDs,$J58)</f>
        <v>8961.25</v>
      </c>
      <c r="AF58" s="66">
        <f>SUMIFS(Drivers!BB$10:BB$66,PLAcctIDs,$J58)</f>
        <v>9409.31</v>
      </c>
      <c r="AG58" s="66">
        <f>SUMIFS(Drivers!BC$10:BC$66,PLAcctIDs,$J58)</f>
        <v>9879.7800000000007</v>
      </c>
      <c r="AH58" s="66">
        <f>SUMIFS(Drivers!BD$10:BD$66,PLAcctIDs,$J58)</f>
        <v>10373.77</v>
      </c>
      <c r="AI58" s="66">
        <f>SUMIFS(Drivers!BE$10:BE$66,PLAcctIDs,$J58)</f>
        <v>9675.2442499999997</v>
      </c>
      <c r="AJ58" s="66">
        <f>SUMIFS(Drivers!BF$10:BF$66,PLAcctIDs,$J58)</f>
        <v>9946.0119937500021</v>
      </c>
      <c r="AK58" s="66">
        <f>SUMIFS(Drivers!BG$10:BG$66,PLAcctIDs,$J58)</f>
        <v>10192.93909265625</v>
      </c>
      <c r="AL58" s="66">
        <f>SUMIFS(Drivers!BH$10:BH$66,PLAcctIDs,$J58)</f>
        <v>10408.484683871093</v>
      </c>
      <c r="AM58" s="66">
        <f>SUMIFS(Drivers!BI$10:BI$66,PLAcctIDs,$J58)</f>
        <v>10583.340253548537</v>
      </c>
      <c r="AN58" s="66">
        <f>SUMIFS(Drivers!BJ$10:BJ$66,PLAcctIDs,$J58)</f>
        <v>10706.46329791953</v>
      </c>
      <c r="AO58" s="66">
        <f>SUMIFS(Drivers!BK$10:BK$66,PLAcctIDs,$J58)</f>
        <v>10764.684625055446</v>
      </c>
      <c r="AP58" s="66">
        <f>SUMIFS(Drivers!BL$10:BL$66,PLAcctIDs,$J58)</f>
        <v>10955.33669069015</v>
      </c>
      <c r="AQ58" s="66">
        <f>SUMIFS(Drivers!BM$10:BM$66,PLAcctIDs,$J58)</f>
        <v>11131.968512654676</v>
      </c>
      <c r="AR58" s="66">
        <f>SUMIFS(Drivers!BN$10:BN$66,PLAcctIDs,$J58)</f>
        <v>11296.298661154402</v>
      </c>
      <c r="AS58" s="66">
        <f>SUMIFS(Drivers!BO$10:BO$66,PLAcctIDs,$J58)</f>
        <v>11451.66610717898</v>
      </c>
      <c r="AT58" s="66">
        <f>SUMIFS(Drivers!BP$10:BP$66,PLAcctIDs,$J58)</f>
        <v>11603.623131564309</v>
      </c>
      <c r="AU58" s="66">
        <f>SUMIFS(Drivers!BQ$10:BQ$66,PLAcctIDs,$J58)</f>
        <v>11760.626102452145</v>
      </c>
      <c r="AV58" s="66">
        <f>SUMIFS(Drivers!BR$10:BR$66,PLAcctIDs,$J58)</f>
        <v>11934.915860996569</v>
      </c>
      <c r="AW58" s="66">
        <f>SUMIFS(Drivers!BS$10:BS$66,PLAcctIDs,$J58)</f>
        <v>12106.34221580019</v>
      </c>
    </row>
    <row r="59" spans="2:49" ht="18.75" customHeight="1" outlineLevel="1">
      <c r="B59" s="22"/>
      <c r="C59" s="67"/>
      <c r="D59" s="26" t="s">
        <v>179</v>
      </c>
      <c r="E59" s="14" t="str">
        <f>IFERROR(INDEX(PBC_ACCOUNT_LIST[Drivers Section],MATCH('Data Summary'!J59,PBC_ACCOUNT_LIST[Id],0)),"")</f>
        <v>Opex</v>
      </c>
      <c r="F59" s="14" t="str">
        <f>IFERROR(INDEX(PBC_ACCOUNT_LIST[Summary Grouping],MATCH('Data Summary'!J59,PBC_ACCOUNT_LIST[Id],0)),"")</f>
        <v>Professional Services</v>
      </c>
      <c r="G59" s="15"/>
      <c r="H59" s="15">
        <f>IFERROR(INDEX(PBC_ACCOUNT_LIST[Cash Flow Section],MATCH('Data Summary'!J59,PBC_ACCOUNT_LIST[Id],0)),"")</f>
        <v>0</v>
      </c>
      <c r="I59" s="14"/>
      <c r="J59" s="14">
        <v>176</v>
      </c>
      <c r="M59" s="66">
        <f>SUMIFS(Drivers!AI$10:AI$66,PLAcctIDs,$J59)</f>
        <v>5903</v>
      </c>
      <c r="N59" s="66">
        <f>SUMIFS(Drivers!AJ$10:AJ$66,PLAcctIDs,$J59)</f>
        <v>3343</v>
      </c>
      <c r="O59" s="66">
        <f>SUMIFS(Drivers!AK$10:AK$66,PLAcctIDs,$J59)</f>
        <v>6198</v>
      </c>
      <c r="P59" s="66">
        <f>SUMIFS(Drivers!AL$10:AL$66,PLAcctIDs,$J59)</f>
        <v>3510</v>
      </c>
      <c r="Q59" s="66">
        <f>SUMIFS(Drivers!AM$10:AM$66,PLAcctIDs,$J59)</f>
        <v>6508</v>
      </c>
      <c r="R59" s="66">
        <f>SUMIFS(Drivers!AN$10:AN$66,PLAcctIDs,$J59)</f>
        <v>3685</v>
      </c>
      <c r="S59" s="66">
        <f>SUMIFS(Drivers!AO$10:AO$66,PLAcctIDs,$J59)</f>
        <v>6833</v>
      </c>
      <c r="T59" s="66">
        <f>SUMIFS(Drivers!AP$10:AP$66,PLAcctIDs,$J59)</f>
        <v>7175</v>
      </c>
      <c r="U59" s="66">
        <f>SUMIFS(Drivers!AQ$10:AQ$66,PLAcctIDs,$J59)</f>
        <v>7175</v>
      </c>
      <c r="V59" s="66">
        <f>SUMIFS(Drivers!AR$10:AR$66,PLAcctIDs,$J59)</f>
        <v>7533</v>
      </c>
      <c r="W59" s="66">
        <f>SUMIFS(Drivers!AS$10:AS$66,PLAcctIDs,$J59)</f>
        <v>7533</v>
      </c>
      <c r="X59" s="66">
        <f>SUMIFS(Drivers!AT$10:AT$66,PLAcctIDs,$J59)</f>
        <v>7910</v>
      </c>
      <c r="Y59" s="66">
        <f>SUMIFS(Drivers!AU$10:AU$66,PLAcctIDs,$J59)</f>
        <v>8305</v>
      </c>
      <c r="Z59" s="66">
        <f>SUMIFS(Drivers!AV$10:AV$66,PLAcctIDs,$J59)</f>
        <v>8720.74</v>
      </c>
      <c r="AA59" s="66">
        <f>SUMIFS(Drivers!AW$10:AW$66,PLAcctIDs,$J59)</f>
        <v>9157</v>
      </c>
      <c r="AB59" s="66">
        <f>SUMIFS(Drivers!AX$10:AX$66,PLAcctIDs,$J59)</f>
        <v>9615</v>
      </c>
      <c r="AC59" s="66">
        <f>SUMIFS(Drivers!AY$10:AY$66,PLAcctIDs,$J59)</f>
        <v>10095</v>
      </c>
      <c r="AD59" s="66">
        <f>SUMIFS(Drivers!AZ$10:AZ$66,PLAcctIDs,$J59)</f>
        <v>10600</v>
      </c>
      <c r="AE59" s="66">
        <f>SUMIFS(Drivers!BA$10:BA$66,PLAcctIDs,$J59)</f>
        <v>11130.12</v>
      </c>
      <c r="AF59" s="66">
        <f>SUMIFS(Drivers!BB$10:BB$66,PLAcctIDs,$J59)</f>
        <v>11686.62</v>
      </c>
      <c r="AG59" s="66">
        <f>SUMIFS(Drivers!BC$10:BC$66,PLAcctIDs,$J59)</f>
        <v>12270.95</v>
      </c>
      <c r="AH59" s="66">
        <f>SUMIFS(Drivers!BD$10:BD$66,PLAcctIDs,$J59)</f>
        <v>12884.5</v>
      </c>
      <c r="AI59" s="66">
        <f>SUMIFS(Drivers!BE$10:BE$66,PLAcctIDs,$J59)</f>
        <v>12016.758250000001</v>
      </c>
      <c r="AJ59" s="66">
        <f>SUMIFS(Drivers!BF$10:BF$66,PLAcctIDs,$J59)</f>
        <v>12353.06594375</v>
      </c>
      <c r="AK59" s="66">
        <f>SUMIFS(Drivers!BG$10:BG$66,PLAcctIDs,$J59)</f>
        <v>12659.85248390625</v>
      </c>
      <c r="AL59" s="66">
        <f>SUMIFS(Drivers!BH$10:BH$66,PLAcctIDs,$J59)</f>
        <v>12927.555668589845</v>
      </c>
      <c r="AM59" s="66">
        <f>SUMIFS(Drivers!BI$10:BI$66,PLAcctIDs,$J59)</f>
        <v>13144.719410593068</v>
      </c>
      <c r="AN59" s="66">
        <f>SUMIFS(Drivers!BJ$10:BJ$66,PLAcctIDs,$J59)</f>
        <v>13297.629057446855</v>
      </c>
      <c r="AO59" s="66">
        <f>SUMIFS(Drivers!BK$10:BK$66,PLAcctIDs,$J59)</f>
        <v>13369.926642500053</v>
      </c>
      <c r="AP59" s="66">
        <f>SUMIFS(Drivers!BL$10:BL$66,PLAcctIDs,$J59)</f>
        <v>13606.731111187564</v>
      </c>
      <c r="AQ59" s="66">
        <f>SUMIFS(Drivers!BM$10:BM$66,PLAcctIDs,$J59)</f>
        <v>13826.122515489136</v>
      </c>
      <c r="AR59" s="66">
        <f>SUMIFS(Drivers!BN$10:BN$66,PLAcctIDs,$J59)</f>
        <v>14030.219771016144</v>
      </c>
      <c r="AS59" s="66">
        <f>SUMIFS(Drivers!BO$10:BO$66,PLAcctIDs,$J59)</f>
        <v>14223.185988940742</v>
      </c>
      <c r="AT59" s="66">
        <f>SUMIFS(Drivers!BP$10:BP$66,PLAcctIDs,$J59)</f>
        <v>14411.917640151587</v>
      </c>
      <c r="AU59" s="66">
        <f>SUMIFS(Drivers!BQ$10:BQ$66,PLAcctIDs,$J59)</f>
        <v>14606.918142124918</v>
      </c>
      <c r="AV59" s="66">
        <f>SUMIFS(Drivers!BR$10:BR$66,PLAcctIDs,$J59)</f>
        <v>14823.391654559269</v>
      </c>
      <c r="AW59" s="66">
        <f>SUMIFS(Drivers!BS$10:BS$66,PLAcctIDs,$J59)</f>
        <v>15036.307249649315</v>
      </c>
    </row>
    <row r="60" spans="2:49" ht="18.75" customHeight="1" outlineLevel="1">
      <c r="B60" s="22"/>
      <c r="C60" s="67"/>
      <c r="D60" s="26" t="s">
        <v>180</v>
      </c>
      <c r="E60" s="14" t="str">
        <f>IFERROR(INDEX(PBC_ACCOUNT_LIST[Drivers Section],MATCH('Data Summary'!J60,PBC_ACCOUNT_LIST[Id],0)),"")</f>
        <v>Opex</v>
      </c>
      <c r="F60" s="14" t="str">
        <f>IFERROR(INDEX(PBC_ACCOUNT_LIST[Summary Grouping],MATCH('Data Summary'!J60,PBC_ACCOUNT_LIST[Id],0)),"")</f>
        <v>Payroll</v>
      </c>
      <c r="G60" s="15"/>
      <c r="H60" s="15">
        <f>IFERROR(INDEX(PBC_ACCOUNT_LIST[Cash Flow Section],MATCH('Data Summary'!J60,PBC_ACCOUNT_LIST[Id],0)),"")</f>
        <v>0</v>
      </c>
      <c r="I60" s="14"/>
      <c r="J60" s="14">
        <v>178</v>
      </c>
      <c r="M60" s="66">
        <f>SUMIFS(Drivers!AI$10:AI$66,PLAcctIDs,$J60)</f>
        <v>32623</v>
      </c>
      <c r="N60" s="66">
        <f>SUMIFS(Drivers!AJ$10:AJ$66,PLAcctIDs,$J60)</f>
        <v>19075</v>
      </c>
      <c r="O60" s="66">
        <f>SUMIFS(Drivers!AK$10:AK$66,PLAcctIDs,$J60)</f>
        <v>34254</v>
      </c>
      <c r="P60" s="66">
        <f>SUMIFS(Drivers!AL$10:AL$66,PLAcctIDs,$J60)</f>
        <v>20028</v>
      </c>
      <c r="Q60" s="66">
        <f>SUMIFS(Drivers!AM$10:AM$66,PLAcctIDs,$J60)</f>
        <v>35967</v>
      </c>
      <c r="R60" s="66">
        <f>SUMIFS(Drivers!AN$10:AN$66,PLAcctIDs,$J60)</f>
        <v>21030</v>
      </c>
      <c r="S60" s="66">
        <f>SUMIFS(Drivers!AO$10:AO$66,PLAcctIDs,$J60)</f>
        <v>37765</v>
      </c>
      <c r="T60" s="66">
        <f>SUMIFS(Drivers!AP$10:AP$66,PLAcctIDs,$J60)</f>
        <v>39653</v>
      </c>
      <c r="U60" s="66">
        <f>SUMIFS(Drivers!AQ$10:AQ$66,PLAcctIDs,$J60)</f>
        <v>39653</v>
      </c>
      <c r="V60" s="66">
        <f>SUMIFS(Drivers!AR$10:AR$66,PLAcctIDs,$J60)</f>
        <v>41636</v>
      </c>
      <c r="W60" s="66">
        <f>SUMIFS(Drivers!AS$10:AS$66,PLAcctIDs,$J60)</f>
        <v>41636</v>
      </c>
      <c r="X60" s="66">
        <f>SUMIFS(Drivers!AT$10:AT$66,PLAcctIDs,$J60)</f>
        <v>43718</v>
      </c>
      <c r="Y60" s="66">
        <f>SUMIFS(Drivers!AU$10:AU$66,PLAcctIDs,$J60)</f>
        <v>45904</v>
      </c>
      <c r="Z60" s="66">
        <f>SUMIFS(Drivers!AV$10:AV$66,PLAcctIDs,$J60)</f>
        <v>48198.73</v>
      </c>
      <c r="AA60" s="66">
        <f>SUMIFS(Drivers!AW$10:AW$66,PLAcctIDs,$J60)</f>
        <v>50609</v>
      </c>
      <c r="AB60" s="66">
        <f>SUMIFS(Drivers!AX$10:AX$66,PLAcctIDs,$J60)</f>
        <v>53139</v>
      </c>
      <c r="AC60" s="66">
        <f>SUMIFS(Drivers!AY$10:AY$66,PLAcctIDs,$J60)</f>
        <v>55796</v>
      </c>
      <c r="AD60" s="66">
        <f>SUMIFS(Drivers!AZ$10:AZ$66,PLAcctIDs,$J60)</f>
        <v>58586</v>
      </c>
      <c r="AE60" s="66">
        <f>SUMIFS(Drivers!BA$10:BA$66,PLAcctIDs,$J60)</f>
        <v>61515.15</v>
      </c>
      <c r="AF60" s="66">
        <f>SUMIFS(Drivers!BB$10:BB$66,PLAcctIDs,$J60)</f>
        <v>64590.9</v>
      </c>
      <c r="AG60" s="66">
        <f>SUMIFS(Drivers!BC$10:BC$66,PLAcctIDs,$J60)</f>
        <v>67820.45</v>
      </c>
      <c r="AH60" s="66">
        <f>SUMIFS(Drivers!BD$10:BD$66,PLAcctIDs,$J60)</f>
        <v>71211.47</v>
      </c>
      <c r="AI60" s="66">
        <f>SUMIFS(Drivers!BE$10:BE$66,PLAcctIDs,$J60)</f>
        <v>66415.994749999998</v>
      </c>
      <c r="AJ60" s="66">
        <f>SUMIFS(Drivers!BF$10:BF$66,PLAcctIDs,$J60)</f>
        <v>68274.493831250002</v>
      </c>
      <c r="AK60" s="66">
        <f>SUMIFS(Drivers!BG$10:BG$66,PLAcctIDs,$J60)</f>
        <v>69969.980251718749</v>
      </c>
      <c r="AL60" s="66">
        <f>SUMIFS(Drivers!BH$10:BH$66,PLAcctIDs,$J60)</f>
        <v>71449.575545769549</v>
      </c>
      <c r="AM60" s="66">
        <f>SUMIFS(Drivers!BI$10:BI$66,PLAcctIDs,$J60)</f>
        <v>72649.843766279213</v>
      </c>
      <c r="AN60" s="66">
        <f>SUMIFS(Drivers!BJ$10:BJ$66,PLAcctIDs,$J60)</f>
        <v>73494.987675378055</v>
      </c>
      <c r="AO60" s="66">
        <f>SUMIFS(Drivers!BK$10:BK$66,PLAcctIDs,$J60)</f>
        <v>73894.603268569233</v>
      </c>
      <c r="AP60" s="66">
        <f>SUMIFS(Drivers!BL$10:BL$66,PLAcctIDs,$J60)</f>
        <v>75203.359759318831</v>
      </c>
      <c r="AQ60" s="66">
        <f>SUMIFS(Drivers!BM$10:BM$66,PLAcctIDs,$J60)</f>
        <v>76415.91129673089</v>
      </c>
      <c r="AR60" s="66">
        <f>SUMIFS(Drivers!BN$10:BN$66,PLAcctIDs,$J60)</f>
        <v>77543.949229608013</v>
      </c>
      <c r="AS60" s="66">
        <f>SUMIFS(Drivers!BO$10:BO$66,PLAcctIDs,$J60)</f>
        <v>78610.464624279732</v>
      </c>
      <c r="AT60" s="66">
        <f>SUMIFS(Drivers!BP$10:BP$66,PLAcctIDs,$J60)</f>
        <v>79653.573274429829</v>
      </c>
      <c r="AU60" s="66">
        <f>SUMIFS(Drivers!BQ$10:BQ$66,PLAcctIDs,$J60)</f>
        <v>80731.325754263889</v>
      </c>
      <c r="AV60" s="66">
        <f>SUMIFS(Drivers!BR$10:BR$66,PLAcctIDs,$J60)</f>
        <v>81927.752189260456</v>
      </c>
      <c r="AW60" s="66">
        <f>SUMIFS(Drivers!BS$10:BS$66,PLAcctIDs,$J60)</f>
        <v>83104.520864500242</v>
      </c>
    </row>
    <row r="61" spans="2:49" ht="18.75" customHeight="1" outlineLevel="1">
      <c r="B61" s="22"/>
      <c r="C61" s="67"/>
      <c r="D61" s="26" t="s">
        <v>181</v>
      </c>
      <c r="E61" s="14" t="str">
        <f>IFERROR(INDEX(PBC_ACCOUNT_LIST[Drivers Section],MATCH('Data Summary'!J61,PBC_ACCOUNT_LIST[Id],0)),"")</f>
        <v>Opex</v>
      </c>
      <c r="F61" s="14" t="str">
        <f>IFERROR(INDEX(PBC_ACCOUNT_LIST[Summary Grouping],MATCH('Data Summary'!J61,PBC_ACCOUNT_LIST[Id],0)),"")</f>
        <v>Payroll</v>
      </c>
      <c r="G61" s="15"/>
      <c r="H61" s="15">
        <f>IFERROR(INDEX(PBC_ACCOUNT_LIST[Cash Flow Section],MATCH('Data Summary'!J61,PBC_ACCOUNT_LIST[Id],0)),"")</f>
        <v>0</v>
      </c>
      <c r="I61" s="14"/>
      <c r="J61" s="14">
        <v>179</v>
      </c>
      <c r="M61" s="66">
        <f>SUMIFS(Drivers!AI$10:AI$66,PLAcctIDs,$J61)</f>
        <v>3229</v>
      </c>
      <c r="N61" s="66">
        <f>SUMIFS(Drivers!AJ$10:AJ$66,PLAcctIDs,$J61)</f>
        <v>1768</v>
      </c>
      <c r="O61" s="66">
        <f>SUMIFS(Drivers!AK$10:AK$66,PLAcctIDs,$J61)</f>
        <v>3390</v>
      </c>
      <c r="P61" s="66">
        <f>SUMIFS(Drivers!AL$10:AL$66,PLAcctIDs,$J61)</f>
        <v>1857</v>
      </c>
      <c r="Q61" s="66">
        <f>SUMIFS(Drivers!AM$10:AM$66,PLAcctIDs,$J61)</f>
        <v>3560</v>
      </c>
      <c r="R61" s="66">
        <f>SUMIFS(Drivers!AN$10:AN$66,PLAcctIDs,$J61)</f>
        <v>1950</v>
      </c>
      <c r="S61" s="66">
        <f>SUMIFS(Drivers!AO$10:AO$66,PLAcctIDs,$J61)</f>
        <v>3738</v>
      </c>
      <c r="T61" s="66">
        <f>SUMIFS(Drivers!AP$10:AP$66,PLAcctIDs,$J61)</f>
        <v>3925</v>
      </c>
      <c r="U61" s="66">
        <f>SUMIFS(Drivers!AQ$10:AQ$66,PLAcctIDs,$J61)</f>
        <v>3925</v>
      </c>
      <c r="V61" s="66">
        <f>SUMIFS(Drivers!AR$10:AR$66,PLAcctIDs,$J61)</f>
        <v>4121</v>
      </c>
      <c r="W61" s="66">
        <f>SUMIFS(Drivers!AS$10:AS$66,PLAcctIDs,$J61)</f>
        <v>4121</v>
      </c>
      <c r="X61" s="66">
        <f>SUMIFS(Drivers!AT$10:AT$66,PLAcctIDs,$J61)</f>
        <v>4327</v>
      </c>
      <c r="Y61" s="66">
        <f>SUMIFS(Drivers!AU$10:AU$66,PLAcctIDs,$J61)</f>
        <v>4544</v>
      </c>
      <c r="Z61" s="66">
        <f>SUMIFS(Drivers!AV$10:AV$66,PLAcctIDs,$J61)</f>
        <v>4770.7</v>
      </c>
      <c r="AA61" s="66">
        <f>SUMIFS(Drivers!AW$10:AW$66,PLAcctIDs,$J61)</f>
        <v>5009</v>
      </c>
      <c r="AB61" s="66">
        <f>SUMIFS(Drivers!AX$10:AX$66,PLAcctIDs,$J61)</f>
        <v>5260</v>
      </c>
      <c r="AC61" s="66">
        <f>SUMIFS(Drivers!AY$10:AY$66,PLAcctIDs,$J61)</f>
        <v>5523</v>
      </c>
      <c r="AD61" s="66">
        <f>SUMIFS(Drivers!AZ$10:AZ$66,PLAcctIDs,$J61)</f>
        <v>5799</v>
      </c>
      <c r="AE61" s="66">
        <f>SUMIFS(Drivers!BA$10:BA$66,PLAcctIDs,$J61)</f>
        <v>6088.78</v>
      </c>
      <c r="AF61" s="66">
        <f>SUMIFS(Drivers!BB$10:BB$66,PLAcctIDs,$J61)</f>
        <v>6393.19</v>
      </c>
      <c r="AG61" s="66">
        <f>SUMIFS(Drivers!BC$10:BC$66,PLAcctIDs,$J61)</f>
        <v>6712.85</v>
      </c>
      <c r="AH61" s="66">
        <f>SUMIFS(Drivers!BD$10:BD$66,PLAcctIDs,$J61)</f>
        <v>7048.49</v>
      </c>
      <c r="AI61" s="66">
        <f>SUMIFS(Drivers!BE$10:BE$66,PLAcctIDs,$J61)</f>
        <v>6573.9292499999992</v>
      </c>
      <c r="AJ61" s="66">
        <f>SUMIFS(Drivers!BF$10:BF$66,PLAcctIDs,$J61)</f>
        <v>6757.8418687499998</v>
      </c>
      <c r="AK61" s="66">
        <f>SUMIFS(Drivers!BG$10:BG$66,PLAcctIDs,$J61)</f>
        <v>6925.6391957812502</v>
      </c>
      <c r="AL61" s="66">
        <f>SUMIFS(Drivers!BH$10:BH$66,PLAcctIDs,$J61)</f>
        <v>7072.0895550429696</v>
      </c>
      <c r="AM61" s="66">
        <f>SUMIFS(Drivers!BI$10:BI$66,PLAcctIDs,$J61)</f>
        <v>7190.8969771754892</v>
      </c>
      <c r="AN61" s="66">
        <f>SUMIFS(Drivers!BJ$10:BJ$66,PLAcctIDs,$J61)</f>
        <v>7274.5551981811996</v>
      </c>
      <c r="AO61" s="66">
        <f>SUMIFS(Drivers!BK$10:BK$66,PLAcctIDs,$J61)</f>
        <v>7314.1166078629094</v>
      </c>
      <c r="AP61" s="66">
        <f>SUMIFS(Drivers!BL$10:BL$66,PLAcctIDs,$J61)</f>
        <v>7443.6493954889193</v>
      </c>
      <c r="AQ61" s="66">
        <f>SUMIFS(Drivers!BM$10:BM$66,PLAcctIDs,$J61)</f>
        <v>7563.6657126682276</v>
      </c>
      <c r="AR61" s="66">
        <f>SUMIFS(Drivers!BN$10:BN$66,PLAcctIDs,$J61)</f>
        <v>7675.3203531234494</v>
      </c>
      <c r="AS61" s="66">
        <f>SUMIFS(Drivers!BO$10:BO$66,PLAcctIDs,$J61)</f>
        <v>7780.8857427875346</v>
      </c>
      <c r="AT61" s="66">
        <f>SUMIFS(Drivers!BP$10:BP$66,PLAcctIDs,$J61)</f>
        <v>7884.1337767696414</v>
      </c>
      <c r="AU61" s="66">
        <f>SUMIFS(Drivers!BQ$10:BQ$66,PLAcctIDs,$J61)</f>
        <v>7990.8100280226199</v>
      </c>
      <c r="AV61" s="66">
        <f>SUMIFS(Drivers!BR$10:BR$66,PLAcctIDs,$J61)</f>
        <v>8109.2313765505687</v>
      </c>
      <c r="AW61" s="66">
        <f>SUMIFS(Drivers!BS$10:BS$66,PLAcctIDs,$J61)</f>
        <v>8225.7082232363573</v>
      </c>
    </row>
    <row r="62" spans="2:49" ht="18.75" customHeight="1" outlineLevel="1">
      <c r="B62" s="22"/>
      <c r="C62" s="67"/>
      <c r="D62" s="26" t="s">
        <v>182</v>
      </c>
      <c r="E62" s="14" t="str">
        <f>IFERROR(INDEX(PBC_ACCOUNT_LIST[Drivers Section],MATCH('Data Summary'!J62,PBC_ACCOUNT_LIST[Id],0)),"")</f>
        <v>Opex</v>
      </c>
      <c r="F62" s="14" t="str">
        <f>IFERROR(INDEX(PBC_ACCOUNT_LIST[Summary Grouping],MATCH('Data Summary'!J62,PBC_ACCOUNT_LIST[Id],0)),"")</f>
        <v>Payroll</v>
      </c>
      <c r="G62" s="15"/>
      <c r="H62" s="15">
        <f>IFERROR(INDEX(PBC_ACCOUNT_LIST[Cash Flow Section],MATCH('Data Summary'!J62,PBC_ACCOUNT_LIST[Id],0)),"")</f>
        <v>0</v>
      </c>
      <c r="I62" s="14"/>
      <c r="J62" s="14">
        <v>180</v>
      </c>
      <c r="M62" s="66">
        <f>SUMIFS(Drivers!AI$10:AI$66,PLAcctIDs,$J62)</f>
        <v>1436</v>
      </c>
      <c r="N62" s="66">
        <f>SUMIFS(Drivers!AJ$10:AJ$66,PLAcctIDs,$J62)</f>
        <v>1285</v>
      </c>
      <c r="O62" s="66">
        <f>SUMIFS(Drivers!AK$10:AK$66,PLAcctIDs,$J62)</f>
        <v>1508</v>
      </c>
      <c r="P62" s="66">
        <f>SUMIFS(Drivers!AL$10:AL$66,PLAcctIDs,$J62)</f>
        <v>1349</v>
      </c>
      <c r="Q62" s="66">
        <f>SUMIFS(Drivers!AM$10:AM$66,PLAcctIDs,$J62)</f>
        <v>1583</v>
      </c>
      <c r="R62" s="66">
        <f>SUMIFS(Drivers!AN$10:AN$66,PLAcctIDs,$J62)</f>
        <v>1416</v>
      </c>
      <c r="S62" s="66">
        <f>SUMIFS(Drivers!AO$10:AO$66,PLAcctIDs,$J62)</f>
        <v>1662</v>
      </c>
      <c r="T62" s="66">
        <f>SUMIFS(Drivers!AP$10:AP$66,PLAcctIDs,$J62)</f>
        <v>1745</v>
      </c>
      <c r="U62" s="66">
        <f>SUMIFS(Drivers!AQ$10:AQ$66,PLAcctIDs,$J62)</f>
        <v>1745</v>
      </c>
      <c r="V62" s="66">
        <f>SUMIFS(Drivers!AR$10:AR$66,PLAcctIDs,$J62)</f>
        <v>1833</v>
      </c>
      <c r="W62" s="66">
        <f>SUMIFS(Drivers!AS$10:AS$66,PLAcctIDs,$J62)</f>
        <v>1833</v>
      </c>
      <c r="X62" s="66">
        <f>SUMIFS(Drivers!AT$10:AT$66,PLAcctIDs,$J62)</f>
        <v>1924</v>
      </c>
      <c r="Y62" s="66">
        <f>SUMIFS(Drivers!AU$10:AU$66,PLAcctIDs,$J62)</f>
        <v>2021</v>
      </c>
      <c r="Z62" s="66">
        <f>SUMIFS(Drivers!AV$10:AV$66,PLAcctIDs,$J62)</f>
        <v>2121.61</v>
      </c>
      <c r="AA62" s="66">
        <f>SUMIFS(Drivers!AW$10:AW$66,PLAcctIDs,$J62)</f>
        <v>2228</v>
      </c>
      <c r="AB62" s="66">
        <f>SUMIFS(Drivers!AX$10:AX$66,PLAcctIDs,$J62)</f>
        <v>2339</v>
      </c>
      <c r="AC62" s="66">
        <f>SUMIFS(Drivers!AY$10:AY$66,PLAcctIDs,$J62)</f>
        <v>2456</v>
      </c>
      <c r="AD62" s="66">
        <f>SUMIFS(Drivers!AZ$10:AZ$66,PLAcctIDs,$J62)</f>
        <v>2579</v>
      </c>
      <c r="AE62" s="66">
        <f>SUMIFS(Drivers!BA$10:BA$66,PLAcctIDs,$J62)</f>
        <v>2707.78</v>
      </c>
      <c r="AF62" s="66">
        <f>SUMIFS(Drivers!BB$10:BB$66,PLAcctIDs,$J62)</f>
        <v>2843.16</v>
      </c>
      <c r="AG62" s="66">
        <f>SUMIFS(Drivers!BC$10:BC$66,PLAcctIDs,$J62)</f>
        <v>2985.31</v>
      </c>
      <c r="AH62" s="66">
        <f>SUMIFS(Drivers!BD$10:BD$66,PLAcctIDs,$J62)</f>
        <v>3134.58</v>
      </c>
      <c r="AI62" s="66">
        <f>SUMIFS(Drivers!BE$10:BE$66,PLAcctIDs,$J62)</f>
        <v>2923.5202500000005</v>
      </c>
      <c r="AJ62" s="66">
        <f>SUMIFS(Drivers!BF$10:BF$66,PLAcctIDs,$J62)</f>
        <v>3005.3362937500001</v>
      </c>
      <c r="AK62" s="66">
        <f>SUMIFS(Drivers!BG$10:BG$66,PLAcctIDs,$J62)</f>
        <v>3079.94514515625</v>
      </c>
      <c r="AL62" s="66">
        <f>SUMIFS(Drivers!BH$10:BH$66,PLAcctIDs,$J62)</f>
        <v>3145.0740455585942</v>
      </c>
      <c r="AM62" s="66">
        <f>SUMIFS(Drivers!BI$10:BI$66,PLAcctIDs,$J62)</f>
        <v>3197.9090035313484</v>
      </c>
      <c r="AN62" s="66">
        <f>SUMIFS(Drivers!BJ$10:BJ$66,PLAcctIDs,$J62)</f>
        <v>3235.1138291493344</v>
      </c>
      <c r="AO62" s="66">
        <f>SUMIFS(Drivers!BK$10:BK$66,PLAcctIDs,$J62)</f>
        <v>3252.7072492504672</v>
      </c>
      <c r="AP62" s="66">
        <f>SUMIFS(Drivers!BL$10:BL$66,PLAcctIDs,$J62)</f>
        <v>3310.3149741192988</v>
      </c>
      <c r="AQ62" s="66">
        <f>SUMIFS(Drivers!BM$10:BM$66,PLAcctIDs,$J62)</f>
        <v>3363.6862431839263</v>
      </c>
      <c r="AR62" s="66">
        <f>SUMIFS(Drivers!BN$10:BN$66,PLAcctIDs,$J62)</f>
        <v>3413.3409353387697</v>
      </c>
      <c r="AS62" s="66">
        <f>SUMIFS(Drivers!BO$10:BO$66,PLAcctIDs,$J62)</f>
        <v>3460.2876410503004</v>
      </c>
      <c r="AT62" s="66">
        <f>SUMIFS(Drivers!BP$10:BP$66,PLAcctIDs,$J62)</f>
        <v>3506.2039026161169</v>
      </c>
      <c r="AU62" s="66">
        <f>SUMIFS(Drivers!BQ$10:BQ$66,PLAcctIDs,$J62)</f>
        <v>3553.6446654728043</v>
      </c>
      <c r="AV62" s="66">
        <f>SUMIFS(Drivers!BR$10:BR$66,PLAcctIDs,$J62)</f>
        <v>3606.3087133117137</v>
      </c>
      <c r="AW62" s="66">
        <f>SUMIFS(Drivers!BS$10:BS$66,PLAcctIDs,$J62)</f>
        <v>3658.1076176703859</v>
      </c>
    </row>
    <row r="63" spans="2:49" ht="18.75" customHeight="1" outlineLevel="1">
      <c r="B63" s="22"/>
      <c r="C63" s="67"/>
      <c r="D63" s="26" t="s">
        <v>183</v>
      </c>
      <c r="E63" s="14" t="str">
        <f>IFERROR(INDEX(PBC_ACCOUNT_LIST[Drivers Section],MATCH('Data Summary'!J63,PBC_ACCOUNT_LIST[Id],0)),"")</f>
        <v>Opex</v>
      </c>
      <c r="F63" s="14" t="str">
        <f>IFERROR(INDEX(PBC_ACCOUNT_LIST[Summary Grouping],MATCH('Data Summary'!J63,PBC_ACCOUNT_LIST[Id],0)),"")</f>
        <v>Payroll</v>
      </c>
      <c r="G63" s="15"/>
      <c r="H63" s="15">
        <f>IFERROR(INDEX(PBC_ACCOUNT_LIST[Cash Flow Section],MATCH('Data Summary'!J63,PBC_ACCOUNT_LIST[Id],0)),"")</f>
        <v>0</v>
      </c>
      <c r="I63" s="14"/>
      <c r="J63" s="14">
        <v>181</v>
      </c>
      <c r="M63" s="66">
        <f>SUMIFS(Drivers!AI$10:AI$66,PLAcctIDs,$J63)</f>
        <v>99</v>
      </c>
      <c r="N63" s="66">
        <f>SUMIFS(Drivers!AJ$10:AJ$66,PLAcctIDs,$J63)</f>
        <v>60</v>
      </c>
      <c r="O63" s="66">
        <f>SUMIFS(Drivers!AK$10:AK$66,PLAcctIDs,$J63)</f>
        <v>104</v>
      </c>
      <c r="P63" s="66">
        <f>SUMIFS(Drivers!AL$10:AL$66,PLAcctIDs,$J63)</f>
        <v>63</v>
      </c>
      <c r="Q63" s="66">
        <f>SUMIFS(Drivers!AM$10:AM$66,PLAcctIDs,$J63)</f>
        <v>109</v>
      </c>
      <c r="R63" s="66">
        <f>SUMIFS(Drivers!AN$10:AN$66,PLAcctIDs,$J63)</f>
        <v>67</v>
      </c>
      <c r="S63" s="66">
        <f>SUMIFS(Drivers!AO$10:AO$66,PLAcctIDs,$J63)</f>
        <v>114</v>
      </c>
      <c r="T63" s="66">
        <f>SUMIFS(Drivers!AP$10:AP$66,PLAcctIDs,$J63)</f>
        <v>120</v>
      </c>
      <c r="U63" s="66">
        <f>SUMIFS(Drivers!AQ$10:AQ$66,PLAcctIDs,$J63)</f>
        <v>120</v>
      </c>
      <c r="V63" s="66">
        <f>SUMIFS(Drivers!AR$10:AR$66,PLAcctIDs,$J63)</f>
        <v>126</v>
      </c>
      <c r="W63" s="66">
        <f>SUMIFS(Drivers!AS$10:AS$66,PLAcctIDs,$J63)</f>
        <v>126.34</v>
      </c>
      <c r="X63" s="66">
        <f>SUMIFS(Drivers!AT$10:AT$66,PLAcctIDs,$J63)</f>
        <v>132.34</v>
      </c>
      <c r="Y63" s="66">
        <f>SUMIFS(Drivers!AU$10:AU$66,PLAcctIDs,$J63)</f>
        <v>139</v>
      </c>
      <c r="Z63" s="66">
        <f>SUMIFS(Drivers!AV$10:AV$66,PLAcctIDs,$J63)</f>
        <v>145.83000000000001</v>
      </c>
      <c r="AA63" s="66">
        <f>SUMIFS(Drivers!AW$10:AW$66,PLAcctIDs,$J63)</f>
        <v>153</v>
      </c>
      <c r="AB63" s="66">
        <f>SUMIFS(Drivers!AX$10:AX$66,PLAcctIDs,$J63)</f>
        <v>161</v>
      </c>
      <c r="AC63" s="66">
        <f>SUMIFS(Drivers!AY$10:AY$66,PLAcctIDs,$J63)</f>
        <v>169</v>
      </c>
      <c r="AD63" s="66">
        <f>SUMIFS(Drivers!AZ$10:AZ$66,PLAcctIDs,$J63)</f>
        <v>177</v>
      </c>
      <c r="AE63" s="66">
        <f>SUMIFS(Drivers!BA$10:BA$66,PLAcctIDs,$J63)</f>
        <v>186.13</v>
      </c>
      <c r="AF63" s="66">
        <f>SUMIFS(Drivers!BB$10:BB$66,PLAcctIDs,$J63)</f>
        <v>195.43</v>
      </c>
      <c r="AG63" s="66">
        <f>SUMIFS(Drivers!BC$10:BC$66,PLAcctIDs,$J63)</f>
        <v>205.2</v>
      </c>
      <c r="AH63" s="66">
        <f>SUMIFS(Drivers!BD$10:BD$66,PLAcctIDs,$J63)</f>
        <v>215.46</v>
      </c>
      <c r="AI63" s="66">
        <f>SUMIFS(Drivers!BE$10:BE$66,PLAcctIDs,$J63)</f>
        <v>200.9385</v>
      </c>
      <c r="AJ63" s="66">
        <f>SUMIFS(Drivers!BF$10:BF$66,PLAcctIDs,$J63)</f>
        <v>206.5277375</v>
      </c>
      <c r="AK63" s="66">
        <f>SUMIFS(Drivers!BG$10:BG$66,PLAcctIDs,$J63)</f>
        <v>211.69509156250001</v>
      </c>
      <c r="AL63" s="66">
        <f>SUMIFS(Drivers!BH$10:BH$66,PLAcctIDs,$J63)</f>
        <v>216.1689825859375</v>
      </c>
      <c r="AM63" s="66">
        <f>SUMIFS(Drivers!BI$10:BI$66,PLAcctIDs,$J63)</f>
        <v>219.79830453847657</v>
      </c>
      <c r="AN63" s="66">
        <f>SUMIFS(Drivers!BJ$10:BJ$66,PLAcctIDs,$J63)</f>
        <v>222.35300783270998</v>
      </c>
      <c r="AO63" s="66">
        <f>SUMIFS(Drivers!BK$10:BK$66,PLAcctIDs,$J63)</f>
        <v>223.55928420343426</v>
      </c>
      <c r="AP63" s="66">
        <f>SUMIFS(Drivers!BL$10:BL$66,PLAcctIDs,$J63)</f>
        <v>227.51792143903521</v>
      </c>
      <c r="AQ63" s="66">
        <f>SUMIFS(Drivers!BM$10:BM$66,PLAcctIDs,$J63)</f>
        <v>231.1912036283664</v>
      </c>
      <c r="AR63" s="66">
        <f>SUMIFS(Drivers!BN$10:BN$66,PLAcctIDs,$J63)</f>
        <v>234.60302323989296</v>
      </c>
      <c r="AS63" s="66">
        <f>SUMIFS(Drivers!BO$10:BO$66,PLAcctIDs,$J63)</f>
        <v>237.82898035433519</v>
      </c>
      <c r="AT63" s="66">
        <f>SUMIFS(Drivers!BP$10:BP$66,PLAcctIDs,$J63)</f>
        <v>240.98434862211047</v>
      </c>
      <c r="AU63" s="66">
        <f>SUMIFS(Drivers!BQ$10:BQ$66,PLAcctIDs,$J63)</f>
        <v>244.2448332602556</v>
      </c>
      <c r="AV63" s="66">
        <f>SUMIFS(Drivers!BR$10:BR$66,PLAcctIDs,$J63)</f>
        <v>247.86480434519925</v>
      </c>
      <c r="AW63" s="66">
        <f>SUMIFS(Drivers!BS$10:BS$66,PLAcctIDs,$J63)</f>
        <v>251.42550885377798</v>
      </c>
    </row>
    <row r="64" spans="2:49" ht="18.75" customHeight="1" outlineLevel="1">
      <c r="B64" s="22"/>
      <c r="C64" s="67"/>
      <c r="D64" s="26" t="s">
        <v>184</v>
      </c>
      <c r="E64" s="14" t="str">
        <f>IFERROR(INDEX(PBC_ACCOUNT_LIST[Drivers Section],MATCH('Data Summary'!J64,PBC_ACCOUNT_LIST[Id],0)),"")</f>
        <v>Opex</v>
      </c>
      <c r="F64" s="14" t="str">
        <f>IFERROR(INDEX(PBC_ACCOUNT_LIST[Summary Grouping],MATCH('Data Summary'!J64,PBC_ACCOUNT_LIST[Id],0)),"")</f>
        <v>Payroll</v>
      </c>
      <c r="G64" s="15"/>
      <c r="H64" s="15">
        <f>IFERROR(INDEX(PBC_ACCOUNT_LIST[Cash Flow Section],MATCH('Data Summary'!J64,PBC_ACCOUNT_LIST[Id],0)),"")</f>
        <v>0</v>
      </c>
      <c r="I64" s="14"/>
      <c r="J64" s="14">
        <v>182</v>
      </c>
      <c r="M64" s="66">
        <f>SUMIFS(Drivers!AI$10:AI$66,PLAcctIDs,$J64)</f>
        <v>0</v>
      </c>
      <c r="N64" s="66">
        <f>SUMIFS(Drivers!AJ$10:AJ$66,PLAcctIDs,$J64)</f>
        <v>0</v>
      </c>
      <c r="O64" s="66">
        <f>SUMIFS(Drivers!AK$10:AK$66,PLAcctIDs,$J64)</f>
        <v>0</v>
      </c>
      <c r="P64" s="66">
        <f>SUMIFS(Drivers!AL$10:AL$66,PLAcctIDs,$J64)</f>
        <v>0</v>
      </c>
      <c r="Q64" s="66">
        <f>SUMIFS(Drivers!AM$10:AM$66,PLAcctIDs,$J64)</f>
        <v>0</v>
      </c>
      <c r="R64" s="66">
        <f>SUMIFS(Drivers!AN$10:AN$66,PLAcctIDs,$J64)</f>
        <v>0</v>
      </c>
      <c r="S64" s="66">
        <f>SUMIFS(Drivers!AO$10:AO$66,PLAcctIDs,$J64)</f>
        <v>0</v>
      </c>
      <c r="T64" s="66">
        <f>SUMIFS(Drivers!AP$10:AP$66,PLAcctIDs,$J64)</f>
        <v>0</v>
      </c>
      <c r="U64" s="66">
        <f>SUMIFS(Drivers!AQ$10:AQ$66,PLAcctIDs,$J64)</f>
        <v>0</v>
      </c>
      <c r="V64" s="66">
        <f>SUMIFS(Drivers!AR$10:AR$66,PLAcctIDs,$J64)</f>
        <v>0</v>
      </c>
      <c r="W64" s="66">
        <f>SUMIFS(Drivers!AS$10:AS$66,PLAcctIDs,$J64)</f>
        <v>0</v>
      </c>
      <c r="X64" s="66">
        <f>SUMIFS(Drivers!AT$10:AT$66,PLAcctIDs,$J64)</f>
        <v>0</v>
      </c>
      <c r="Y64" s="66">
        <f>SUMIFS(Drivers!AU$10:AU$66,PLAcctIDs,$J64)</f>
        <v>0</v>
      </c>
      <c r="Z64" s="66">
        <f>SUMIFS(Drivers!AV$10:AV$66,PLAcctIDs,$J64)</f>
        <v>0</v>
      </c>
      <c r="AA64" s="66">
        <f>SUMIFS(Drivers!AW$10:AW$66,PLAcctIDs,$J64)</f>
        <v>0</v>
      </c>
      <c r="AB64" s="66">
        <f>SUMIFS(Drivers!AX$10:AX$66,PLAcctIDs,$J64)</f>
        <v>0</v>
      </c>
      <c r="AC64" s="66">
        <f>SUMIFS(Drivers!AY$10:AY$66,PLAcctIDs,$J64)</f>
        <v>0</v>
      </c>
      <c r="AD64" s="66">
        <f>SUMIFS(Drivers!AZ$10:AZ$66,PLAcctIDs,$J64)</f>
        <v>0</v>
      </c>
      <c r="AE64" s="66">
        <f>SUMIFS(Drivers!BA$10:BA$66,PLAcctIDs,$J64)</f>
        <v>0</v>
      </c>
      <c r="AF64" s="66">
        <f>SUMIFS(Drivers!BB$10:BB$66,PLAcctIDs,$J64)</f>
        <v>0</v>
      </c>
      <c r="AG64" s="66">
        <f>SUMIFS(Drivers!BC$10:BC$66,PLAcctIDs,$J64)</f>
        <v>0</v>
      </c>
      <c r="AH64" s="66">
        <f>SUMIFS(Drivers!BD$10:BD$66,PLAcctIDs,$J64)</f>
        <v>0</v>
      </c>
      <c r="AI64" s="66">
        <f>SUMIFS(Drivers!BE$10:BE$66,PLAcctIDs,$J64)</f>
        <v>0</v>
      </c>
      <c r="AJ64" s="66">
        <f>SUMIFS(Drivers!BF$10:BF$66,PLAcctIDs,$J64)</f>
        <v>0</v>
      </c>
      <c r="AK64" s="66">
        <f>SUMIFS(Drivers!BG$10:BG$66,PLAcctIDs,$J64)</f>
        <v>0</v>
      </c>
      <c r="AL64" s="66">
        <f>SUMIFS(Drivers!BH$10:BH$66,PLAcctIDs,$J64)</f>
        <v>0</v>
      </c>
      <c r="AM64" s="66">
        <f>SUMIFS(Drivers!BI$10:BI$66,PLAcctIDs,$J64)</f>
        <v>0</v>
      </c>
      <c r="AN64" s="66">
        <f>SUMIFS(Drivers!BJ$10:BJ$66,PLAcctIDs,$J64)</f>
        <v>0</v>
      </c>
      <c r="AO64" s="66">
        <f>SUMIFS(Drivers!BK$10:BK$66,PLAcctIDs,$J64)</f>
        <v>0</v>
      </c>
      <c r="AP64" s="66">
        <f>SUMIFS(Drivers!BL$10:BL$66,PLAcctIDs,$J64)</f>
        <v>0</v>
      </c>
      <c r="AQ64" s="66">
        <f>SUMIFS(Drivers!BM$10:BM$66,PLAcctIDs,$J64)</f>
        <v>0</v>
      </c>
      <c r="AR64" s="66">
        <f>SUMIFS(Drivers!BN$10:BN$66,PLAcctIDs,$J64)</f>
        <v>0</v>
      </c>
      <c r="AS64" s="66">
        <f>SUMIFS(Drivers!BO$10:BO$66,PLAcctIDs,$J64)</f>
        <v>0</v>
      </c>
      <c r="AT64" s="66">
        <f>SUMIFS(Drivers!BP$10:BP$66,PLAcctIDs,$J64)</f>
        <v>0</v>
      </c>
      <c r="AU64" s="66">
        <f>SUMIFS(Drivers!BQ$10:BQ$66,PLAcctIDs,$J64)</f>
        <v>0</v>
      </c>
      <c r="AV64" s="66">
        <f>SUMIFS(Drivers!BR$10:BR$66,PLAcctIDs,$J64)</f>
        <v>0</v>
      </c>
      <c r="AW64" s="66">
        <f>SUMIFS(Drivers!BS$10:BS$66,PLAcctIDs,$J64)</f>
        <v>0</v>
      </c>
    </row>
    <row r="65" spans="2:49" ht="18.75" customHeight="1" outlineLevel="1">
      <c r="B65" s="22"/>
      <c r="C65" s="67"/>
      <c r="D65" s="26" t="s">
        <v>185</v>
      </c>
      <c r="E65" s="14" t="str">
        <f>IFERROR(INDEX(PBC_ACCOUNT_LIST[Drivers Section],MATCH('Data Summary'!J65,PBC_ACCOUNT_LIST[Id],0)),"")</f>
        <v>Opex</v>
      </c>
      <c r="F65" s="14" t="str">
        <f>IFERROR(INDEX(PBC_ACCOUNT_LIST[Summary Grouping],MATCH('Data Summary'!J65,PBC_ACCOUNT_LIST[Id],0)),"")</f>
        <v>Office &amp; Other G&amp;A</v>
      </c>
      <c r="G65" s="15"/>
      <c r="H65" s="15">
        <f>IFERROR(INDEX(PBC_ACCOUNT_LIST[Cash Flow Section],MATCH('Data Summary'!J65,PBC_ACCOUNT_LIST[Id],0)),"")</f>
        <v>0</v>
      </c>
      <c r="I65" s="14"/>
      <c r="J65" s="14">
        <v>183</v>
      </c>
      <c r="M65" s="66">
        <f>SUMIFS(Drivers!AI$10:AI$66,PLAcctIDs,$J65)</f>
        <v>586</v>
      </c>
      <c r="N65" s="66">
        <f>SUMIFS(Drivers!AJ$10:AJ$66,PLAcctIDs,$J65)</f>
        <v>406</v>
      </c>
      <c r="O65" s="66">
        <f>SUMIFS(Drivers!AK$10:AK$66,PLAcctIDs,$J65)</f>
        <v>615</v>
      </c>
      <c r="P65" s="66">
        <f>SUMIFS(Drivers!AL$10:AL$66,PLAcctIDs,$J65)</f>
        <v>426</v>
      </c>
      <c r="Q65" s="66">
        <f>SUMIFS(Drivers!AM$10:AM$66,PLAcctIDs,$J65)</f>
        <v>646</v>
      </c>
      <c r="R65" s="66">
        <f>SUMIFS(Drivers!AN$10:AN$66,PLAcctIDs,$J65)</f>
        <v>447</v>
      </c>
      <c r="S65" s="66">
        <f>SUMIFS(Drivers!AO$10:AO$66,PLAcctIDs,$J65)</f>
        <v>678</v>
      </c>
      <c r="T65" s="66">
        <f>SUMIFS(Drivers!AP$10:AP$66,PLAcctIDs,$J65)</f>
        <v>712</v>
      </c>
      <c r="U65" s="66">
        <f>SUMIFS(Drivers!AQ$10:AQ$66,PLAcctIDs,$J65)</f>
        <v>712</v>
      </c>
      <c r="V65" s="66">
        <f>SUMIFS(Drivers!AR$10:AR$66,PLAcctIDs,$J65)</f>
        <v>748</v>
      </c>
      <c r="W65" s="66">
        <f>SUMIFS(Drivers!AS$10:AS$66,PLAcctIDs,$J65)</f>
        <v>748</v>
      </c>
      <c r="X65" s="66">
        <f>SUMIFS(Drivers!AT$10:AT$66,PLAcctIDs,$J65)</f>
        <v>785</v>
      </c>
      <c r="Y65" s="66">
        <f>SUMIFS(Drivers!AU$10:AU$66,PLAcctIDs,$J65)</f>
        <v>824</v>
      </c>
      <c r="Z65" s="66">
        <f>SUMIFS(Drivers!AV$10:AV$66,PLAcctIDs,$J65)</f>
        <v>865.53</v>
      </c>
      <c r="AA65" s="66">
        <f>SUMIFS(Drivers!AW$10:AW$66,PLAcctIDs,$J65)</f>
        <v>909</v>
      </c>
      <c r="AB65" s="66">
        <f>SUMIFS(Drivers!AX$10:AX$66,PLAcctIDs,$J65)</f>
        <v>954</v>
      </c>
      <c r="AC65" s="66">
        <f>SUMIFS(Drivers!AY$10:AY$66,PLAcctIDs,$J65)</f>
        <v>1002</v>
      </c>
      <c r="AD65" s="66">
        <f>SUMIFS(Drivers!AZ$10:AZ$66,PLAcctIDs,$J65)</f>
        <v>1052</v>
      </c>
      <c r="AE65" s="66">
        <f>SUMIFS(Drivers!BA$10:BA$66,PLAcctIDs,$J65)</f>
        <v>1104.6600000000001</v>
      </c>
      <c r="AF65" s="66">
        <f>SUMIFS(Drivers!BB$10:BB$66,PLAcctIDs,$J65)</f>
        <v>1159.9000000000001</v>
      </c>
      <c r="AG65" s="66">
        <f>SUMIFS(Drivers!BC$10:BC$66,PLAcctIDs,$J65)</f>
        <v>1217.8900000000001</v>
      </c>
      <c r="AH65" s="66">
        <f>SUMIFS(Drivers!BD$10:BD$66,PLAcctIDs,$J65)</f>
        <v>1278.79</v>
      </c>
      <c r="AI65" s="66">
        <f>SUMIFS(Drivers!BE$10:BE$66,PLAcctIDs,$J65)</f>
        <v>1192.6669999999999</v>
      </c>
      <c r="AJ65" s="66">
        <f>SUMIFS(Drivers!BF$10:BF$66,PLAcctIDs,$J65)</f>
        <v>1226.033725</v>
      </c>
      <c r="AK65" s="66">
        <f>SUMIFS(Drivers!BG$10:BG$66,PLAcctIDs,$J65)</f>
        <v>1256.4896268750003</v>
      </c>
      <c r="AL65" s="66">
        <f>SUMIFS(Drivers!BH$10:BH$66,PLAcctIDs,$J65)</f>
        <v>1283.0598115781249</v>
      </c>
      <c r="AM65" s="66">
        <f>SUMIFS(Drivers!BI$10:BI$66,PLAcctIDs,$J65)</f>
        <v>1304.6127786042971</v>
      </c>
      <c r="AN65" s="66">
        <f>SUMIFS(Drivers!BJ$10:BJ$66,PLAcctIDs,$J65)</f>
        <v>1319.7892648600489</v>
      </c>
      <c r="AO65" s="66">
        <f>SUMIFS(Drivers!BK$10:BK$66,PLAcctIDs,$J65)</f>
        <v>1326.9641362105576</v>
      </c>
      <c r="AP65" s="66">
        <f>SUMIFS(Drivers!BL$10:BL$66,PLAcctIDs,$J65)</f>
        <v>1350.466135047405</v>
      </c>
      <c r="AQ65" s="66">
        <f>SUMIFS(Drivers!BM$10:BM$66,PLAcctIDs,$J65)</f>
        <v>1372.2418068057009</v>
      </c>
      <c r="AR65" s="66">
        <f>SUMIFS(Drivers!BN$10:BN$66,PLAcctIDs,$J65)</f>
        <v>1392.4984382935736</v>
      </c>
      <c r="AS65" s="66">
        <f>SUMIFS(Drivers!BO$10:BO$66,PLAcctIDs,$J65)</f>
        <v>1411.6501979687773</v>
      </c>
      <c r="AT65" s="66">
        <f>SUMIFS(Drivers!BP$10:BP$66,PLAcctIDs,$J65)</f>
        <v>1430.3817463575613</v>
      </c>
      <c r="AU65" s="66">
        <f>SUMIFS(Drivers!BQ$10:BQ$66,PLAcctIDs,$J65)</f>
        <v>1449.7354306196257</v>
      </c>
      <c r="AV65" s="66">
        <f>SUMIFS(Drivers!BR$10:BR$66,PLAcctIDs,$J65)</f>
        <v>1471.2204071412127</v>
      </c>
      <c r="AW65" s="66">
        <f>SUMIFS(Drivers!BS$10:BS$66,PLAcctIDs,$J65)</f>
        <v>1492.3524047576293</v>
      </c>
    </row>
    <row r="66" spans="2:49" ht="18.75" customHeight="1" outlineLevel="1">
      <c r="B66" s="22"/>
      <c r="C66" s="67"/>
      <c r="D66" s="26" t="s">
        <v>186</v>
      </c>
      <c r="E66" s="14" t="str">
        <f>IFERROR(INDEX(PBC_ACCOUNT_LIST[Drivers Section],MATCH('Data Summary'!J66,PBC_ACCOUNT_LIST[Id],0)),"")</f>
        <v>Opex</v>
      </c>
      <c r="F66" s="14" t="str">
        <f>IFERROR(INDEX(PBC_ACCOUNT_LIST[Summary Grouping],MATCH('Data Summary'!J66,PBC_ACCOUNT_LIST[Id],0)),"")</f>
        <v>Travel &amp; Entertainment</v>
      </c>
      <c r="G66" s="15"/>
      <c r="H66" s="15">
        <f>IFERROR(INDEX(PBC_ACCOUNT_LIST[Cash Flow Section],MATCH('Data Summary'!J66,PBC_ACCOUNT_LIST[Id],0)),"")</f>
        <v>0</v>
      </c>
      <c r="I66" s="14"/>
      <c r="J66" s="14">
        <v>184</v>
      </c>
      <c r="M66" s="66">
        <f>SUMIFS(Drivers!AI$10:AI$66,PLAcctIDs,$J66)</f>
        <v>0</v>
      </c>
      <c r="N66" s="66">
        <f>SUMIFS(Drivers!AJ$10:AJ$66,PLAcctIDs,$J66)</f>
        <v>0</v>
      </c>
      <c r="O66" s="66">
        <f>SUMIFS(Drivers!AK$10:AK$66,PLAcctIDs,$J66)</f>
        <v>0</v>
      </c>
      <c r="P66" s="66">
        <f>SUMIFS(Drivers!AL$10:AL$66,PLAcctIDs,$J66)</f>
        <v>0</v>
      </c>
      <c r="Q66" s="66">
        <f>SUMIFS(Drivers!AM$10:AM$66,PLAcctIDs,$J66)</f>
        <v>0</v>
      </c>
      <c r="R66" s="66">
        <f>SUMIFS(Drivers!AN$10:AN$66,PLAcctIDs,$J66)</f>
        <v>0</v>
      </c>
      <c r="S66" s="66">
        <f>SUMIFS(Drivers!AO$10:AO$66,PLAcctIDs,$J66)</f>
        <v>0</v>
      </c>
      <c r="T66" s="66">
        <f>SUMIFS(Drivers!AP$10:AP$66,PLAcctIDs,$J66)</f>
        <v>0</v>
      </c>
      <c r="U66" s="66">
        <f>SUMIFS(Drivers!AQ$10:AQ$66,PLAcctIDs,$J66)</f>
        <v>0</v>
      </c>
      <c r="V66" s="66">
        <f>SUMIFS(Drivers!AR$10:AR$66,PLAcctIDs,$J66)</f>
        <v>0</v>
      </c>
      <c r="W66" s="66">
        <f>SUMIFS(Drivers!AS$10:AS$66,PLAcctIDs,$J66)</f>
        <v>0</v>
      </c>
      <c r="X66" s="66">
        <f>SUMIFS(Drivers!AT$10:AT$66,PLAcctIDs,$J66)</f>
        <v>0</v>
      </c>
      <c r="Y66" s="66">
        <f>SUMIFS(Drivers!AU$10:AU$66,PLAcctIDs,$J66)</f>
        <v>0</v>
      </c>
      <c r="Z66" s="66">
        <f>SUMIFS(Drivers!AV$10:AV$66,PLAcctIDs,$J66)</f>
        <v>0</v>
      </c>
      <c r="AA66" s="66">
        <f>SUMIFS(Drivers!AW$10:AW$66,PLAcctIDs,$J66)</f>
        <v>0</v>
      </c>
      <c r="AB66" s="66">
        <f>SUMIFS(Drivers!AX$10:AX$66,PLAcctIDs,$J66)</f>
        <v>0</v>
      </c>
      <c r="AC66" s="66">
        <f>SUMIFS(Drivers!AY$10:AY$66,PLAcctIDs,$J66)</f>
        <v>0</v>
      </c>
      <c r="AD66" s="66">
        <f>SUMIFS(Drivers!AZ$10:AZ$66,PLAcctIDs,$J66)</f>
        <v>0</v>
      </c>
      <c r="AE66" s="66">
        <f>SUMIFS(Drivers!BA$10:BA$66,PLAcctIDs,$J66)</f>
        <v>0</v>
      </c>
      <c r="AF66" s="66">
        <f>SUMIFS(Drivers!BB$10:BB$66,PLAcctIDs,$J66)</f>
        <v>0</v>
      </c>
      <c r="AG66" s="66">
        <f>SUMIFS(Drivers!BC$10:BC$66,PLAcctIDs,$J66)</f>
        <v>0</v>
      </c>
      <c r="AH66" s="66">
        <f>SUMIFS(Drivers!BD$10:BD$66,PLAcctIDs,$J66)</f>
        <v>0</v>
      </c>
      <c r="AI66" s="66">
        <f>SUMIFS(Drivers!BE$10:BE$66,PLAcctIDs,$J66)</f>
        <v>0</v>
      </c>
      <c r="AJ66" s="66">
        <f>SUMIFS(Drivers!BF$10:BF$66,PLAcctIDs,$J66)</f>
        <v>0</v>
      </c>
      <c r="AK66" s="66">
        <f>SUMIFS(Drivers!BG$10:BG$66,PLAcctIDs,$J66)</f>
        <v>0</v>
      </c>
      <c r="AL66" s="66">
        <f>SUMIFS(Drivers!BH$10:BH$66,PLAcctIDs,$J66)</f>
        <v>0</v>
      </c>
      <c r="AM66" s="66">
        <f>SUMIFS(Drivers!BI$10:BI$66,PLAcctIDs,$J66)</f>
        <v>0</v>
      </c>
      <c r="AN66" s="66">
        <f>SUMIFS(Drivers!BJ$10:BJ$66,PLAcctIDs,$J66)</f>
        <v>0</v>
      </c>
      <c r="AO66" s="66">
        <f>SUMIFS(Drivers!BK$10:BK$66,PLAcctIDs,$J66)</f>
        <v>0</v>
      </c>
      <c r="AP66" s="66">
        <f>SUMIFS(Drivers!BL$10:BL$66,PLAcctIDs,$J66)</f>
        <v>0</v>
      </c>
      <c r="AQ66" s="66">
        <f>SUMIFS(Drivers!BM$10:BM$66,PLAcctIDs,$J66)</f>
        <v>0</v>
      </c>
      <c r="AR66" s="66">
        <f>SUMIFS(Drivers!BN$10:BN$66,PLAcctIDs,$J66)</f>
        <v>0</v>
      </c>
      <c r="AS66" s="66">
        <f>SUMIFS(Drivers!BO$10:BO$66,PLAcctIDs,$J66)</f>
        <v>0</v>
      </c>
      <c r="AT66" s="66">
        <f>SUMIFS(Drivers!BP$10:BP$66,PLAcctIDs,$J66)</f>
        <v>0</v>
      </c>
      <c r="AU66" s="66">
        <f>SUMIFS(Drivers!BQ$10:BQ$66,PLAcctIDs,$J66)</f>
        <v>0</v>
      </c>
      <c r="AV66" s="66">
        <f>SUMIFS(Drivers!BR$10:BR$66,PLAcctIDs,$J66)</f>
        <v>0</v>
      </c>
      <c r="AW66" s="66">
        <f>SUMIFS(Drivers!BS$10:BS$66,PLAcctIDs,$J66)</f>
        <v>0</v>
      </c>
    </row>
    <row r="67" spans="2:49" ht="18.75" customHeight="1" outlineLevel="1">
      <c r="B67" s="22"/>
      <c r="C67" s="67"/>
      <c r="D67" s="26" t="s">
        <v>187</v>
      </c>
      <c r="E67" s="14" t="str">
        <f>IFERROR(INDEX(PBC_ACCOUNT_LIST[Drivers Section],MATCH('Data Summary'!J67,PBC_ACCOUNT_LIST[Id],0)),"")</f>
        <v>Opex</v>
      </c>
      <c r="F67" s="14" t="str">
        <f>IFERROR(INDEX(PBC_ACCOUNT_LIST[Summary Grouping],MATCH('Data Summary'!J67,PBC_ACCOUNT_LIST[Id],0)),"")</f>
        <v>Travel &amp; Entertainment</v>
      </c>
      <c r="G67" s="15"/>
      <c r="H67" s="15">
        <f>IFERROR(INDEX(PBC_ACCOUNT_LIST[Cash Flow Section],MATCH('Data Summary'!J67,PBC_ACCOUNT_LIST[Id],0)),"")</f>
        <v>0</v>
      </c>
      <c r="I67" s="14"/>
      <c r="J67" s="14">
        <v>185</v>
      </c>
      <c r="M67" s="66">
        <f>SUMIFS(Drivers!AI$10:AI$66,PLAcctIDs,$J67)</f>
        <v>1796</v>
      </c>
      <c r="N67" s="66">
        <f>SUMIFS(Drivers!AJ$10:AJ$66,PLAcctIDs,$J67)</f>
        <v>1238</v>
      </c>
      <c r="O67" s="66">
        <f>SUMIFS(Drivers!AK$10:AK$66,PLAcctIDs,$J67)</f>
        <v>1886</v>
      </c>
      <c r="P67" s="66">
        <f>SUMIFS(Drivers!AL$10:AL$66,PLAcctIDs,$J67)</f>
        <v>1300</v>
      </c>
      <c r="Q67" s="66">
        <f>SUMIFS(Drivers!AM$10:AM$66,PLAcctIDs,$J67)</f>
        <v>1981</v>
      </c>
      <c r="R67" s="66">
        <f>SUMIFS(Drivers!AN$10:AN$66,PLAcctIDs,$J67)</f>
        <v>1365</v>
      </c>
      <c r="S67" s="66">
        <f>SUMIFS(Drivers!AO$10:AO$66,PLAcctIDs,$J67)</f>
        <v>2080</v>
      </c>
      <c r="T67" s="66">
        <f>SUMIFS(Drivers!AP$10:AP$66,PLAcctIDs,$J67)</f>
        <v>2184</v>
      </c>
      <c r="U67" s="66">
        <f>SUMIFS(Drivers!AQ$10:AQ$66,PLAcctIDs,$J67)</f>
        <v>2184</v>
      </c>
      <c r="V67" s="66">
        <f>SUMIFS(Drivers!AR$10:AR$66,PLAcctIDs,$J67)</f>
        <v>2293</v>
      </c>
      <c r="W67" s="66">
        <f>SUMIFS(Drivers!AS$10:AS$66,PLAcctIDs,$J67)</f>
        <v>2293</v>
      </c>
      <c r="X67" s="66">
        <f>SUMIFS(Drivers!AT$10:AT$66,PLAcctIDs,$J67)</f>
        <v>2407</v>
      </c>
      <c r="Y67" s="66">
        <f>SUMIFS(Drivers!AU$10:AU$66,PLAcctIDs,$J67)</f>
        <v>2528</v>
      </c>
      <c r="Z67" s="66">
        <f>SUMIFS(Drivers!AV$10:AV$66,PLAcctIDs,$J67)</f>
        <v>2654.23</v>
      </c>
      <c r="AA67" s="66">
        <f>SUMIFS(Drivers!AW$10:AW$66,PLAcctIDs,$J67)</f>
        <v>2787</v>
      </c>
      <c r="AB67" s="66">
        <f>SUMIFS(Drivers!AX$10:AX$66,PLAcctIDs,$J67)</f>
        <v>2926</v>
      </c>
      <c r="AC67" s="66">
        <f>SUMIFS(Drivers!AY$10:AY$66,PLAcctIDs,$J67)</f>
        <v>3073</v>
      </c>
      <c r="AD67" s="66">
        <f>SUMIFS(Drivers!AZ$10:AZ$66,PLAcctIDs,$J67)</f>
        <v>3226</v>
      </c>
      <c r="AE67" s="66">
        <f>SUMIFS(Drivers!BA$10:BA$66,PLAcctIDs,$J67)</f>
        <v>3387.55</v>
      </c>
      <c r="AF67" s="66">
        <f>SUMIFS(Drivers!BB$10:BB$66,PLAcctIDs,$J67)</f>
        <v>3556.93</v>
      </c>
      <c r="AG67" s="66">
        <f>SUMIFS(Drivers!BC$10:BC$66,PLAcctIDs,$J67)</f>
        <v>3734.77</v>
      </c>
      <c r="AH67" s="66">
        <f>SUMIFS(Drivers!BD$10:BD$66,PLAcctIDs,$J67)</f>
        <v>3921.51</v>
      </c>
      <c r="AI67" s="66">
        <f>SUMIFS(Drivers!BE$10:BE$66,PLAcctIDs,$J67)</f>
        <v>3657.4580000000005</v>
      </c>
      <c r="AJ67" s="66">
        <f>SUMIFS(Drivers!BF$10:BF$66,PLAcctIDs,$J67)</f>
        <v>3759.7381500000001</v>
      </c>
      <c r="AK67" s="66">
        <f>SUMIFS(Drivers!BG$10:BG$66,PLAcctIDs,$J67)</f>
        <v>3853.1423262500007</v>
      </c>
      <c r="AL67" s="66">
        <f>SUMIFS(Drivers!BH$10:BH$66,PLAcctIDs,$J67)</f>
        <v>3934.6209833437501</v>
      </c>
      <c r="AM67" s="66">
        <f>SUMIFS(Drivers!BI$10:BI$66,PLAcctIDs,$J67)</f>
        <v>4000.716905428907</v>
      </c>
      <c r="AN67" s="66">
        <f>SUMIFS(Drivers!BJ$10:BJ$66,PLAcctIDs,$J67)</f>
        <v>4047.2576138789664</v>
      </c>
      <c r="AO67" s="66">
        <f>SUMIFS(Drivers!BK$10:BK$66,PLAcctIDs,$J67)</f>
        <v>4069.2634463077843</v>
      </c>
      <c r="AP67" s="66">
        <f>SUMIFS(Drivers!BL$10:BL$66,PLAcctIDs,$J67)</f>
        <v>4141.3293994116466</v>
      </c>
      <c r="AQ67" s="66">
        <f>SUMIFS(Drivers!BM$10:BM$66,PLAcctIDs,$J67)</f>
        <v>4208.1078680586843</v>
      </c>
      <c r="AR67" s="66">
        <f>SUMIFS(Drivers!BN$10:BN$66,PLAcctIDs,$J67)</f>
        <v>4270.2268378752042</v>
      </c>
      <c r="AS67" s="66">
        <f>SUMIFS(Drivers!BO$10:BO$66,PLAcctIDs,$J67)</f>
        <v>4328.9578624182086</v>
      </c>
      <c r="AT67" s="66">
        <f>SUMIFS(Drivers!BP$10:BP$66,PLAcctIDs,$J67)</f>
        <v>4386.400029891337</v>
      </c>
      <c r="AU67" s="66">
        <f>SUMIFS(Drivers!BQ$10:BQ$66,PLAcctIDs,$J67)</f>
        <v>4445.7499526935017</v>
      </c>
      <c r="AV67" s="66">
        <f>SUMIFS(Drivers!BR$10:BR$66,PLAcctIDs,$J67)</f>
        <v>4511.6350913110018</v>
      </c>
      <c r="AW67" s="66">
        <f>SUMIFS(Drivers!BS$10:BS$66,PLAcctIDs,$J67)</f>
        <v>4576.4385873933898</v>
      </c>
    </row>
    <row r="68" spans="2:49" ht="18.75" customHeight="1" outlineLevel="1">
      <c r="B68" s="22"/>
      <c r="C68" s="67"/>
      <c r="D68" s="26" t="s">
        <v>188</v>
      </c>
      <c r="E68" s="14" t="str">
        <f>IFERROR(INDEX(PBC_ACCOUNT_LIST[Drivers Section],MATCH('Data Summary'!J68,PBC_ACCOUNT_LIST[Id],0)),"")</f>
        <v>Opex</v>
      </c>
      <c r="F68" s="14" t="str">
        <f>IFERROR(INDEX(PBC_ACCOUNT_LIST[Summary Grouping],MATCH('Data Summary'!J68,PBC_ACCOUNT_LIST[Id],0)),"")</f>
        <v>Travel &amp; Entertainment</v>
      </c>
      <c r="G68" s="15"/>
      <c r="H68" s="15">
        <f>IFERROR(INDEX(PBC_ACCOUNT_LIST[Cash Flow Section],MATCH('Data Summary'!J68,PBC_ACCOUNT_LIST[Id],0)),"")</f>
        <v>0</v>
      </c>
      <c r="I68" s="14"/>
      <c r="J68" s="14">
        <v>186</v>
      </c>
      <c r="M68" s="66">
        <f>SUMIFS(Drivers!AI$10:AI$66,PLAcctIDs,$J68)</f>
        <v>1973</v>
      </c>
      <c r="N68" s="66">
        <f>SUMIFS(Drivers!AJ$10:AJ$66,PLAcctIDs,$J68)</f>
        <v>1167</v>
      </c>
      <c r="O68" s="66">
        <f>SUMIFS(Drivers!AK$10:AK$66,PLAcctIDs,$J68)</f>
        <v>2071</v>
      </c>
      <c r="P68" s="66">
        <f>SUMIFS(Drivers!AL$10:AL$66,PLAcctIDs,$J68)</f>
        <v>1225</v>
      </c>
      <c r="Q68" s="66">
        <f>SUMIFS(Drivers!AM$10:AM$66,PLAcctIDs,$J68)</f>
        <v>2175</v>
      </c>
      <c r="R68" s="66">
        <f>SUMIFS(Drivers!AN$10:AN$66,PLAcctIDs,$J68)</f>
        <v>1286</v>
      </c>
      <c r="S68" s="66">
        <f>SUMIFS(Drivers!AO$10:AO$66,PLAcctIDs,$J68)</f>
        <v>2284</v>
      </c>
      <c r="T68" s="66">
        <f>SUMIFS(Drivers!AP$10:AP$66,PLAcctIDs,$J68)</f>
        <v>2398</v>
      </c>
      <c r="U68" s="66">
        <f>SUMIFS(Drivers!AQ$10:AQ$66,PLAcctIDs,$J68)</f>
        <v>2398</v>
      </c>
      <c r="V68" s="66">
        <f>SUMIFS(Drivers!AR$10:AR$66,PLAcctIDs,$J68)</f>
        <v>2518</v>
      </c>
      <c r="W68" s="66">
        <f>SUMIFS(Drivers!AS$10:AS$66,PLAcctIDs,$J68)</f>
        <v>2518</v>
      </c>
      <c r="X68" s="66">
        <f>SUMIFS(Drivers!AT$10:AT$66,PLAcctIDs,$J68)</f>
        <v>2644</v>
      </c>
      <c r="Y68" s="66">
        <f>SUMIFS(Drivers!AU$10:AU$66,PLAcctIDs,$J68)</f>
        <v>2776</v>
      </c>
      <c r="Z68" s="66">
        <f>SUMIFS(Drivers!AV$10:AV$66,PLAcctIDs,$J68)</f>
        <v>2914.68</v>
      </c>
      <c r="AA68" s="66">
        <f>SUMIFS(Drivers!AW$10:AW$66,PLAcctIDs,$J68)</f>
        <v>3060</v>
      </c>
      <c r="AB68" s="66">
        <f>SUMIFS(Drivers!AX$10:AX$66,PLAcctIDs,$J68)</f>
        <v>3213</v>
      </c>
      <c r="AC68" s="66">
        <f>SUMIFS(Drivers!AY$10:AY$66,PLAcctIDs,$J68)</f>
        <v>3374</v>
      </c>
      <c r="AD68" s="66">
        <f>SUMIFS(Drivers!AZ$10:AZ$66,PLAcctIDs,$J68)</f>
        <v>3543</v>
      </c>
      <c r="AE68" s="66">
        <f>SUMIFS(Drivers!BA$10:BA$66,PLAcctIDs,$J68)</f>
        <v>3719.9</v>
      </c>
      <c r="AF68" s="66">
        <f>SUMIFS(Drivers!BB$10:BB$66,PLAcctIDs,$J68)</f>
        <v>3905.95</v>
      </c>
      <c r="AG68" s="66">
        <f>SUMIFS(Drivers!BC$10:BC$66,PLAcctIDs,$J68)</f>
        <v>4101.25</v>
      </c>
      <c r="AH68" s="66">
        <f>SUMIFS(Drivers!BD$10:BD$66,PLAcctIDs,$J68)</f>
        <v>4306.32</v>
      </c>
      <c r="AI68" s="66">
        <f>SUMIFS(Drivers!BE$10:BE$66,PLAcctIDs,$J68)</f>
        <v>4016.3235</v>
      </c>
      <c r="AJ68" s="66">
        <f>SUMIFS(Drivers!BF$10:BF$66,PLAcctIDs,$J68)</f>
        <v>4128.7301124999994</v>
      </c>
      <c r="AK68" s="66">
        <f>SUMIFS(Drivers!BG$10:BG$66,PLAcctIDs,$J68)</f>
        <v>4231.2328821874999</v>
      </c>
      <c r="AL68" s="66">
        <f>SUMIFS(Drivers!BH$10:BH$66,PLAcctIDs,$J68)</f>
        <v>4320.7161365703132</v>
      </c>
      <c r="AM68" s="66">
        <f>SUMIFS(Drivers!BI$10:BI$66,PLAcctIDs,$J68)</f>
        <v>4393.3002104701172</v>
      </c>
      <c r="AN68" s="66">
        <f>SUMIFS(Drivers!BJ$10:BJ$66,PLAcctIDs,$J68)</f>
        <v>4444.4089973023874</v>
      </c>
      <c r="AO68" s="66">
        <f>SUMIFS(Drivers!BK$10:BK$66,PLAcctIDs,$J68)</f>
        <v>4468.5745718303051</v>
      </c>
      <c r="AP68" s="66">
        <f>SUMIFS(Drivers!BL$10:BL$66,PLAcctIDs,$J68)</f>
        <v>4547.718509400609</v>
      </c>
      <c r="AQ68" s="66">
        <f>SUMIFS(Drivers!BM$10:BM$66,PLAcctIDs,$J68)</f>
        <v>4621.0414788582148</v>
      </c>
      <c r="AR68" s="66">
        <f>SUMIFS(Drivers!BN$10:BN$66,PLAcctIDs,$J68)</f>
        <v>4689.25798327559</v>
      </c>
      <c r="AS68" s="66">
        <f>SUMIFS(Drivers!BO$10:BO$66,PLAcctIDs,$J68)</f>
        <v>4753.7528064490152</v>
      </c>
      <c r="AT68" s="66">
        <f>SUMIFS(Drivers!BP$10:BP$66,PLAcctIDs,$J68)</f>
        <v>4816.832010745321</v>
      </c>
      <c r="AU68" s="66">
        <f>SUMIFS(Drivers!BQ$10:BQ$66,PLAcctIDs,$J68)</f>
        <v>4882.0060380978348</v>
      </c>
      <c r="AV68" s="66">
        <f>SUMIFS(Drivers!BR$10:BR$66,PLAcctIDs,$J68)</f>
        <v>4954.3565446946532</v>
      </c>
      <c r="AW68" s="66">
        <f>SUMIFS(Drivers!BS$10:BS$66,PLAcctIDs,$J68)</f>
        <v>5025.5182008711099</v>
      </c>
    </row>
    <row r="69" spans="2:49" ht="18.75" customHeight="1" outlineLevel="1">
      <c r="B69" s="22"/>
      <c r="C69" s="67"/>
      <c r="D69" s="26" t="s">
        <v>189</v>
      </c>
      <c r="E69" s="14" t="str">
        <f>IFERROR(INDEX(PBC_ACCOUNT_LIST[Drivers Section],MATCH('Data Summary'!J69,PBC_ACCOUNT_LIST[Id],0)),"")</f>
        <v>Opex</v>
      </c>
      <c r="F69" s="14" t="str">
        <f>IFERROR(INDEX(PBC_ACCOUNT_LIST[Summary Grouping],MATCH('Data Summary'!J69,PBC_ACCOUNT_LIST[Id],0)),"")</f>
        <v>Travel &amp; Entertainment</v>
      </c>
      <c r="G69" s="15"/>
      <c r="H69" s="15">
        <f>IFERROR(INDEX(PBC_ACCOUNT_LIST[Cash Flow Section],MATCH('Data Summary'!J69,PBC_ACCOUNT_LIST[Id],0)),"")</f>
        <v>0</v>
      </c>
      <c r="I69" s="14"/>
      <c r="J69" s="14">
        <v>205</v>
      </c>
      <c r="M69" s="66">
        <f>SUMIFS(Drivers!AI$10:AI$66,PLAcctIDs,$J69)</f>
        <v>766.5</v>
      </c>
      <c r="N69" s="66">
        <f>SUMIFS(Drivers!AJ$10:AJ$66,PLAcctIDs,$J69)</f>
        <v>626</v>
      </c>
      <c r="O69" s="66">
        <f>SUMIFS(Drivers!AK$10:AK$66,PLAcctIDs,$J69)</f>
        <v>805</v>
      </c>
      <c r="P69" s="66">
        <f>SUMIFS(Drivers!AL$10:AL$66,PLAcctIDs,$J69)</f>
        <v>658</v>
      </c>
      <c r="Q69" s="66">
        <f>SUMIFS(Drivers!AM$10:AM$66,PLAcctIDs,$J69)</f>
        <v>845</v>
      </c>
      <c r="R69" s="66">
        <f>SUMIFS(Drivers!AN$10:AN$66,PLAcctIDs,$J69)</f>
        <v>690</v>
      </c>
      <c r="S69" s="66">
        <f>SUMIFS(Drivers!AO$10:AO$66,PLAcctIDs,$J69)</f>
        <v>887</v>
      </c>
      <c r="T69" s="66">
        <f>SUMIFS(Drivers!AP$10:AP$66,PLAcctIDs,$J69)</f>
        <v>932</v>
      </c>
      <c r="U69" s="66">
        <f>SUMIFS(Drivers!AQ$10:AQ$66,PLAcctIDs,$J69)</f>
        <v>932</v>
      </c>
      <c r="V69" s="66">
        <f>SUMIFS(Drivers!AR$10:AR$66,PLAcctIDs,$J69)</f>
        <v>978</v>
      </c>
      <c r="W69" s="66">
        <f>SUMIFS(Drivers!AS$10:AS$66,PLAcctIDs,$J69)</f>
        <v>978</v>
      </c>
      <c r="X69" s="66">
        <f>SUMIFS(Drivers!AT$10:AT$66,PLAcctIDs,$J69)</f>
        <v>1027</v>
      </c>
      <c r="Y69" s="66">
        <f>SUMIFS(Drivers!AU$10:AU$66,PLAcctIDs,$J69)</f>
        <v>1079</v>
      </c>
      <c r="Z69" s="66">
        <f>SUMIFS(Drivers!AV$10:AV$66,PLAcctIDs,$J69)</f>
        <v>1132.55</v>
      </c>
      <c r="AA69" s="66">
        <f>SUMIFS(Drivers!AW$10:AW$66,PLAcctIDs,$J69)</f>
        <v>1189</v>
      </c>
      <c r="AB69" s="66">
        <f>SUMIFS(Drivers!AX$10:AX$66,PLAcctIDs,$J69)</f>
        <v>1249</v>
      </c>
      <c r="AC69" s="66">
        <f>SUMIFS(Drivers!AY$10:AY$66,PLAcctIDs,$J69)</f>
        <v>1311</v>
      </c>
      <c r="AD69" s="66">
        <f>SUMIFS(Drivers!AZ$10:AZ$66,PLAcctIDs,$J69)</f>
        <v>1377</v>
      </c>
      <c r="AE69" s="66">
        <f>SUMIFS(Drivers!BA$10:BA$66,PLAcctIDs,$J69)</f>
        <v>1445.45</v>
      </c>
      <c r="AF69" s="66">
        <f>SUMIFS(Drivers!BB$10:BB$66,PLAcctIDs,$J69)</f>
        <v>1517.72</v>
      </c>
      <c r="AG69" s="66">
        <f>SUMIFS(Drivers!BC$10:BC$66,PLAcctIDs,$J69)</f>
        <v>1593.63</v>
      </c>
      <c r="AH69" s="66">
        <f>SUMIFS(Drivers!BD$10:BD$66,PLAcctIDs,$J69)</f>
        <v>1673.28</v>
      </c>
      <c r="AI69" s="66">
        <f>SUMIFS(Drivers!BE$10:BE$66,PLAcctIDs,$J69)</f>
        <v>1560.664</v>
      </c>
      <c r="AJ69" s="66">
        <f>SUMIFS(Drivers!BF$10:BF$66,PLAcctIDs,$J69)</f>
        <v>1604.3552000000002</v>
      </c>
      <c r="AK69" s="66">
        <f>SUMIFS(Drivers!BG$10:BG$66,PLAcctIDs,$J69)</f>
        <v>1644.1423600000001</v>
      </c>
      <c r="AL69" s="66">
        <f>SUMIFS(Drivers!BH$10:BH$66,PLAcctIDs,$J69)</f>
        <v>1678.9135229999999</v>
      </c>
      <c r="AM69" s="66">
        <f>SUMIFS(Drivers!BI$10:BI$66,PLAcctIDs,$J69)</f>
        <v>1707.122389525</v>
      </c>
      <c r="AN69" s="66">
        <f>SUMIFS(Drivers!BJ$10:BJ$66,PLAcctIDs,$J69)</f>
        <v>1726.9835576918751</v>
      </c>
      <c r="AO69" s="66">
        <f>SUMIFS(Drivers!BK$10:BK$66,PLAcctIDs,$J69)</f>
        <v>1736.3816802879535</v>
      </c>
      <c r="AP69" s="66">
        <f>SUMIFS(Drivers!BL$10:BL$66,PLAcctIDs,$J69)</f>
        <v>1767.1322743383453</v>
      </c>
      <c r="AQ69" s="66">
        <f>SUMIFS(Drivers!BM$10:BM$66,PLAcctIDs,$J69)</f>
        <v>1795.6182623475554</v>
      </c>
      <c r="AR69" s="66">
        <f>SUMIFS(Drivers!BN$10:BN$66,PLAcctIDs,$J69)</f>
        <v>1822.1265452583777</v>
      </c>
      <c r="AS69" s="66">
        <f>SUMIFS(Drivers!BO$10:BO$66,PLAcctIDs,$J69)</f>
        <v>1847.1888241535939</v>
      </c>
      <c r="AT69" s="66">
        <f>SUMIFS(Drivers!BP$10:BP$66,PLAcctIDs,$J69)</f>
        <v>1871.7004502135978</v>
      </c>
      <c r="AU69" s="66">
        <f>SUMIFS(Drivers!BQ$10:BQ$66,PLAcctIDs,$J69)</f>
        <v>1897.0259064048996</v>
      </c>
      <c r="AV69" s="66">
        <f>SUMIFS(Drivers!BR$10:BR$66,PLAcctIDs,$J69)</f>
        <v>1925.1386459753644</v>
      </c>
      <c r="AW69" s="66">
        <f>SUMIFS(Drivers!BS$10:BS$66,PLAcctIDs,$J69)</f>
        <v>1952.7897610118434</v>
      </c>
    </row>
    <row r="70" spans="2:49" ht="18.75" customHeight="1" outlineLevel="1">
      <c r="B70" s="22"/>
      <c r="C70" s="67"/>
      <c r="D70" s="26" t="s">
        <v>190</v>
      </c>
      <c r="E70" s="14" t="str">
        <f>IFERROR(INDEX(PBC_ACCOUNT_LIST[Drivers Section],MATCH('Data Summary'!J70,PBC_ACCOUNT_LIST[Id],0)),"")</f>
        <v>Opex</v>
      </c>
      <c r="F70" s="14" t="str">
        <f>IFERROR(INDEX(PBC_ACCOUNT_LIST[Summary Grouping],MATCH('Data Summary'!J70,PBC_ACCOUNT_LIST[Id],0)),"")</f>
        <v>Office &amp; Other G&amp;A</v>
      </c>
      <c r="G70" s="15"/>
      <c r="H70" s="15">
        <f>IFERROR(INDEX(PBC_ACCOUNT_LIST[Cash Flow Section],MATCH('Data Summary'!J70,PBC_ACCOUNT_LIST[Id],0)),"")</f>
        <v>0</v>
      </c>
      <c r="I70" s="14"/>
      <c r="J70" s="14">
        <v>206</v>
      </c>
      <c r="M70" s="66">
        <f>SUMIFS(Drivers!AI$10:AI$66,PLAcctIDs,$J70)</f>
        <v>0</v>
      </c>
      <c r="N70" s="66">
        <f>SUMIFS(Drivers!AJ$10:AJ$66,PLAcctIDs,$J70)</f>
        <v>0</v>
      </c>
      <c r="O70" s="66">
        <f>SUMIFS(Drivers!AK$10:AK$66,PLAcctIDs,$J70)</f>
        <v>0</v>
      </c>
      <c r="P70" s="66">
        <f>SUMIFS(Drivers!AL$10:AL$66,PLAcctIDs,$J70)</f>
        <v>0</v>
      </c>
      <c r="Q70" s="66">
        <f>SUMIFS(Drivers!AM$10:AM$66,PLAcctIDs,$J70)</f>
        <v>0</v>
      </c>
      <c r="R70" s="66">
        <f>SUMIFS(Drivers!AN$10:AN$66,PLAcctIDs,$J70)</f>
        <v>0</v>
      </c>
      <c r="S70" s="66">
        <f>SUMIFS(Drivers!AO$10:AO$66,PLAcctIDs,$J70)</f>
        <v>0</v>
      </c>
      <c r="T70" s="66">
        <f>SUMIFS(Drivers!AP$10:AP$66,PLAcctIDs,$J70)</f>
        <v>0</v>
      </c>
      <c r="U70" s="66">
        <f>SUMIFS(Drivers!AQ$10:AQ$66,PLAcctIDs,$J70)</f>
        <v>0</v>
      </c>
      <c r="V70" s="66">
        <f>SUMIFS(Drivers!AR$10:AR$66,PLAcctIDs,$J70)</f>
        <v>0</v>
      </c>
      <c r="W70" s="66">
        <f>SUMIFS(Drivers!AS$10:AS$66,PLAcctIDs,$J70)</f>
        <v>0</v>
      </c>
      <c r="X70" s="66">
        <f>SUMIFS(Drivers!AT$10:AT$66,PLAcctIDs,$J70)</f>
        <v>0</v>
      </c>
      <c r="Y70" s="66">
        <f>SUMIFS(Drivers!AU$10:AU$66,PLAcctIDs,$J70)</f>
        <v>0</v>
      </c>
      <c r="Z70" s="66">
        <f>SUMIFS(Drivers!AV$10:AV$66,PLAcctIDs,$J70)</f>
        <v>0</v>
      </c>
      <c r="AA70" s="66">
        <f>SUMIFS(Drivers!AW$10:AW$66,PLAcctIDs,$J70)</f>
        <v>0</v>
      </c>
      <c r="AB70" s="66">
        <f>SUMIFS(Drivers!AX$10:AX$66,PLAcctIDs,$J70)</f>
        <v>0</v>
      </c>
      <c r="AC70" s="66">
        <f>SUMIFS(Drivers!AY$10:AY$66,PLAcctIDs,$J70)</f>
        <v>0</v>
      </c>
      <c r="AD70" s="66">
        <f>SUMIFS(Drivers!AZ$10:AZ$66,PLAcctIDs,$J70)</f>
        <v>0</v>
      </c>
      <c r="AE70" s="66">
        <f>SUMIFS(Drivers!BA$10:BA$66,PLAcctIDs,$J70)</f>
        <v>1000</v>
      </c>
      <c r="AF70" s="66">
        <f>SUMIFS(Drivers!BB$10:BB$66,PLAcctIDs,$J70)</f>
        <v>0</v>
      </c>
      <c r="AG70" s="66">
        <f>SUMIFS(Drivers!BC$10:BC$66,PLAcctIDs,$J70)</f>
        <v>0</v>
      </c>
      <c r="AH70" s="66">
        <f>SUMIFS(Drivers!BD$10:BD$66,PLAcctIDs,$J70)</f>
        <v>0</v>
      </c>
      <c r="AI70" s="66">
        <f>SUMIFS(Drivers!BE$10:BE$66,PLAcctIDs,$J70)</f>
        <v>175</v>
      </c>
      <c r="AJ70" s="66">
        <f>SUMIFS(Drivers!BF$10:BF$66,PLAcctIDs,$J70)</f>
        <v>205.62500000000003</v>
      </c>
      <c r="AK70" s="66">
        <f>SUMIFS(Drivers!BG$10:BG$66,PLAcctIDs,$J70)</f>
        <v>241.609375</v>
      </c>
      <c r="AL70" s="66">
        <f>SUMIFS(Drivers!BH$10:BH$66,PLAcctIDs,$J70)</f>
        <v>108.89101562500001</v>
      </c>
      <c r="AM70" s="66">
        <f>SUMIFS(Drivers!BI$10:BI$66,PLAcctIDs,$J70)</f>
        <v>127.94694335937501</v>
      </c>
      <c r="AN70" s="66">
        <f>SUMIFS(Drivers!BJ$10:BJ$66,PLAcctIDs,$J70)</f>
        <v>150.33765844726565</v>
      </c>
      <c r="AO70" s="66">
        <f>SUMIFS(Drivers!BK$10:BK$66,PLAcctIDs,$J70)</f>
        <v>176.64674867553711</v>
      </c>
      <c r="AP70" s="66">
        <f>SUMIFS(Drivers!BL$10:BL$66,PLAcctIDs,$J70)</f>
        <v>176.93492969375612</v>
      </c>
      <c r="AQ70" s="66">
        <f>SUMIFS(Drivers!BM$10:BM$66,PLAcctIDs,$J70)</f>
        <v>171.91416739016344</v>
      </c>
      <c r="AR70" s="66">
        <f>SUMIFS(Drivers!BN$10:BN$66,PLAcctIDs,$J70)</f>
        <v>159.71750605844204</v>
      </c>
      <c r="AS70" s="66">
        <f>SUMIFS(Drivers!BO$10:BO$66,PLAcctIDs,$J70)</f>
        <v>168.6121418842944</v>
      </c>
      <c r="AT70" s="66">
        <f>SUMIFS(Drivers!BP$10:BP$66,PLAcctIDs,$J70)</f>
        <v>175.72855162615528</v>
      </c>
      <c r="AU70" s="66">
        <f>SUMIFS(Drivers!BQ$10:BQ$66,PLAcctIDs,$J70)</f>
        <v>180.17195793246097</v>
      </c>
      <c r="AV70" s="66">
        <f>SUMIFS(Drivers!BR$10:BR$66,PLAcctIDs,$J70)</f>
        <v>180.78886955242265</v>
      </c>
      <c r="AW70" s="66">
        <f>SUMIFS(Drivers!BS$10:BS$66,PLAcctIDs,$J70)</f>
        <v>181.46330902768932</v>
      </c>
    </row>
    <row r="71" spans="2:49" ht="18.75" customHeight="1" outlineLevel="1">
      <c r="B71" s="22"/>
      <c r="C71" s="67"/>
      <c r="D71" s="26" t="s">
        <v>192</v>
      </c>
      <c r="E71" s="14" t="str">
        <f>IFERROR(INDEX(PBC_ACCOUNT_LIST[Drivers Section],MATCH('Data Summary'!J71,PBC_ACCOUNT_LIST[Id],0)),"")</f>
        <v>Other Income</v>
      </c>
      <c r="F71" s="14" t="str">
        <f>IFERROR(INDEX(PBC_ACCOUNT_LIST[Summary Grouping],MATCH('Data Summary'!J71,PBC_ACCOUNT_LIST[Id],0)),"")</f>
        <v>Other Income</v>
      </c>
      <c r="G71" s="15"/>
      <c r="H71" s="15">
        <f>IFERROR(INDEX(PBC_ACCOUNT_LIST[Cash Flow Section],MATCH('Data Summary'!J71,PBC_ACCOUNT_LIST[Id],0)),"")</f>
        <v>0</v>
      </c>
      <c r="I71" s="14"/>
      <c r="J71" s="14">
        <v>189</v>
      </c>
      <c r="M71" s="66">
        <f>SUMIFS(Drivers!AI$10:AI$66,PLAcctIDs,$J71)</f>
        <v>0</v>
      </c>
      <c r="N71" s="66">
        <f>SUMIFS(Drivers!AJ$10:AJ$66,PLAcctIDs,$J71)</f>
        <v>0</v>
      </c>
      <c r="O71" s="66">
        <f>SUMIFS(Drivers!AK$10:AK$66,PLAcctIDs,$J71)</f>
        <v>0</v>
      </c>
      <c r="P71" s="66">
        <f>SUMIFS(Drivers!AL$10:AL$66,PLAcctIDs,$J71)</f>
        <v>0</v>
      </c>
      <c r="Q71" s="66">
        <f>SUMIFS(Drivers!AM$10:AM$66,PLAcctIDs,$J71)</f>
        <v>0</v>
      </c>
      <c r="R71" s="66">
        <f>SUMIFS(Drivers!AN$10:AN$66,PLAcctIDs,$J71)</f>
        <v>0</v>
      </c>
      <c r="S71" s="66">
        <f>SUMIFS(Drivers!AO$10:AO$66,PLAcctIDs,$J71)</f>
        <v>0</v>
      </c>
      <c r="T71" s="66">
        <f>SUMIFS(Drivers!AP$10:AP$66,PLAcctIDs,$J71)</f>
        <v>0</v>
      </c>
      <c r="U71" s="66">
        <f>SUMIFS(Drivers!AQ$10:AQ$66,PLAcctIDs,$J71)</f>
        <v>0</v>
      </c>
      <c r="V71" s="66">
        <f>SUMIFS(Drivers!AR$10:AR$66,PLAcctIDs,$J71)</f>
        <v>0</v>
      </c>
      <c r="W71" s="66">
        <f>SUMIFS(Drivers!AS$10:AS$66,PLAcctIDs,$J71)</f>
        <v>0</v>
      </c>
      <c r="X71" s="66">
        <f>SUMIFS(Drivers!AT$10:AT$66,PLAcctIDs,$J71)</f>
        <v>0</v>
      </c>
      <c r="Y71" s="66">
        <f>SUMIFS(Drivers!AU$10:AU$66,PLAcctIDs,$J71)</f>
        <v>0</v>
      </c>
      <c r="Z71" s="66">
        <f>SUMIFS(Drivers!AV$10:AV$66,PLAcctIDs,$J71)</f>
        <v>0</v>
      </c>
      <c r="AA71" s="66">
        <f>SUMIFS(Drivers!AW$10:AW$66,PLAcctIDs,$J71)</f>
        <v>0</v>
      </c>
      <c r="AB71" s="66">
        <f>SUMIFS(Drivers!AX$10:AX$66,PLAcctIDs,$J71)</f>
        <v>0</v>
      </c>
      <c r="AC71" s="66">
        <f>SUMIFS(Drivers!AY$10:AY$66,PLAcctIDs,$J71)</f>
        <v>0</v>
      </c>
      <c r="AD71" s="66">
        <f>SUMIFS(Drivers!AZ$10:AZ$66,PLAcctIDs,$J71)</f>
        <v>0</v>
      </c>
      <c r="AE71" s="66">
        <f>SUMIFS(Drivers!BA$10:BA$66,PLAcctIDs,$J71)</f>
        <v>0</v>
      </c>
      <c r="AF71" s="66">
        <f>SUMIFS(Drivers!BB$10:BB$66,PLAcctIDs,$J71)</f>
        <v>0</v>
      </c>
      <c r="AG71" s="66">
        <f>SUMIFS(Drivers!BC$10:BC$66,PLAcctIDs,$J71)</f>
        <v>0</v>
      </c>
      <c r="AH71" s="66">
        <f>SUMIFS(Drivers!BD$10:BD$66,PLAcctIDs,$J71)</f>
        <v>0</v>
      </c>
      <c r="AI71" s="66">
        <f>SUMIFS(Drivers!BE$10:BE$66,PLAcctIDs,$J71)</f>
        <v>0</v>
      </c>
      <c r="AJ71" s="66">
        <f>SUMIFS(Drivers!BF$10:BF$66,PLAcctIDs,$J71)</f>
        <v>0</v>
      </c>
      <c r="AK71" s="66">
        <f>SUMIFS(Drivers!BG$10:BG$66,PLAcctIDs,$J71)</f>
        <v>0</v>
      </c>
      <c r="AL71" s="66">
        <f>SUMIFS(Drivers!BH$10:BH$66,PLAcctIDs,$J71)</f>
        <v>0</v>
      </c>
      <c r="AM71" s="66">
        <f>SUMIFS(Drivers!BI$10:BI$66,PLAcctIDs,$J71)</f>
        <v>0</v>
      </c>
      <c r="AN71" s="66">
        <f>SUMIFS(Drivers!BJ$10:BJ$66,PLAcctIDs,$J71)</f>
        <v>0</v>
      </c>
      <c r="AO71" s="66">
        <f>SUMIFS(Drivers!BK$10:BK$66,PLAcctIDs,$J71)</f>
        <v>0</v>
      </c>
      <c r="AP71" s="66">
        <f>SUMIFS(Drivers!BL$10:BL$66,PLAcctIDs,$J71)</f>
        <v>0</v>
      </c>
      <c r="AQ71" s="66">
        <f>SUMIFS(Drivers!BM$10:BM$66,PLAcctIDs,$J71)</f>
        <v>0</v>
      </c>
      <c r="AR71" s="66">
        <f>SUMIFS(Drivers!BN$10:BN$66,PLAcctIDs,$J71)</f>
        <v>0</v>
      </c>
      <c r="AS71" s="66">
        <f>SUMIFS(Drivers!BO$10:BO$66,PLAcctIDs,$J71)</f>
        <v>0</v>
      </c>
      <c r="AT71" s="66">
        <f>SUMIFS(Drivers!BP$10:BP$66,PLAcctIDs,$J71)</f>
        <v>0</v>
      </c>
      <c r="AU71" s="66">
        <f>SUMIFS(Drivers!BQ$10:BQ$66,PLAcctIDs,$J71)</f>
        <v>0</v>
      </c>
      <c r="AV71" s="66">
        <f>SUMIFS(Drivers!BR$10:BR$66,PLAcctIDs,$J71)</f>
        <v>0</v>
      </c>
      <c r="AW71" s="66">
        <f>SUMIFS(Drivers!BS$10:BS$66,PLAcctIDs,$J71)</f>
        <v>0</v>
      </c>
    </row>
    <row r="72" spans="2:49" ht="18.75" customHeight="1" outlineLevel="1">
      <c r="B72" s="22"/>
      <c r="C72" s="67"/>
      <c r="D72" s="26" t="s">
        <v>193</v>
      </c>
      <c r="E72" s="14" t="str">
        <f>IFERROR(INDEX(PBC_ACCOUNT_LIST[Drivers Section],MATCH('Data Summary'!J72,PBC_ACCOUNT_LIST[Id],0)),"")</f>
        <v>Other Income</v>
      </c>
      <c r="F72" s="14" t="str">
        <f>IFERROR(INDEX(PBC_ACCOUNT_LIST[Summary Grouping],MATCH('Data Summary'!J72,PBC_ACCOUNT_LIST[Id],0)),"")</f>
        <v>Other Income</v>
      </c>
      <c r="G72" s="15"/>
      <c r="H72" s="15">
        <f>IFERROR(INDEX(PBC_ACCOUNT_LIST[Cash Flow Section],MATCH('Data Summary'!J72,PBC_ACCOUNT_LIST[Id],0)),"")</f>
        <v>0</v>
      </c>
      <c r="I72" s="14"/>
      <c r="J72" s="14">
        <v>190</v>
      </c>
      <c r="M72" s="66">
        <f>SUMIFS(Drivers!AI$10:AI$66,PLAcctIDs,$J72)</f>
        <v>0</v>
      </c>
      <c r="N72" s="66">
        <f>SUMIFS(Drivers!AJ$10:AJ$66,PLAcctIDs,$J72)</f>
        <v>0</v>
      </c>
      <c r="O72" s="66">
        <f>SUMIFS(Drivers!AK$10:AK$66,PLAcctIDs,$J72)</f>
        <v>0</v>
      </c>
      <c r="P72" s="66">
        <f>SUMIFS(Drivers!AL$10:AL$66,PLAcctIDs,$J72)</f>
        <v>0</v>
      </c>
      <c r="Q72" s="66">
        <f>SUMIFS(Drivers!AM$10:AM$66,PLAcctIDs,$J72)</f>
        <v>0</v>
      </c>
      <c r="R72" s="66">
        <f>SUMIFS(Drivers!AN$10:AN$66,PLAcctIDs,$J72)</f>
        <v>0</v>
      </c>
      <c r="S72" s="66">
        <f>SUMIFS(Drivers!AO$10:AO$66,PLAcctIDs,$J72)</f>
        <v>0</v>
      </c>
      <c r="T72" s="66">
        <f>SUMIFS(Drivers!AP$10:AP$66,PLAcctIDs,$J72)</f>
        <v>0</v>
      </c>
      <c r="U72" s="66">
        <f>SUMIFS(Drivers!AQ$10:AQ$66,PLAcctIDs,$J72)</f>
        <v>0</v>
      </c>
      <c r="V72" s="66">
        <f>SUMIFS(Drivers!AR$10:AR$66,PLAcctIDs,$J72)</f>
        <v>0</v>
      </c>
      <c r="W72" s="66">
        <f>SUMIFS(Drivers!AS$10:AS$66,PLAcctIDs,$J72)</f>
        <v>0</v>
      </c>
      <c r="X72" s="66">
        <f>SUMIFS(Drivers!AT$10:AT$66,PLAcctIDs,$J72)</f>
        <v>0</v>
      </c>
      <c r="Y72" s="66">
        <f>SUMIFS(Drivers!AU$10:AU$66,PLAcctIDs,$J72)</f>
        <v>0</v>
      </c>
      <c r="Z72" s="66">
        <f>SUMIFS(Drivers!AV$10:AV$66,PLAcctIDs,$J72)</f>
        <v>0</v>
      </c>
      <c r="AA72" s="66">
        <f>SUMIFS(Drivers!AW$10:AW$66,PLAcctIDs,$J72)</f>
        <v>0</v>
      </c>
      <c r="AB72" s="66">
        <f>SUMIFS(Drivers!AX$10:AX$66,PLAcctIDs,$J72)</f>
        <v>0</v>
      </c>
      <c r="AC72" s="66">
        <f>SUMIFS(Drivers!AY$10:AY$66,PLAcctIDs,$J72)</f>
        <v>0</v>
      </c>
      <c r="AD72" s="66">
        <f>SUMIFS(Drivers!AZ$10:AZ$66,PLAcctIDs,$J72)</f>
        <v>0</v>
      </c>
      <c r="AE72" s="66">
        <f>SUMIFS(Drivers!BA$10:BA$66,PLAcctIDs,$J72)</f>
        <v>0</v>
      </c>
      <c r="AF72" s="66">
        <f>SUMIFS(Drivers!BB$10:BB$66,PLAcctIDs,$J72)</f>
        <v>0</v>
      </c>
      <c r="AG72" s="66">
        <f>SUMIFS(Drivers!BC$10:BC$66,PLAcctIDs,$J72)</f>
        <v>0</v>
      </c>
      <c r="AH72" s="66">
        <f>SUMIFS(Drivers!BD$10:BD$66,PLAcctIDs,$J72)</f>
        <v>0</v>
      </c>
      <c r="AI72" s="66">
        <f>SUMIFS(Drivers!BE$10:BE$66,PLAcctIDs,$J72)</f>
        <v>0</v>
      </c>
      <c r="AJ72" s="66">
        <f>SUMIFS(Drivers!BF$10:BF$66,PLAcctIDs,$J72)</f>
        <v>0</v>
      </c>
      <c r="AK72" s="66">
        <f>SUMIFS(Drivers!BG$10:BG$66,PLAcctIDs,$J72)</f>
        <v>0</v>
      </c>
      <c r="AL72" s="66">
        <f>SUMIFS(Drivers!BH$10:BH$66,PLAcctIDs,$J72)</f>
        <v>0</v>
      </c>
      <c r="AM72" s="66">
        <f>SUMIFS(Drivers!BI$10:BI$66,PLAcctIDs,$J72)</f>
        <v>0</v>
      </c>
      <c r="AN72" s="66">
        <f>SUMIFS(Drivers!BJ$10:BJ$66,PLAcctIDs,$J72)</f>
        <v>0</v>
      </c>
      <c r="AO72" s="66">
        <f>SUMIFS(Drivers!BK$10:BK$66,PLAcctIDs,$J72)</f>
        <v>0</v>
      </c>
      <c r="AP72" s="66">
        <f>SUMIFS(Drivers!BL$10:BL$66,PLAcctIDs,$J72)</f>
        <v>0</v>
      </c>
      <c r="AQ72" s="66">
        <f>SUMIFS(Drivers!BM$10:BM$66,PLAcctIDs,$J72)</f>
        <v>0</v>
      </c>
      <c r="AR72" s="66">
        <f>SUMIFS(Drivers!BN$10:BN$66,PLAcctIDs,$J72)</f>
        <v>0</v>
      </c>
      <c r="AS72" s="66">
        <f>SUMIFS(Drivers!BO$10:BO$66,PLAcctIDs,$J72)</f>
        <v>0</v>
      </c>
      <c r="AT72" s="66">
        <f>SUMIFS(Drivers!BP$10:BP$66,PLAcctIDs,$J72)</f>
        <v>0</v>
      </c>
      <c r="AU72" s="66">
        <f>SUMIFS(Drivers!BQ$10:BQ$66,PLAcctIDs,$J72)</f>
        <v>0</v>
      </c>
      <c r="AV72" s="66">
        <f>SUMIFS(Drivers!BR$10:BR$66,PLAcctIDs,$J72)</f>
        <v>0</v>
      </c>
      <c r="AW72" s="66">
        <f>SUMIFS(Drivers!BS$10:BS$66,PLAcctIDs,$J72)</f>
        <v>0</v>
      </c>
    </row>
    <row r="73" spans="2:49" ht="18.75" customHeight="1" outlineLevel="1">
      <c r="B73" s="22"/>
      <c r="C73" s="67"/>
      <c r="D73" s="26" t="s">
        <v>194</v>
      </c>
      <c r="E73" s="14" t="str">
        <f>IFERROR(INDEX(PBC_ACCOUNT_LIST[Drivers Section],MATCH('Data Summary'!J73,PBC_ACCOUNT_LIST[Id],0)),"")</f>
        <v>Other Expenses</v>
      </c>
      <c r="F73" s="14" t="str">
        <f>IFERROR(INDEX(PBC_ACCOUNT_LIST[Summary Grouping],MATCH('Data Summary'!J73,PBC_ACCOUNT_LIST[Id],0)),"")</f>
        <v>Other Expenses</v>
      </c>
      <c r="G73" s="15"/>
      <c r="H73" s="15">
        <f>IFERROR(INDEX(PBC_ACCOUNT_LIST[Cash Flow Section],MATCH('Data Summary'!J73,PBC_ACCOUNT_LIST[Id],0)),"")</f>
        <v>0</v>
      </c>
      <c r="I73" s="14"/>
      <c r="J73" s="14">
        <v>191</v>
      </c>
      <c r="M73" s="66">
        <f>SUMIFS(Drivers!AI$10:AI$66,PLAcctIDs,$J73)</f>
        <v>3051</v>
      </c>
      <c r="N73" s="66">
        <f>SUMIFS(Drivers!AJ$10:AJ$66,PLAcctIDs,$J73)</f>
        <v>3051</v>
      </c>
      <c r="O73" s="66">
        <f>SUMIFS(Drivers!AK$10:AK$66,PLAcctIDs,$J73)</f>
        <v>3051</v>
      </c>
      <c r="P73" s="66">
        <f>SUMIFS(Drivers!AL$10:AL$66,PLAcctIDs,$J73)</f>
        <v>3051</v>
      </c>
      <c r="Q73" s="66">
        <f>SUMIFS(Drivers!AM$10:AM$66,PLAcctIDs,$J73)</f>
        <v>3051</v>
      </c>
      <c r="R73" s="66">
        <f>SUMIFS(Drivers!AN$10:AN$66,PLAcctIDs,$J73)</f>
        <v>3051</v>
      </c>
      <c r="S73" s="66">
        <f>SUMIFS(Drivers!AO$10:AO$66,PLAcctIDs,$J73)</f>
        <v>3051</v>
      </c>
      <c r="T73" s="66">
        <f>SUMIFS(Drivers!AP$10:AP$66,PLAcctIDs,$J73)</f>
        <v>3051</v>
      </c>
      <c r="U73" s="66">
        <f>SUMIFS(Drivers!AQ$10:AQ$66,PLAcctIDs,$J73)</f>
        <v>3051</v>
      </c>
      <c r="V73" s="66">
        <f>SUMIFS(Drivers!AR$10:AR$66,PLAcctIDs,$J73)</f>
        <v>3051</v>
      </c>
      <c r="W73" s="66">
        <f>SUMIFS(Drivers!AS$10:AS$66,PLAcctIDs,$J73)</f>
        <v>3051</v>
      </c>
      <c r="X73" s="66">
        <f>SUMIFS(Drivers!AT$10:AT$66,PLAcctIDs,$J73)</f>
        <v>3051</v>
      </c>
      <c r="Y73" s="66">
        <f>SUMIFS(Drivers!AU$10:AU$66,PLAcctIDs,$J73)</f>
        <v>3051</v>
      </c>
      <c r="Z73" s="66">
        <f>SUMIFS(Drivers!AV$10:AV$66,PLAcctIDs,$J73)</f>
        <v>3050.66</v>
      </c>
      <c r="AA73" s="66">
        <f>SUMIFS(Drivers!AW$10:AW$66,PLAcctIDs,$J73)</f>
        <v>3050.66</v>
      </c>
      <c r="AB73" s="66">
        <f>SUMIFS(Drivers!AX$10:AX$66,PLAcctIDs,$J73)</f>
        <v>3050.66</v>
      </c>
      <c r="AC73" s="66">
        <f>SUMIFS(Drivers!AY$10:AY$66,PLAcctIDs,$J73)</f>
        <v>3050.66</v>
      </c>
      <c r="AD73" s="66">
        <f>SUMIFS(Drivers!AZ$10:AZ$66,PLAcctIDs,$J73)</f>
        <v>3050.66</v>
      </c>
      <c r="AE73" s="66">
        <f>SUMIFS(Drivers!BA$10:BA$66,PLAcctIDs,$J73)</f>
        <v>3050.66</v>
      </c>
      <c r="AF73" s="66">
        <f>SUMIFS(Drivers!BB$10:BB$66,PLAcctIDs,$J73)</f>
        <v>3050.66</v>
      </c>
      <c r="AG73" s="66">
        <f>SUMIFS(Drivers!BC$10:BC$66,PLAcctIDs,$J73)</f>
        <v>3050.66</v>
      </c>
      <c r="AH73" s="66">
        <f>SUMIFS(Drivers!BD$10:BD$66,PLAcctIDs,$J73)</f>
        <v>3050.66</v>
      </c>
      <c r="AI73" s="66">
        <f>SUMIFS(Drivers!BE$10:BE$66,PLAcctIDs,$J73)</f>
        <v>3203.1929999999998</v>
      </c>
      <c r="AJ73" s="66">
        <f>SUMIFS(Drivers!BF$10:BF$66,PLAcctIDs,$J73)</f>
        <v>3229.8862749999998</v>
      </c>
      <c r="AK73" s="66">
        <f>SUMIFS(Drivers!BG$10:BG$66,PLAcctIDs,$J73)</f>
        <v>3261.250873125</v>
      </c>
      <c r="AL73" s="66">
        <f>SUMIFS(Drivers!BH$10:BH$66,PLAcctIDs,$J73)</f>
        <v>3298.1042759218749</v>
      </c>
      <c r="AM73" s="66">
        <f>SUMIFS(Drivers!BI$10:BI$66,PLAcctIDs,$J73)</f>
        <v>3341.407024208203</v>
      </c>
      <c r="AN73" s="66">
        <f>SUMIFS(Drivers!BJ$10:BJ$66,PLAcctIDs,$J73)</f>
        <v>3392.2877534446384</v>
      </c>
      <c r="AO73" s="66">
        <f>SUMIFS(Drivers!BK$10:BK$66,PLAcctIDs,$J73)</f>
        <v>3452.0726102974509</v>
      </c>
      <c r="AP73" s="66">
        <f>SUMIFS(Drivers!BL$10:BL$66,PLAcctIDs,$J73)</f>
        <v>3495.6265420995051</v>
      </c>
      <c r="AQ73" s="66">
        <f>SUMIFS(Drivers!BM$10:BM$66,PLAcctIDs,$J73)</f>
        <v>3542.1310888419175</v>
      </c>
      <c r="AR73" s="66">
        <f>SUMIFS(Drivers!BN$10:BN$66,PLAcctIDs,$J73)</f>
        <v>3591.2851265923782</v>
      </c>
      <c r="AS73" s="66">
        <f>SUMIFS(Drivers!BO$10:BO$66,PLAcctIDs,$J73)</f>
        <v>3642.5917754597167</v>
      </c>
      <c r="AT73" s="66">
        <f>SUMIFS(Drivers!BP$10:BP$66,PLAcctIDs,$J73)</f>
        <v>3695.2991069287314</v>
      </c>
      <c r="AU73" s="66">
        <f>SUMIFS(Drivers!BQ$10:BQ$66,PLAcctIDs,$J73)</f>
        <v>3748.3260937884475</v>
      </c>
      <c r="AV73" s="66">
        <f>SUMIFS(Drivers!BR$10:BR$66,PLAcctIDs,$J73)</f>
        <v>3800.170453399372</v>
      </c>
      <c r="AW73" s="66">
        <f>SUMIFS(Drivers!BS$10:BS$66,PLAcctIDs,$J73)</f>
        <v>3853.4656378768491</v>
      </c>
    </row>
    <row r="74" spans="2:49" ht="18.75" customHeight="1" outlineLevel="1">
      <c r="D74" s="5" t="s">
        <v>195</v>
      </c>
      <c r="E74" s="14" t="str">
        <f>IFERROR(INDEX(PBC_ACCOUNT_LIST[Drivers Section],MATCH('Data Summary'!J74,PBC_ACCOUNT_LIST[Id],0)),"")</f>
        <v>Other Expenses</v>
      </c>
      <c r="F74" s="14" t="str">
        <f>IFERROR(INDEX(PBC_ACCOUNT_LIST[Summary Grouping],MATCH('Data Summary'!J74,PBC_ACCOUNT_LIST[Id],0)),"")</f>
        <v>Other Expenses</v>
      </c>
      <c r="G74" s="15"/>
      <c r="H74" s="15">
        <f>IFERROR(INDEX(PBC_ACCOUNT_LIST[Cash Flow Section],MATCH('Data Summary'!J74,PBC_ACCOUNT_LIST[Id],0)),"")</f>
        <v>0</v>
      </c>
      <c r="J74" s="2">
        <v>192</v>
      </c>
      <c r="M74" s="66">
        <f>SUMIFS(Drivers!AI$10:AI$66,PLAcctIDs,$J74)</f>
        <v>18444.5</v>
      </c>
      <c r="N74" s="66">
        <f>SUMIFS(Drivers!AJ$10:AJ$66,PLAcctIDs,$J74)</f>
        <v>18444.5</v>
      </c>
      <c r="O74" s="66">
        <f>SUMIFS(Drivers!AK$10:AK$66,PLAcctIDs,$J74)</f>
        <v>18445</v>
      </c>
      <c r="P74" s="66">
        <f>SUMIFS(Drivers!AL$10:AL$66,PLAcctIDs,$J74)</f>
        <v>18445</v>
      </c>
      <c r="Q74" s="66">
        <f>SUMIFS(Drivers!AM$10:AM$66,PLAcctIDs,$J74)</f>
        <v>18445</v>
      </c>
      <c r="R74" s="66">
        <f>SUMIFS(Drivers!AN$10:AN$66,PLAcctIDs,$J74)</f>
        <v>18445</v>
      </c>
      <c r="S74" s="66">
        <f>SUMIFS(Drivers!AO$10:AO$66,PLAcctIDs,$J74)</f>
        <v>18445</v>
      </c>
      <c r="T74" s="66">
        <f>SUMIFS(Drivers!AP$10:AP$66,PLAcctIDs,$J74)</f>
        <v>18445</v>
      </c>
      <c r="U74" s="66">
        <f>SUMIFS(Drivers!AQ$10:AQ$66,PLAcctIDs,$J74)</f>
        <v>18445</v>
      </c>
      <c r="V74" s="66">
        <f>SUMIFS(Drivers!AR$10:AR$66,PLAcctIDs,$J74)</f>
        <v>18445</v>
      </c>
      <c r="W74" s="66">
        <f>SUMIFS(Drivers!AS$10:AS$66,PLAcctIDs,$J74)</f>
        <v>18445</v>
      </c>
      <c r="X74" s="66">
        <f>SUMIFS(Drivers!AT$10:AT$66,PLAcctIDs,$J74)</f>
        <v>18445</v>
      </c>
      <c r="Y74" s="66">
        <f>SUMIFS(Drivers!AU$10:AU$66,PLAcctIDs,$J74)</f>
        <v>18445</v>
      </c>
      <c r="Z74" s="66">
        <f>SUMIFS(Drivers!AV$10:AV$66,PLAcctIDs,$J74)</f>
        <v>18444.759999999998</v>
      </c>
      <c r="AA74" s="66">
        <f>SUMIFS(Drivers!AW$10:AW$66,PLAcctIDs,$J74)</f>
        <v>18445</v>
      </c>
      <c r="AB74" s="66">
        <f>SUMIFS(Drivers!AX$10:AX$66,PLAcctIDs,$J74)</f>
        <v>18445</v>
      </c>
      <c r="AC74" s="66">
        <f>SUMIFS(Drivers!AY$10:AY$66,PLAcctIDs,$J74)</f>
        <v>18445</v>
      </c>
      <c r="AD74" s="66">
        <f>SUMIFS(Drivers!AZ$10:AZ$66,PLAcctIDs,$J74)</f>
        <v>18445</v>
      </c>
      <c r="AE74" s="66">
        <f>SUMIFS(Drivers!BA$10:BA$66,PLAcctIDs,$J74)</f>
        <v>18444.759999999998</v>
      </c>
      <c r="AF74" s="66">
        <f>SUMIFS(Drivers!BB$10:BB$66,PLAcctIDs,$J74)</f>
        <v>18444.759999999998</v>
      </c>
      <c r="AG74" s="66">
        <f>SUMIFS(Drivers!BC$10:BC$66,PLAcctIDs,$J74)</f>
        <v>18444.759999999998</v>
      </c>
      <c r="AH74" s="66">
        <f>SUMIFS(Drivers!BD$10:BD$66,PLAcctIDs,$J74)</f>
        <v>18444.759999999998</v>
      </c>
      <c r="AI74" s="66">
        <f>SUMIFS(Drivers!BE$10:BE$66,PLAcctIDs,$J74)</f>
        <v>19367.081999999999</v>
      </c>
      <c r="AJ74" s="66">
        <f>SUMIFS(Drivers!BF$10:BF$66,PLAcctIDs,$J74)</f>
        <v>19528.446349999998</v>
      </c>
      <c r="AK74" s="66">
        <f>SUMIFS(Drivers!BG$10:BG$66,PLAcctIDs,$J74)</f>
        <v>19718.049461250001</v>
      </c>
      <c r="AL74" s="66">
        <f>SUMIFS(Drivers!BH$10:BH$66,PLAcctIDs,$J74)</f>
        <v>19940.875116968753</v>
      </c>
      <c r="AM74" s="66">
        <f>SUMIFS(Drivers!BI$10:BI$66,PLAcctIDs,$J74)</f>
        <v>20202.695262438283</v>
      </c>
      <c r="AN74" s="66">
        <f>SUMIFS(Drivers!BJ$10:BJ$66,PLAcctIDs,$J74)</f>
        <v>20510.333933364982</v>
      </c>
      <c r="AO74" s="66">
        <f>SUMIFS(Drivers!BK$10:BK$66,PLAcctIDs,$J74)</f>
        <v>20871.809371703854</v>
      </c>
      <c r="AP74" s="66">
        <f>SUMIFS(Drivers!BL$10:BL$66,PLAcctIDs,$J74)</f>
        <v>21135.136661752029</v>
      </c>
      <c r="AQ74" s="66">
        <f>SUMIFS(Drivers!BM$10:BM$66,PLAcctIDs,$J74)</f>
        <v>21416.307466308634</v>
      </c>
      <c r="AR74" s="66">
        <f>SUMIFS(Drivers!BN$10:BN$66,PLAcctIDs,$J74)</f>
        <v>21713.502617193895</v>
      </c>
      <c r="AS74" s="66">
        <f>SUMIFS(Drivers!BO$10:BO$66,PLAcctIDs,$J74)</f>
        <v>22023.712429733292</v>
      </c>
      <c r="AT74" s="66">
        <f>SUMIFS(Drivers!BP$10:BP$66,PLAcctIDs,$J74)</f>
        <v>22342.390434009918</v>
      </c>
      <c r="AU74" s="66">
        <f>SUMIFS(Drivers!BQ$10:BQ$66,PLAcctIDs,$J74)</f>
        <v>22663.000321622785</v>
      </c>
      <c r="AV74" s="66">
        <f>SUMIFS(Drivers!BR$10:BR$66,PLAcctIDs,$J74)</f>
        <v>22976.4587378586</v>
      </c>
      <c r="AW74" s="66">
        <f>SUMIFS(Drivers!BS$10:BS$66,PLAcctIDs,$J74)</f>
        <v>23298.69010117725</v>
      </c>
    </row>
    <row r="75" spans="2:49" ht="18.75" customHeight="1">
      <c r="G75" s="13"/>
      <c r="H75" s="13" t="str">
        <f>IFERROR(INDEX(PBC_ACCOUNT_LIST[Cash Flow Section],MATCH('Data Summary'!J75,PBC_ACCOUNT_LIST[Id],0)),"")</f>
        <v/>
      </c>
      <c r="I75" s="14"/>
      <c r="J75" s="14"/>
    </row>
    <row r="76" spans="2:49" ht="21">
      <c r="B76" s="22"/>
      <c r="C76" s="67" t="s">
        <v>198</v>
      </c>
      <c r="D76" s="28"/>
      <c r="E76" s="14"/>
      <c r="F76" s="14"/>
      <c r="G76" s="15"/>
      <c r="H76" s="15" t="str">
        <f>IFERROR(INDEX(PBC_ACCOUNT_LIST[Cash Flow Section],MATCH('Data Summary'!J76,PBC_ACCOUNT_LIST[Id],0)),"")</f>
        <v/>
      </c>
      <c r="I76" s="14"/>
      <c r="J76" s="1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</row>
    <row r="77" spans="2:49" ht="19.5" customHeight="1" outlineLevel="1">
      <c r="B77" s="22"/>
      <c r="C77" s="67"/>
      <c r="D77" s="26" t="s">
        <v>199</v>
      </c>
      <c r="E77" s="14"/>
      <c r="F77" s="14"/>
      <c r="G77" s="15"/>
      <c r="H77" s="15">
        <f>IFERROR(INDEX(PBC_ACCOUNT_LIST[Cash Flow Section],MATCH('Data Summary'!J77,PBC_ACCOUNT_LIST[Id],0)),"")</f>
        <v>0</v>
      </c>
      <c r="I77" s="15" cm="1">
        <f t="array" ref="I77">INDEX(BSSummarysCF,_xlfn.XMATCH($J77,BSAcctIDs))</f>
        <v>0</v>
      </c>
      <c r="J77" s="14">
        <v>1150040000</v>
      </c>
      <c r="M77" s="66">
        <f>SUMIFS(Drivers!AI$68:AI$103,BSAcctIDs,$J77)</f>
        <v>4285000.5</v>
      </c>
      <c r="N77" s="66">
        <f>SUMIFS(Drivers!AJ$68:AJ$103,BSAcctIDs,$J77)</f>
        <v>4191288.5</v>
      </c>
      <c r="O77" s="66">
        <f>SUMIFS(Drivers!AK$68:AK$103,BSAcctIDs,$J77)</f>
        <v>4076334.5</v>
      </c>
      <c r="P77" s="66">
        <f>SUMIFS(Drivers!AL$68:AL$103,BSAcctIDs,$J77)</f>
        <v>4004840.5</v>
      </c>
      <c r="Q77" s="66">
        <f>SUMIFS(Drivers!AM$68:AM$103,BSAcctIDs,$J77)</f>
        <v>3870793.5</v>
      </c>
      <c r="R77" s="66">
        <f>SUMIFS(Drivers!AN$68:AN$103,BSAcctIDs,$J77)</f>
        <v>3794994.5</v>
      </c>
      <c r="S77" s="66">
        <f>SUMIFS(Drivers!AO$68:AO$103,BSAcctIDs,$J77)</f>
        <v>3656851.5</v>
      </c>
      <c r="T77" s="66">
        <f>SUMIFS(Drivers!AP$68:AP$103,BSAcctIDs,$J77)</f>
        <v>3512188.5</v>
      </c>
      <c r="U77" s="66">
        <f>SUMIFS(Drivers!AQ$68:AQ$103,BSAcctIDs,$J77)</f>
        <v>3367871.5</v>
      </c>
      <c r="V77" s="66">
        <f>SUMIFS(Drivers!AR$68:AR$103,BSAcctIDs,$J77)</f>
        <v>3217220.5</v>
      </c>
      <c r="W77" s="66">
        <f>SUMIFS(Drivers!AS$68:AS$103,BSAcctIDs,$J77)</f>
        <v>3066455.5</v>
      </c>
      <c r="X77" s="66">
        <f>SUMIFS(Drivers!AT$68:AT$103,BSAcctIDs,$J77)</f>
        <v>2909186.5</v>
      </c>
      <c r="Y77" s="66">
        <f>SUMIFS(Drivers!AU$68:AU$103,BSAcctIDs,$J77)</f>
        <v>2744982.5</v>
      </c>
      <c r="Z77" s="66">
        <f>SUMIFS(Drivers!AV$68:AV$103,BSAcctIDs,$J77)</f>
        <v>2573511.48</v>
      </c>
      <c r="AA77" s="66">
        <f>SUMIFS(Drivers!AW$68:AW$103,BSAcctIDs,$J77)</f>
        <v>2394437.48</v>
      </c>
      <c r="AB77" s="66">
        <f>SUMIFS(Drivers!AX$68:AX$103,BSAcctIDs,$J77)</f>
        <v>2207358.48</v>
      </c>
      <c r="AC77" s="66">
        <f>SUMIFS(Drivers!AY$68:AY$103,BSAcctIDs,$J77)</f>
        <v>2011881.48</v>
      </c>
      <c r="AD77" s="66">
        <f>SUMIFS(Drivers!AZ$68:AZ$103,BSAcctIDs,$J77)</f>
        <v>1807588.48</v>
      </c>
      <c r="AE77" s="66">
        <f>SUMIFS(Drivers!BA$68:BA$103,BSAcctIDs,$J77)</f>
        <v>1594040.15</v>
      </c>
      <c r="AF77" s="66">
        <f>SUMIFS(Drivers!BB$68:BB$103,BSAcctIDs,$J77)</f>
        <v>1370773.78</v>
      </c>
      <c r="AG77" s="66">
        <f>SUMIFS(Drivers!BC$68:BC$103,BSAcctIDs,$J77)</f>
        <v>1137304.6599999999</v>
      </c>
      <c r="AH77" s="66">
        <f>SUMIFS(Drivers!BD$68:BD$103,BSAcctIDs,$J77)</f>
        <v>893122.77</v>
      </c>
      <c r="AI77" s="66">
        <f>SUMIFS(Drivers!BE$68:BE$103,BSAcctIDs,$J77)</f>
        <v>0</v>
      </c>
      <c r="AJ77" s="66">
        <f>SUMIFS(Drivers!BF$68:BF$103,BSAcctIDs,$J77)</f>
        <v>0</v>
      </c>
      <c r="AK77" s="66">
        <f>SUMIFS(Drivers!BG$68:BG$103,BSAcctIDs,$J77)</f>
        <v>0</v>
      </c>
      <c r="AL77" s="66">
        <f>SUMIFS(Drivers!BH$68:BH$103,BSAcctIDs,$J77)</f>
        <v>0</v>
      </c>
      <c r="AM77" s="66">
        <f>SUMIFS(Drivers!BI$68:BI$103,BSAcctIDs,$J77)</f>
        <v>0</v>
      </c>
      <c r="AN77" s="66">
        <f>SUMIFS(Drivers!BJ$68:BJ$103,BSAcctIDs,$J77)</f>
        <v>0</v>
      </c>
      <c r="AO77" s="66">
        <f>SUMIFS(Drivers!BK$68:BK$103,BSAcctIDs,$J77)</f>
        <v>0</v>
      </c>
      <c r="AP77" s="66">
        <f>SUMIFS(Drivers!BL$68:BL$103,BSAcctIDs,$J77)</f>
        <v>0</v>
      </c>
      <c r="AQ77" s="66">
        <f>SUMIFS(Drivers!BM$68:BM$103,BSAcctIDs,$J77)</f>
        <v>0</v>
      </c>
      <c r="AR77" s="66">
        <f>SUMIFS(Drivers!BN$68:BN$103,BSAcctIDs,$J77)</f>
        <v>0</v>
      </c>
      <c r="AS77" s="66">
        <f>SUMIFS(Drivers!BO$68:BO$103,BSAcctIDs,$J77)</f>
        <v>0</v>
      </c>
      <c r="AT77" s="66">
        <f>SUMIFS(Drivers!BP$68:BP$103,BSAcctIDs,$J77)</f>
        <v>0</v>
      </c>
      <c r="AU77" s="66">
        <f>SUMIFS(Drivers!BQ$68:BQ$103,BSAcctIDs,$J77)</f>
        <v>0</v>
      </c>
      <c r="AV77" s="66">
        <f>SUMIFS(Drivers!BR$68:BR$103,BSAcctIDs,$J77)</f>
        <v>0</v>
      </c>
      <c r="AW77" s="66">
        <f>SUMIFS(Drivers!BS$68:BS$103,BSAcctIDs,$J77)</f>
        <v>0</v>
      </c>
    </row>
    <row r="78" spans="2:49" ht="19.5" customHeight="1" outlineLevel="1">
      <c r="B78" s="22"/>
      <c r="C78" s="67"/>
      <c r="D78" s="26" t="s">
        <v>200</v>
      </c>
      <c r="E78" s="14" t="s">
        <v>49</v>
      </c>
      <c r="F78" s="14" t="s">
        <v>50</v>
      </c>
      <c r="G78" s="15" t="s">
        <v>159</v>
      </c>
      <c r="H78" s="15"/>
      <c r="I78" s="15" cm="1">
        <f t="array" ref="I78">INDEX(BSSummarysCF,_xlfn.XMATCH($J78,BSAcctIDs))</f>
        <v>0</v>
      </c>
      <c r="J78" s="14" t="s">
        <v>202</v>
      </c>
      <c r="M78" s="66">
        <f>SUMIFS(Drivers!AI$68:AI$103,BSAcctIDs,$J78)</f>
        <v>4285000.5</v>
      </c>
      <c r="N78" s="66">
        <f>SUMIFS(Drivers!AJ$68:AJ$103,BSAcctIDs,$J78)</f>
        <v>4191288.5</v>
      </c>
      <c r="O78" s="66">
        <f>SUMIFS(Drivers!AK$68:AK$103,BSAcctIDs,$J78)</f>
        <v>4076334.5</v>
      </c>
      <c r="P78" s="66">
        <f>SUMIFS(Drivers!AL$68:AL$103,BSAcctIDs,$J78)</f>
        <v>4004840.5</v>
      </c>
      <c r="Q78" s="66">
        <f>SUMIFS(Drivers!AM$68:AM$103,BSAcctIDs,$J78)</f>
        <v>3870793.5</v>
      </c>
      <c r="R78" s="66">
        <f>SUMIFS(Drivers!AN$68:AN$103,BSAcctIDs,$J78)</f>
        <v>3794994.5</v>
      </c>
      <c r="S78" s="66">
        <f>SUMIFS(Drivers!AO$68:AO$103,BSAcctIDs,$J78)</f>
        <v>3656851.5</v>
      </c>
      <c r="T78" s="66">
        <f>SUMIFS(Drivers!AP$68:AP$103,BSAcctIDs,$J78)</f>
        <v>3512188.5</v>
      </c>
      <c r="U78" s="66">
        <f>SUMIFS(Drivers!AQ$68:AQ$103,BSAcctIDs,$J78)</f>
        <v>3367871.5</v>
      </c>
      <c r="V78" s="66">
        <f>SUMIFS(Drivers!AR$68:AR$103,BSAcctIDs,$J78)</f>
        <v>3217220.5</v>
      </c>
      <c r="W78" s="66">
        <f>SUMIFS(Drivers!AS$68:AS$103,BSAcctIDs,$J78)</f>
        <v>3066455.5</v>
      </c>
      <c r="X78" s="66">
        <f>SUMIFS(Drivers!AT$68:AT$103,BSAcctIDs,$J78)</f>
        <v>2909186.5</v>
      </c>
      <c r="Y78" s="66">
        <f>SUMIFS(Drivers!AU$68:AU$103,BSAcctIDs,$J78)</f>
        <v>2744982.5</v>
      </c>
      <c r="Z78" s="66">
        <f>SUMIFS(Drivers!AV$68:AV$103,BSAcctIDs,$J78)</f>
        <v>2573511.48</v>
      </c>
      <c r="AA78" s="66">
        <f>SUMIFS(Drivers!AW$68:AW$103,BSAcctIDs,$J78)</f>
        <v>2394437.4799999995</v>
      </c>
      <c r="AB78" s="66">
        <f>SUMIFS(Drivers!AX$68:AX$103,BSAcctIDs,$J78)</f>
        <v>2207358.48</v>
      </c>
      <c r="AC78" s="66">
        <f>SUMIFS(Drivers!AY$68:AY$103,BSAcctIDs,$J78)</f>
        <v>2011881.48</v>
      </c>
      <c r="AD78" s="66">
        <f>SUMIFS(Drivers!AZ$68:AZ$103,BSAcctIDs,$J78)</f>
        <v>1807588.48</v>
      </c>
      <c r="AE78" s="66">
        <f>SUMIFS(Drivers!BA$68:BA$103,BSAcctIDs,$J78)</f>
        <v>1594040.15</v>
      </c>
      <c r="AF78" s="66">
        <f>SUMIFS(Drivers!BB$68:BB$103,BSAcctIDs,$J78)</f>
        <v>1370773.78</v>
      </c>
      <c r="AG78" s="66">
        <f>SUMIFS(Drivers!BC$68:BC$103,BSAcctIDs,$J78)</f>
        <v>1137304.6599999999</v>
      </c>
      <c r="AH78" s="66">
        <f>SUMIFS(Drivers!BD$68:BD$103,BSAcctIDs,$J78)</f>
        <v>893122.77</v>
      </c>
      <c r="AI78" s="66">
        <f>SUMIFS(Drivers!BE$68:BE$103,BSAcctIDs,$J78)</f>
        <v>1722958.6085000003</v>
      </c>
      <c r="AJ78" s="66">
        <f>SUMIFS(Drivers!BF$68:BF$103,BSAcctIDs,$J78)</f>
        <v>1487013.4092374998</v>
      </c>
      <c r="AK78" s="66">
        <f>SUMIFS(Drivers!BG$68:BG$103,BSAcctIDs,$J78)</f>
        <v>2245812.6906040623</v>
      </c>
      <c r="AL78" s="66">
        <f>SUMIFS(Drivers!BH$68:BH$103,BSAcctIDs,$J78)</f>
        <v>1998754.9829597732</v>
      </c>
      <c r="AM78" s="66">
        <f>SUMIFS(Drivers!BI$68:BI$103,BSAcctIDs,$J78)</f>
        <v>1747629.6352277335</v>
      </c>
      <c r="AN78" s="66">
        <f>SUMIFS(Drivers!BJ$68:BJ$103,BSAcctIDs,$J78)</f>
        <v>1493678.8498925865</v>
      </c>
      <c r="AO78" s="66">
        <f>SUMIFS(Drivers!BK$68:BK$103,BSAcctIDs,$J78)</f>
        <v>1238276.1638737889</v>
      </c>
      <c r="AP78" s="66">
        <f>SUMIFS(Drivers!BL$68:BL$103,BSAcctIDs,$J78)</f>
        <v>978456.73606420192</v>
      </c>
      <c r="AQ78" s="66">
        <f>SUMIFS(Drivers!BM$68:BM$103,BSAcctIDs,$J78)</f>
        <v>714459.31825887505</v>
      </c>
      <c r="AR78" s="66">
        <f>SUMIFS(Drivers!BN$68:BN$103,BSAcctIDs,$J78)</f>
        <v>446472.47809846723</v>
      </c>
      <c r="AS78" s="66">
        <f>SUMIFS(Drivers!BO$68:BO$103,BSAcctIDs,$J78)</f>
        <v>174823.03974773848</v>
      </c>
      <c r="AT78" s="66">
        <f>SUMIFS(Drivers!BP$68:BP$103,BSAcctIDs,$J78)</f>
        <v>-100418.11446126064</v>
      </c>
      <c r="AU78" s="66">
        <f>SUMIFS(Drivers!BQ$68:BQ$103,BSAcctIDs,$J78)</f>
        <v>-379385.08322318434</v>
      </c>
      <c r="AV78" s="66">
        <f>SUMIFS(Drivers!BR$68:BR$103,BSAcctIDs,$J78)</f>
        <v>-662475.80146515393</v>
      </c>
      <c r="AW78" s="66">
        <f>SUMIFS(Drivers!BS$68:BS$103,BSAcctIDs,$J78)</f>
        <v>-949638.99553279136</v>
      </c>
    </row>
    <row r="79" spans="2:49" ht="19.5" customHeight="1" outlineLevel="1">
      <c r="B79" s="22"/>
      <c r="C79" s="67"/>
      <c r="D79" s="26" t="s">
        <v>203</v>
      </c>
      <c r="E79" s="14" t="str">
        <f>IFERROR(INDEX(PBC_ACCOUNT_LIST[Drivers Section],MATCH('Data Summary'!J79,PBC_ACCOUNT_LIST[Id],0)),"")</f>
        <v>Assets</v>
      </c>
      <c r="F79" s="14" t="str">
        <f>IFERROR(INDEX(PBC_ACCOUNT_LIST[Summary Grouping],MATCH('Data Summary'!J79,PBC_ACCOUNT_LIST[Id],0)),"")</f>
        <v>Accounts Receivable</v>
      </c>
      <c r="G79" s="15"/>
      <c r="H79" s="15" t="str">
        <f>IFERROR(INDEX(PBC_ACCOUNT_LIST[Cash Flow Section],MATCH('Data Summary'!J79,PBC_ACCOUNT_LIST[Id],0)),"")</f>
        <v>Cash from Operating Activities</v>
      </c>
      <c r="I79" s="15" t="str" cm="1">
        <f t="array" ref="I79">INDEX(BSSummarysCF,_xlfn.XMATCH($J79,BSAcctIDs))</f>
        <v>Accounts Receivable</v>
      </c>
      <c r="J79" s="14">
        <v>8</v>
      </c>
      <c r="M79" s="66">
        <f>SUMIFS(Drivers!AI$68:AI$103,BSAcctIDs,$J79)</f>
        <v>34169</v>
      </c>
      <c r="N79" s="66">
        <f>SUMIFS(Drivers!AJ$68:AJ$103,BSAcctIDs,$J79)</f>
        <v>41127</v>
      </c>
      <c r="O79" s="66">
        <f>SUMIFS(Drivers!AK$68:AK$103,BSAcctIDs,$J79)</f>
        <v>41812</v>
      </c>
      <c r="P79" s="66">
        <f>SUMIFS(Drivers!AL$68:AL$103,BSAcctIDs,$J79)</f>
        <v>40987</v>
      </c>
      <c r="Q79" s="66">
        <f>SUMIFS(Drivers!AM$68:AM$103,BSAcctIDs,$J79)</f>
        <v>43374</v>
      </c>
      <c r="R79" s="66">
        <f>SUMIFS(Drivers!AN$68:AN$103,BSAcctIDs,$J79)</f>
        <v>44161</v>
      </c>
      <c r="S79" s="66">
        <f>SUMIFS(Drivers!AO$68:AO$103,BSAcctIDs,$J79)</f>
        <v>44983</v>
      </c>
      <c r="T79" s="66">
        <f>SUMIFS(Drivers!AP$68:AP$103,BSAcctIDs,$J79)</f>
        <v>46381</v>
      </c>
      <c r="U79" s="66">
        <f>SUMIFS(Drivers!AQ$68:AQ$103,BSAcctIDs,$J79)</f>
        <v>47434</v>
      </c>
      <c r="V79" s="66">
        <f>SUMIFS(Drivers!AR$68:AR$103,BSAcctIDs,$J79)</f>
        <v>48580</v>
      </c>
      <c r="W79" s="66">
        <f>SUMIFS(Drivers!AS$68:AS$103,BSAcctIDs,$J79)</f>
        <v>49839</v>
      </c>
      <c r="X79" s="66">
        <f>SUMIFS(Drivers!AT$68:AT$103,BSAcctIDs,$J79)</f>
        <v>51049</v>
      </c>
      <c r="Y79" s="66">
        <f>SUMIFS(Drivers!AU$68:AU$103,BSAcctIDs,$J79)</f>
        <v>52314</v>
      </c>
      <c r="Z79" s="66">
        <f>SUMIFS(Drivers!AV$68:AV$103,BSAcctIDs,$J79)</f>
        <v>53620.77</v>
      </c>
      <c r="AA79" s="66">
        <f>SUMIFS(Drivers!AW$68:AW$103,BSAcctIDs,$J79)</f>
        <v>54944.77</v>
      </c>
      <c r="AB79" s="66">
        <f>SUMIFS(Drivers!AX$68:AX$103,BSAcctIDs,$J79)</f>
        <v>56307.77</v>
      </c>
      <c r="AC79" s="66">
        <f>SUMIFS(Drivers!AY$68:AY$103,BSAcctIDs,$J79)</f>
        <v>57705.77</v>
      </c>
      <c r="AD79" s="66">
        <f>SUMIFS(Drivers!AZ$68:AZ$103,BSAcctIDs,$J79)</f>
        <v>59135.77</v>
      </c>
      <c r="AE79" s="66">
        <f>SUMIFS(Drivers!BA$68:BA$103,BSAcctIDs,$J79)</f>
        <v>69302.55</v>
      </c>
      <c r="AF79" s="66">
        <f>SUMIFS(Drivers!BB$68:BB$103,BSAcctIDs,$J79)</f>
        <v>70805.53</v>
      </c>
      <c r="AG79" s="66">
        <f>SUMIFS(Drivers!BC$68:BC$103,BSAcctIDs,$J79)</f>
        <v>72345.320000000007</v>
      </c>
      <c r="AH79" s="66">
        <f>SUMIFS(Drivers!BD$68:BD$103,BSAcctIDs,$J79)</f>
        <v>73923.66</v>
      </c>
      <c r="AI79" s="66">
        <f>SUMIFS(Drivers!BE$68:BE$103,BSAcctIDs,$J79)</f>
        <v>63923.66</v>
      </c>
      <c r="AJ79" s="66">
        <f>SUMIFS(Drivers!BF$68:BF$103,BSAcctIDs,$J79)</f>
        <v>63923.66</v>
      </c>
      <c r="AK79" s="66">
        <f>SUMIFS(Drivers!BG$68:BG$103,BSAcctIDs,$J79)</f>
        <v>63923.66</v>
      </c>
      <c r="AL79" s="66">
        <f>SUMIFS(Drivers!BH$68:BH$103,BSAcctIDs,$J79)</f>
        <v>63923.66</v>
      </c>
      <c r="AM79" s="66">
        <f>SUMIFS(Drivers!BI$68:BI$103,BSAcctIDs,$J79)</f>
        <v>63923.66</v>
      </c>
      <c r="AN79" s="66">
        <f>SUMIFS(Drivers!BJ$68:BJ$103,BSAcctIDs,$J79)</f>
        <v>63923.66</v>
      </c>
      <c r="AO79" s="66">
        <f>SUMIFS(Drivers!BK$68:BK$103,BSAcctIDs,$J79)</f>
        <v>63923.66</v>
      </c>
      <c r="AP79" s="66">
        <f>SUMIFS(Drivers!BL$68:BL$103,BSAcctIDs,$J79)</f>
        <v>63923.66</v>
      </c>
      <c r="AQ79" s="66">
        <f>SUMIFS(Drivers!BM$68:BM$103,BSAcctIDs,$J79)</f>
        <v>63923.66</v>
      </c>
      <c r="AR79" s="66">
        <f>SUMIFS(Drivers!BN$68:BN$103,BSAcctIDs,$J79)</f>
        <v>63923.66</v>
      </c>
      <c r="AS79" s="66">
        <f>SUMIFS(Drivers!BO$68:BO$103,BSAcctIDs,$J79)</f>
        <v>63923.66</v>
      </c>
      <c r="AT79" s="66">
        <f>SUMIFS(Drivers!BP$68:BP$103,BSAcctIDs,$J79)</f>
        <v>63923.66</v>
      </c>
      <c r="AU79" s="66">
        <f>SUMIFS(Drivers!BQ$68:BQ$103,BSAcctIDs,$J79)</f>
        <v>63923.66</v>
      </c>
      <c r="AV79" s="66">
        <f>SUMIFS(Drivers!BR$68:BR$103,BSAcctIDs,$J79)</f>
        <v>63923.66</v>
      </c>
      <c r="AW79" s="66">
        <f>SUMIFS(Drivers!BS$68:BS$103,BSAcctIDs,$J79)</f>
        <v>63923.66</v>
      </c>
    </row>
    <row r="80" spans="2:49" ht="19.5" customHeight="1" outlineLevel="1">
      <c r="B80" s="22"/>
      <c r="C80" s="67"/>
      <c r="D80" s="26" t="s">
        <v>205</v>
      </c>
      <c r="E80" s="14" t="str">
        <f>IFERROR(INDEX(PBC_ACCOUNT_LIST[Drivers Section],MATCH('Data Summary'!J80,PBC_ACCOUNT_LIST[Id],0)),"")</f>
        <v>Assets</v>
      </c>
      <c r="F80" s="14" t="str">
        <f>IFERROR(INDEX(PBC_ACCOUNT_LIST[Summary Grouping],MATCH('Data Summary'!J80,PBC_ACCOUNT_LIST[Id],0)),"")</f>
        <v>Current Assets</v>
      </c>
      <c r="G80" s="15"/>
      <c r="H80" s="15" t="str">
        <f>IFERROR(INDEX(PBC_ACCOUNT_LIST[Cash Flow Section],MATCH('Data Summary'!J80,PBC_ACCOUNT_LIST[Id],0)),"")</f>
        <v>Cash from Operating Activities</v>
      </c>
      <c r="I80" s="15" t="str" cm="1">
        <f t="array" ref="I80">INDEX(BSSummarysCF,_xlfn.XMATCH($J80,BSAcctIDs))</f>
        <v>Current Assets</v>
      </c>
      <c r="J80" s="14">
        <v>193</v>
      </c>
      <c r="M80" s="66">
        <f>SUMIFS(Drivers!AI$68:AI$103,BSAcctIDs,$J80)</f>
        <v>1119.5</v>
      </c>
      <c r="N80" s="66">
        <f>SUMIFS(Drivers!AJ$68:AJ$103,BSAcctIDs,$J80)</f>
        <v>1119.5</v>
      </c>
      <c r="O80" s="66">
        <f>SUMIFS(Drivers!AK$68:AK$103,BSAcctIDs,$J80)</f>
        <v>1119.5</v>
      </c>
      <c r="P80" s="66">
        <f>SUMIFS(Drivers!AL$68:AL$103,BSAcctIDs,$J80)</f>
        <v>1119.5</v>
      </c>
      <c r="Q80" s="66">
        <f>SUMIFS(Drivers!AM$68:AM$103,BSAcctIDs,$J80)</f>
        <v>1119.5</v>
      </c>
      <c r="R80" s="66">
        <f>SUMIFS(Drivers!AN$68:AN$103,BSAcctIDs,$J80)</f>
        <v>1119.5</v>
      </c>
      <c r="S80" s="66">
        <f>SUMIFS(Drivers!AO$68:AO$103,BSAcctIDs,$J80)</f>
        <v>1119.5</v>
      </c>
      <c r="T80" s="66">
        <f>SUMIFS(Drivers!AP$68:AP$103,BSAcctIDs,$J80)</f>
        <v>1119.5</v>
      </c>
      <c r="U80" s="66">
        <f>SUMIFS(Drivers!AQ$68:AQ$103,BSAcctIDs,$J80)</f>
        <v>1119.5</v>
      </c>
      <c r="V80" s="66">
        <f>SUMIFS(Drivers!AR$68:AR$103,BSAcctIDs,$J80)</f>
        <v>1119.5</v>
      </c>
      <c r="W80" s="66">
        <f>SUMIFS(Drivers!AS$68:AS$103,BSAcctIDs,$J80)</f>
        <v>1119.5</v>
      </c>
      <c r="X80" s="66">
        <f>SUMIFS(Drivers!AT$68:AT$103,BSAcctIDs,$J80)</f>
        <v>1119.5</v>
      </c>
      <c r="Y80" s="66">
        <f>SUMIFS(Drivers!AU$68:AU$103,BSAcctIDs,$J80)</f>
        <v>1119.5</v>
      </c>
      <c r="Z80" s="66">
        <f>SUMIFS(Drivers!AV$68:AV$103,BSAcctIDs,$J80)</f>
        <v>1119.5</v>
      </c>
      <c r="AA80" s="66">
        <f>SUMIFS(Drivers!AW$68:AW$103,BSAcctIDs,$J80)</f>
        <v>1119.5</v>
      </c>
      <c r="AB80" s="66">
        <f>SUMIFS(Drivers!AX$68:AX$103,BSAcctIDs,$J80)</f>
        <v>1119.5</v>
      </c>
      <c r="AC80" s="66">
        <f>SUMIFS(Drivers!AY$68:AY$103,BSAcctIDs,$J80)</f>
        <v>1119.5</v>
      </c>
      <c r="AD80" s="66">
        <f>SUMIFS(Drivers!AZ$68:AZ$103,BSAcctIDs,$J80)</f>
        <v>1119.5</v>
      </c>
      <c r="AE80" s="66">
        <f>SUMIFS(Drivers!BA$68:BA$103,BSAcctIDs,$J80)</f>
        <v>1119.5</v>
      </c>
      <c r="AF80" s="66">
        <f>SUMIFS(Drivers!BB$68:BB$103,BSAcctIDs,$J80)</f>
        <v>1119.5</v>
      </c>
      <c r="AG80" s="66">
        <f>SUMIFS(Drivers!BC$68:BC$103,BSAcctIDs,$J80)</f>
        <v>1119.5</v>
      </c>
      <c r="AH80" s="66">
        <f>SUMIFS(Drivers!BD$68:BD$103,BSAcctIDs,$J80)</f>
        <v>1119.5</v>
      </c>
      <c r="AI80" s="66">
        <f>SUMIFS(Drivers!BE$68:BE$103,BSAcctIDs,$J80)</f>
        <v>1119.5</v>
      </c>
      <c r="AJ80" s="66">
        <f>SUMIFS(Drivers!BF$68:BF$103,BSAcctIDs,$J80)</f>
        <v>1119.5</v>
      </c>
      <c r="AK80" s="66">
        <f>SUMIFS(Drivers!BG$68:BG$103,BSAcctIDs,$J80)</f>
        <v>1119.5</v>
      </c>
      <c r="AL80" s="66">
        <f>SUMIFS(Drivers!BH$68:BH$103,BSAcctIDs,$J80)</f>
        <v>1119.5</v>
      </c>
      <c r="AM80" s="66">
        <f>SUMIFS(Drivers!BI$68:BI$103,BSAcctIDs,$J80)</f>
        <v>1119.5</v>
      </c>
      <c r="AN80" s="66">
        <f>SUMIFS(Drivers!BJ$68:BJ$103,BSAcctIDs,$J80)</f>
        <v>1119.5</v>
      </c>
      <c r="AO80" s="66">
        <f>SUMIFS(Drivers!BK$68:BK$103,BSAcctIDs,$J80)</f>
        <v>1119.5</v>
      </c>
      <c r="AP80" s="66">
        <f>SUMIFS(Drivers!BL$68:BL$103,BSAcctIDs,$J80)</f>
        <v>1119.5</v>
      </c>
      <c r="AQ80" s="66">
        <f>SUMIFS(Drivers!BM$68:BM$103,BSAcctIDs,$J80)</f>
        <v>1119.5</v>
      </c>
      <c r="AR80" s="66">
        <f>SUMIFS(Drivers!BN$68:BN$103,BSAcctIDs,$J80)</f>
        <v>1119.5</v>
      </c>
      <c r="AS80" s="66">
        <f>SUMIFS(Drivers!BO$68:BO$103,BSAcctIDs,$J80)</f>
        <v>1119.5</v>
      </c>
      <c r="AT80" s="66">
        <f>SUMIFS(Drivers!BP$68:BP$103,BSAcctIDs,$J80)</f>
        <v>1119.5</v>
      </c>
      <c r="AU80" s="66">
        <f>SUMIFS(Drivers!BQ$68:BQ$103,BSAcctIDs,$J80)</f>
        <v>1119.5</v>
      </c>
      <c r="AV80" s="66">
        <f>SUMIFS(Drivers!BR$68:BR$103,BSAcctIDs,$J80)</f>
        <v>1119.5</v>
      </c>
      <c r="AW80" s="66">
        <f>SUMIFS(Drivers!BS$68:BS$103,BSAcctIDs,$J80)</f>
        <v>1119.5</v>
      </c>
    </row>
    <row r="81" spans="2:49" ht="19.5" customHeight="1" outlineLevel="1">
      <c r="B81" s="22"/>
      <c r="C81" s="67"/>
      <c r="D81" s="26" t="s">
        <v>206</v>
      </c>
      <c r="E81" s="14" t="str">
        <f>IFERROR(INDEX(PBC_ACCOUNT_LIST[Drivers Section],MATCH('Data Summary'!J81,PBC_ACCOUNT_LIST[Id],0)),"")</f>
        <v>Assets</v>
      </c>
      <c r="F81" s="14" t="str">
        <f>IFERROR(INDEX(PBC_ACCOUNT_LIST[Summary Grouping],MATCH('Data Summary'!J81,PBC_ACCOUNT_LIST[Id],0)),"")</f>
        <v>Current Assets</v>
      </c>
      <c r="G81" s="15"/>
      <c r="H81" s="15" t="str">
        <f>IFERROR(INDEX(PBC_ACCOUNT_LIST[Cash Flow Section],MATCH('Data Summary'!J81,PBC_ACCOUNT_LIST[Id],0)),"")</f>
        <v>Cash from Operating Activities</v>
      </c>
      <c r="I81" s="15" t="str" cm="1">
        <f t="array" ref="I81">INDEX(BSSummarysCF,_xlfn.XMATCH($J81,BSAcctIDs))</f>
        <v>Current Assets</v>
      </c>
      <c r="J81" s="14">
        <v>150</v>
      </c>
      <c r="M81" s="66">
        <f>SUMIFS(Drivers!AI$68:AI$103,BSAcctIDs,$J81)</f>
        <v>25000</v>
      </c>
      <c r="N81" s="66">
        <f>SUMIFS(Drivers!AJ$68:AJ$103,BSAcctIDs,$J81)</f>
        <v>25000</v>
      </c>
      <c r="O81" s="66">
        <f>SUMIFS(Drivers!AK$68:AK$103,BSAcctIDs,$J81)</f>
        <v>25000</v>
      </c>
      <c r="P81" s="66">
        <f>SUMIFS(Drivers!AL$68:AL$103,BSAcctIDs,$J81)</f>
        <v>25000</v>
      </c>
      <c r="Q81" s="66">
        <f>SUMIFS(Drivers!AM$68:AM$103,BSAcctIDs,$J81)</f>
        <v>25000</v>
      </c>
      <c r="R81" s="66">
        <f>SUMIFS(Drivers!AN$68:AN$103,BSAcctIDs,$J81)</f>
        <v>25000</v>
      </c>
      <c r="S81" s="66">
        <f>SUMIFS(Drivers!AO$68:AO$103,BSAcctIDs,$J81)</f>
        <v>25000</v>
      </c>
      <c r="T81" s="66">
        <f>SUMIFS(Drivers!AP$68:AP$103,BSAcctIDs,$J81)</f>
        <v>25000</v>
      </c>
      <c r="U81" s="66">
        <f>SUMIFS(Drivers!AQ$68:AQ$103,BSAcctIDs,$J81)</f>
        <v>25000</v>
      </c>
      <c r="V81" s="66">
        <f>SUMIFS(Drivers!AR$68:AR$103,BSAcctIDs,$J81)</f>
        <v>25000</v>
      </c>
      <c r="W81" s="66">
        <f>SUMIFS(Drivers!AS$68:AS$103,BSAcctIDs,$J81)</f>
        <v>25000</v>
      </c>
      <c r="X81" s="66">
        <f>SUMIFS(Drivers!AT$68:AT$103,BSAcctIDs,$J81)</f>
        <v>25000</v>
      </c>
      <c r="Y81" s="66">
        <f>SUMIFS(Drivers!AU$68:AU$103,BSAcctIDs,$J81)</f>
        <v>25000</v>
      </c>
      <c r="Z81" s="66">
        <f>SUMIFS(Drivers!AV$68:AV$103,BSAcctIDs,$J81)</f>
        <v>25000</v>
      </c>
      <c r="AA81" s="66">
        <f>SUMIFS(Drivers!AW$68:AW$103,BSAcctIDs,$J81)</f>
        <v>25000</v>
      </c>
      <c r="AB81" s="66">
        <f>SUMIFS(Drivers!AX$68:AX$103,BSAcctIDs,$J81)</f>
        <v>25000</v>
      </c>
      <c r="AC81" s="66">
        <f>SUMIFS(Drivers!AY$68:AY$103,BSAcctIDs,$J81)</f>
        <v>25000</v>
      </c>
      <c r="AD81" s="66">
        <f>SUMIFS(Drivers!AZ$68:AZ$103,BSAcctIDs,$J81)</f>
        <v>25000</v>
      </c>
      <c r="AE81" s="66">
        <f>SUMIFS(Drivers!BA$68:BA$103,BSAcctIDs,$J81)</f>
        <v>25000</v>
      </c>
      <c r="AF81" s="66">
        <f>SUMIFS(Drivers!BB$68:BB$103,BSAcctIDs,$J81)</f>
        <v>25000</v>
      </c>
      <c r="AG81" s="66">
        <f>SUMIFS(Drivers!BC$68:BC$103,BSAcctIDs,$J81)</f>
        <v>25000</v>
      </c>
      <c r="AH81" s="66">
        <f>SUMIFS(Drivers!BD$68:BD$103,BSAcctIDs,$J81)</f>
        <v>25000</v>
      </c>
      <c r="AI81" s="66">
        <f>SUMIFS(Drivers!BE$68:BE$103,BSAcctIDs,$J81)</f>
        <v>25000</v>
      </c>
      <c r="AJ81" s="66">
        <f>SUMIFS(Drivers!BF$68:BF$103,BSAcctIDs,$J81)</f>
        <v>25000</v>
      </c>
      <c r="AK81" s="66">
        <f>SUMIFS(Drivers!BG$68:BG$103,BSAcctIDs,$J81)</f>
        <v>25000</v>
      </c>
      <c r="AL81" s="66">
        <f>SUMIFS(Drivers!BH$68:BH$103,BSAcctIDs,$J81)</f>
        <v>25000</v>
      </c>
      <c r="AM81" s="66">
        <f>SUMIFS(Drivers!BI$68:BI$103,BSAcctIDs,$J81)</f>
        <v>25000</v>
      </c>
      <c r="AN81" s="66">
        <f>SUMIFS(Drivers!BJ$68:BJ$103,BSAcctIDs,$J81)</f>
        <v>25000</v>
      </c>
      <c r="AO81" s="66">
        <f>SUMIFS(Drivers!BK$68:BK$103,BSAcctIDs,$J81)</f>
        <v>25000</v>
      </c>
      <c r="AP81" s="66">
        <f>SUMIFS(Drivers!BL$68:BL$103,BSAcctIDs,$J81)</f>
        <v>25000</v>
      </c>
      <c r="AQ81" s="66">
        <f>SUMIFS(Drivers!BM$68:BM$103,BSAcctIDs,$J81)</f>
        <v>25000</v>
      </c>
      <c r="AR81" s="66">
        <f>SUMIFS(Drivers!BN$68:BN$103,BSAcctIDs,$J81)</f>
        <v>25000</v>
      </c>
      <c r="AS81" s="66">
        <f>SUMIFS(Drivers!BO$68:BO$103,BSAcctIDs,$J81)</f>
        <v>25000</v>
      </c>
      <c r="AT81" s="66">
        <f>SUMIFS(Drivers!BP$68:BP$103,BSAcctIDs,$J81)</f>
        <v>25000</v>
      </c>
      <c r="AU81" s="66">
        <f>SUMIFS(Drivers!BQ$68:BQ$103,BSAcctIDs,$J81)</f>
        <v>25000</v>
      </c>
      <c r="AV81" s="66">
        <f>SUMIFS(Drivers!BR$68:BR$103,BSAcctIDs,$J81)</f>
        <v>25000</v>
      </c>
      <c r="AW81" s="66">
        <f>SUMIFS(Drivers!BS$68:BS$103,BSAcctIDs,$J81)</f>
        <v>25000</v>
      </c>
    </row>
    <row r="82" spans="2:49" ht="19.5" customHeight="1" outlineLevel="1">
      <c r="B82" s="22"/>
      <c r="C82" s="67"/>
      <c r="D82" s="26" t="s">
        <v>207</v>
      </c>
      <c r="E82" s="14" t="str">
        <f>IFERROR(INDEX(PBC_ACCOUNT_LIST[Drivers Section],MATCH('Data Summary'!J82,PBC_ACCOUNT_LIST[Id],0)),"")</f>
        <v>Assets</v>
      </c>
      <c r="F82" s="14" t="str">
        <f>IFERROR(INDEX(PBC_ACCOUNT_LIST[Summary Grouping],MATCH('Data Summary'!J82,PBC_ACCOUNT_LIST[Id],0)),"")</f>
        <v>Current Assets</v>
      </c>
      <c r="G82" s="15"/>
      <c r="H82" s="15" t="str">
        <f>IFERROR(INDEX(PBC_ACCOUNT_LIST[Cash Flow Section],MATCH('Data Summary'!J82,PBC_ACCOUNT_LIST[Id],0)),"")</f>
        <v>Cash from Operating Activities</v>
      </c>
      <c r="I82" s="15" t="str" cm="1">
        <f t="array" ref="I82">INDEX(BSSummarysCF,_xlfn.XMATCH($J82,BSAcctIDs))</f>
        <v>Current Assets</v>
      </c>
      <c r="J82" s="14">
        <v>151</v>
      </c>
      <c r="M82" s="66">
        <f>SUMIFS(Drivers!AI$68:AI$103,BSAcctIDs,$J82)</f>
        <v>0</v>
      </c>
      <c r="N82" s="66">
        <f>SUMIFS(Drivers!AJ$68:AJ$103,BSAcctIDs,$J82)</f>
        <v>0</v>
      </c>
      <c r="O82" s="66">
        <f>SUMIFS(Drivers!AK$68:AK$103,BSAcctIDs,$J82)</f>
        <v>0</v>
      </c>
      <c r="P82" s="66">
        <f>SUMIFS(Drivers!AL$68:AL$103,BSAcctIDs,$J82)</f>
        <v>0</v>
      </c>
      <c r="Q82" s="66">
        <f>SUMIFS(Drivers!AM$68:AM$103,BSAcctIDs,$J82)</f>
        <v>0</v>
      </c>
      <c r="R82" s="66">
        <f>SUMIFS(Drivers!AN$68:AN$103,BSAcctIDs,$J82)</f>
        <v>0</v>
      </c>
      <c r="S82" s="66">
        <f>SUMIFS(Drivers!AO$68:AO$103,BSAcctIDs,$J82)</f>
        <v>0</v>
      </c>
      <c r="T82" s="66">
        <f>SUMIFS(Drivers!AP$68:AP$103,BSAcctIDs,$J82)</f>
        <v>0</v>
      </c>
      <c r="U82" s="66">
        <f>SUMIFS(Drivers!AQ$68:AQ$103,BSAcctIDs,$J82)</f>
        <v>0</v>
      </c>
      <c r="V82" s="66">
        <f>SUMIFS(Drivers!AR$68:AR$103,BSAcctIDs,$J82)</f>
        <v>0</v>
      </c>
      <c r="W82" s="66">
        <f>SUMIFS(Drivers!AS$68:AS$103,BSAcctIDs,$J82)</f>
        <v>0</v>
      </c>
      <c r="X82" s="66">
        <f>SUMIFS(Drivers!AT$68:AT$103,BSAcctIDs,$J82)</f>
        <v>0</v>
      </c>
      <c r="Y82" s="66">
        <f>SUMIFS(Drivers!AU$68:AU$103,BSAcctIDs,$J82)</f>
        <v>0</v>
      </c>
      <c r="Z82" s="66">
        <f>SUMIFS(Drivers!AV$68:AV$103,BSAcctIDs,$J82)</f>
        <v>0</v>
      </c>
      <c r="AA82" s="66">
        <f>SUMIFS(Drivers!AW$68:AW$103,BSAcctIDs,$J82)</f>
        <v>0</v>
      </c>
      <c r="AB82" s="66">
        <f>SUMIFS(Drivers!AX$68:AX$103,BSAcctIDs,$J82)</f>
        <v>0</v>
      </c>
      <c r="AC82" s="66">
        <f>SUMIFS(Drivers!AY$68:AY$103,BSAcctIDs,$J82)</f>
        <v>0</v>
      </c>
      <c r="AD82" s="66">
        <f>SUMIFS(Drivers!AZ$68:AZ$103,BSAcctIDs,$J82)</f>
        <v>0</v>
      </c>
      <c r="AE82" s="66">
        <f>SUMIFS(Drivers!BA$68:BA$103,BSAcctIDs,$J82)</f>
        <v>0</v>
      </c>
      <c r="AF82" s="66">
        <f>SUMIFS(Drivers!BB$68:BB$103,BSAcctIDs,$J82)</f>
        <v>0</v>
      </c>
      <c r="AG82" s="66">
        <f>SUMIFS(Drivers!BC$68:BC$103,BSAcctIDs,$J82)</f>
        <v>0</v>
      </c>
      <c r="AH82" s="66">
        <f>SUMIFS(Drivers!BD$68:BD$103,BSAcctIDs,$J82)</f>
        <v>0</v>
      </c>
      <c r="AI82" s="66">
        <f>SUMIFS(Drivers!BE$68:BE$103,BSAcctIDs,$J82)</f>
        <v>0</v>
      </c>
      <c r="AJ82" s="66">
        <f>SUMIFS(Drivers!BF$68:BF$103,BSAcctIDs,$J82)</f>
        <v>0</v>
      </c>
      <c r="AK82" s="66">
        <f>SUMIFS(Drivers!BG$68:BG$103,BSAcctIDs,$J82)</f>
        <v>0</v>
      </c>
      <c r="AL82" s="66">
        <f>SUMIFS(Drivers!BH$68:BH$103,BSAcctIDs,$J82)</f>
        <v>0</v>
      </c>
      <c r="AM82" s="66">
        <f>SUMIFS(Drivers!BI$68:BI$103,BSAcctIDs,$J82)</f>
        <v>0</v>
      </c>
      <c r="AN82" s="66">
        <f>SUMIFS(Drivers!BJ$68:BJ$103,BSAcctIDs,$J82)</f>
        <v>0</v>
      </c>
      <c r="AO82" s="66">
        <f>SUMIFS(Drivers!BK$68:BK$103,BSAcctIDs,$J82)</f>
        <v>0</v>
      </c>
      <c r="AP82" s="66">
        <f>SUMIFS(Drivers!BL$68:BL$103,BSAcctIDs,$J82)</f>
        <v>0</v>
      </c>
      <c r="AQ82" s="66">
        <f>SUMIFS(Drivers!BM$68:BM$103,BSAcctIDs,$J82)</f>
        <v>0</v>
      </c>
      <c r="AR82" s="66">
        <f>SUMIFS(Drivers!BN$68:BN$103,BSAcctIDs,$J82)</f>
        <v>0</v>
      </c>
      <c r="AS82" s="66">
        <f>SUMIFS(Drivers!BO$68:BO$103,BSAcctIDs,$J82)</f>
        <v>0</v>
      </c>
      <c r="AT82" s="66">
        <f>SUMIFS(Drivers!BP$68:BP$103,BSAcctIDs,$J82)</f>
        <v>0</v>
      </c>
      <c r="AU82" s="66">
        <f>SUMIFS(Drivers!BQ$68:BQ$103,BSAcctIDs,$J82)</f>
        <v>0</v>
      </c>
      <c r="AV82" s="66">
        <f>SUMIFS(Drivers!BR$68:BR$103,BSAcctIDs,$J82)</f>
        <v>0</v>
      </c>
      <c r="AW82" s="66">
        <f>SUMIFS(Drivers!BS$68:BS$103,BSAcctIDs,$J82)</f>
        <v>0</v>
      </c>
    </row>
    <row r="83" spans="2:49" ht="19.5" customHeight="1" outlineLevel="1">
      <c r="B83" s="22"/>
      <c r="C83" s="67"/>
      <c r="D83" s="26" t="s">
        <v>208</v>
      </c>
      <c r="E83" s="14" t="str">
        <f>IFERROR(INDEX(PBC_ACCOUNT_LIST[Drivers Section],MATCH('Data Summary'!J83,PBC_ACCOUNT_LIST[Id],0)),"")</f>
        <v>Assets</v>
      </c>
      <c r="F83" s="14" t="str">
        <f>IFERROR(INDEX(PBC_ACCOUNT_LIST[Summary Grouping],MATCH('Data Summary'!J83,PBC_ACCOUNT_LIST[Id],0)),"")</f>
        <v>Current Assets</v>
      </c>
      <c r="G83" s="15"/>
      <c r="H83" s="15" t="str">
        <f>IFERROR(INDEX(PBC_ACCOUNT_LIST[Cash Flow Section],MATCH('Data Summary'!J83,PBC_ACCOUNT_LIST[Id],0)),"")</f>
        <v>Cash from Operating Activities</v>
      </c>
      <c r="I83" s="15" t="str" cm="1">
        <f t="array" ref="I83">INDEX(BSSummarysCF,_xlfn.XMATCH($J83,BSAcctIDs))</f>
        <v>Current Assets</v>
      </c>
      <c r="J83" s="14">
        <v>42</v>
      </c>
      <c r="M83" s="66">
        <f>SUMIFS(Drivers!AI$68:AI$103,BSAcctIDs,$J83)</f>
        <v>0</v>
      </c>
      <c r="N83" s="66">
        <f>SUMIFS(Drivers!AJ$68:AJ$103,BSAcctIDs,$J83)</f>
        <v>0</v>
      </c>
      <c r="O83" s="66">
        <f>SUMIFS(Drivers!AK$68:AK$103,BSAcctIDs,$J83)</f>
        <v>0</v>
      </c>
      <c r="P83" s="66">
        <f>SUMIFS(Drivers!AL$68:AL$103,BSAcctIDs,$J83)</f>
        <v>0</v>
      </c>
      <c r="Q83" s="66">
        <f>SUMIFS(Drivers!AM$68:AM$103,BSAcctIDs,$J83)</f>
        <v>0</v>
      </c>
      <c r="R83" s="66">
        <f>SUMIFS(Drivers!AN$68:AN$103,BSAcctIDs,$J83)</f>
        <v>0</v>
      </c>
      <c r="S83" s="66">
        <f>SUMIFS(Drivers!AO$68:AO$103,BSAcctIDs,$J83)</f>
        <v>0</v>
      </c>
      <c r="T83" s="66">
        <f>SUMIFS(Drivers!AP$68:AP$103,BSAcctIDs,$J83)</f>
        <v>0</v>
      </c>
      <c r="U83" s="66">
        <f>SUMIFS(Drivers!AQ$68:AQ$103,BSAcctIDs,$J83)</f>
        <v>0</v>
      </c>
      <c r="V83" s="66">
        <f>SUMIFS(Drivers!AR$68:AR$103,BSAcctIDs,$J83)</f>
        <v>0</v>
      </c>
      <c r="W83" s="66">
        <f>SUMIFS(Drivers!AS$68:AS$103,BSAcctIDs,$J83)</f>
        <v>0</v>
      </c>
      <c r="X83" s="66">
        <f>SUMIFS(Drivers!AT$68:AT$103,BSAcctIDs,$J83)</f>
        <v>0</v>
      </c>
      <c r="Y83" s="66">
        <f>SUMIFS(Drivers!AU$68:AU$103,BSAcctIDs,$J83)</f>
        <v>0</v>
      </c>
      <c r="Z83" s="66">
        <f>SUMIFS(Drivers!AV$68:AV$103,BSAcctIDs,$J83)</f>
        <v>0</v>
      </c>
      <c r="AA83" s="66">
        <f>SUMIFS(Drivers!AW$68:AW$103,BSAcctIDs,$J83)</f>
        <v>0</v>
      </c>
      <c r="AB83" s="66">
        <f>SUMIFS(Drivers!AX$68:AX$103,BSAcctIDs,$J83)</f>
        <v>0</v>
      </c>
      <c r="AC83" s="66">
        <f>SUMIFS(Drivers!AY$68:AY$103,BSAcctIDs,$J83)</f>
        <v>0</v>
      </c>
      <c r="AD83" s="66">
        <f>SUMIFS(Drivers!AZ$68:AZ$103,BSAcctIDs,$J83)</f>
        <v>0</v>
      </c>
      <c r="AE83" s="66">
        <f>SUMIFS(Drivers!BA$68:BA$103,BSAcctIDs,$J83)</f>
        <v>-300</v>
      </c>
      <c r="AF83" s="66">
        <f>SUMIFS(Drivers!BB$68:BB$103,BSAcctIDs,$J83)</f>
        <v>700</v>
      </c>
      <c r="AG83" s="66">
        <f>SUMIFS(Drivers!BC$68:BC$103,BSAcctIDs,$J83)</f>
        <v>700</v>
      </c>
      <c r="AH83" s="66">
        <f>SUMIFS(Drivers!BD$68:BD$103,BSAcctIDs,$J83)</f>
        <v>700</v>
      </c>
      <c r="AI83" s="66">
        <f>SUMIFS(Drivers!BE$68:BE$103,BSAcctIDs,$J83)</f>
        <v>700</v>
      </c>
      <c r="AJ83" s="66">
        <f>SUMIFS(Drivers!BF$68:BF$103,BSAcctIDs,$J83)</f>
        <v>700</v>
      </c>
      <c r="AK83" s="66">
        <f>SUMIFS(Drivers!BG$68:BG$103,BSAcctIDs,$J83)</f>
        <v>700</v>
      </c>
      <c r="AL83" s="66">
        <f>SUMIFS(Drivers!BH$68:BH$103,BSAcctIDs,$J83)</f>
        <v>700</v>
      </c>
      <c r="AM83" s="66">
        <f>SUMIFS(Drivers!BI$68:BI$103,BSAcctIDs,$J83)</f>
        <v>700</v>
      </c>
      <c r="AN83" s="66">
        <f>SUMIFS(Drivers!BJ$68:BJ$103,BSAcctIDs,$J83)</f>
        <v>700</v>
      </c>
      <c r="AO83" s="66">
        <f>SUMIFS(Drivers!BK$68:BK$103,BSAcctIDs,$J83)</f>
        <v>700</v>
      </c>
      <c r="AP83" s="66">
        <f>SUMIFS(Drivers!BL$68:BL$103,BSAcctIDs,$J83)</f>
        <v>700</v>
      </c>
      <c r="AQ83" s="66">
        <f>SUMIFS(Drivers!BM$68:BM$103,BSAcctIDs,$J83)</f>
        <v>700</v>
      </c>
      <c r="AR83" s="66">
        <f>SUMIFS(Drivers!BN$68:BN$103,BSAcctIDs,$J83)</f>
        <v>700</v>
      </c>
      <c r="AS83" s="66">
        <f>SUMIFS(Drivers!BO$68:BO$103,BSAcctIDs,$J83)</f>
        <v>700</v>
      </c>
      <c r="AT83" s="66">
        <f>SUMIFS(Drivers!BP$68:BP$103,BSAcctIDs,$J83)</f>
        <v>700</v>
      </c>
      <c r="AU83" s="66">
        <f>SUMIFS(Drivers!BQ$68:BQ$103,BSAcctIDs,$J83)</f>
        <v>700</v>
      </c>
      <c r="AV83" s="66">
        <f>SUMIFS(Drivers!BR$68:BR$103,BSAcctIDs,$J83)</f>
        <v>700</v>
      </c>
      <c r="AW83" s="66">
        <f>SUMIFS(Drivers!BS$68:BS$103,BSAcctIDs,$J83)</f>
        <v>700</v>
      </c>
    </row>
    <row r="84" spans="2:49" ht="19.5" customHeight="1" outlineLevel="1">
      <c r="B84" s="22"/>
      <c r="C84" s="67"/>
      <c r="D84" s="26" t="s">
        <v>209</v>
      </c>
      <c r="E84" s="14" t="str">
        <f>IFERROR(INDEX(PBC_ACCOUNT_LIST[Drivers Section],MATCH('Data Summary'!J84,PBC_ACCOUNT_LIST[Id],0)),"")</f>
        <v>Assets</v>
      </c>
      <c r="F84" s="14" t="str">
        <f>IFERROR(INDEX(PBC_ACCOUNT_LIST[Summary Grouping],MATCH('Data Summary'!J84,PBC_ACCOUNT_LIST[Id],0)),"")</f>
        <v>Fixed Assets</v>
      </c>
      <c r="G84" s="15"/>
      <c r="H84" s="15" t="str">
        <f>IFERROR(INDEX(PBC_ACCOUNT_LIST[Cash Flow Section],MATCH('Data Summary'!J84,PBC_ACCOUNT_LIST[Id],0)),"")</f>
        <v>Cash From Investing Activities</v>
      </c>
      <c r="I84" s="15" t="str" cm="1">
        <f t="array" ref="I84">INDEX(BSSummarysCF,_xlfn.XMATCH($J84,BSAcctIDs))</f>
        <v>Fixed Assets</v>
      </c>
      <c r="J84" s="14">
        <v>152</v>
      </c>
      <c r="M84" s="66">
        <f>SUMIFS(Drivers!AI$68:AI$103,BSAcctIDs,$J84)</f>
        <v>10000</v>
      </c>
      <c r="N84" s="66">
        <f>SUMIFS(Drivers!AJ$68:AJ$103,BSAcctIDs,$J84)</f>
        <v>15000</v>
      </c>
      <c r="O84" s="66">
        <f>SUMIFS(Drivers!AK$68:AK$103,BSAcctIDs,$J84)</f>
        <v>15000</v>
      </c>
      <c r="P84" s="66">
        <f>SUMIFS(Drivers!AL$68:AL$103,BSAcctIDs,$J84)</f>
        <v>15000</v>
      </c>
      <c r="Q84" s="66">
        <f>SUMIFS(Drivers!AM$68:AM$103,BSAcctIDs,$J84)</f>
        <v>15000</v>
      </c>
      <c r="R84" s="66">
        <f>SUMIFS(Drivers!AN$68:AN$103,BSAcctIDs,$J84)</f>
        <v>15000</v>
      </c>
      <c r="S84" s="66">
        <f>SUMIFS(Drivers!AO$68:AO$103,BSAcctIDs,$J84)</f>
        <v>15000</v>
      </c>
      <c r="T84" s="66">
        <f>SUMIFS(Drivers!AP$68:AP$103,BSAcctIDs,$J84)</f>
        <v>15000</v>
      </c>
      <c r="U84" s="66">
        <f>SUMIFS(Drivers!AQ$68:AQ$103,BSAcctIDs,$J84)</f>
        <v>15000</v>
      </c>
      <c r="V84" s="66">
        <f>SUMIFS(Drivers!AR$68:AR$103,BSAcctIDs,$J84)</f>
        <v>15000</v>
      </c>
      <c r="W84" s="66">
        <f>SUMIFS(Drivers!AS$68:AS$103,BSAcctIDs,$J84)</f>
        <v>15000</v>
      </c>
      <c r="X84" s="66">
        <f>SUMIFS(Drivers!AT$68:AT$103,BSAcctIDs,$J84)</f>
        <v>15000</v>
      </c>
      <c r="Y84" s="66">
        <f>SUMIFS(Drivers!AU$68:AU$103,BSAcctIDs,$J84)</f>
        <v>15000</v>
      </c>
      <c r="Z84" s="66">
        <f>SUMIFS(Drivers!AV$68:AV$103,BSAcctIDs,$J84)</f>
        <v>15000</v>
      </c>
      <c r="AA84" s="66">
        <f>SUMIFS(Drivers!AW$68:AW$103,BSAcctIDs,$J84)</f>
        <v>15000</v>
      </c>
      <c r="AB84" s="66">
        <f>SUMIFS(Drivers!AX$68:AX$103,BSAcctIDs,$J84)</f>
        <v>15000</v>
      </c>
      <c r="AC84" s="66">
        <f>SUMIFS(Drivers!AY$68:AY$103,BSAcctIDs,$J84)</f>
        <v>15000</v>
      </c>
      <c r="AD84" s="66">
        <f>SUMIFS(Drivers!AZ$68:AZ$103,BSAcctIDs,$J84)</f>
        <v>15000</v>
      </c>
      <c r="AE84" s="66">
        <f>SUMIFS(Drivers!BA$68:BA$103,BSAcctIDs,$J84)</f>
        <v>15000</v>
      </c>
      <c r="AF84" s="66">
        <f>SUMIFS(Drivers!BB$68:BB$103,BSAcctIDs,$J84)</f>
        <v>15000</v>
      </c>
      <c r="AG84" s="66">
        <f>SUMIFS(Drivers!BC$68:BC$103,BSAcctIDs,$J84)</f>
        <v>15000</v>
      </c>
      <c r="AH84" s="66">
        <f>SUMIFS(Drivers!BD$68:BD$103,BSAcctIDs,$J84)</f>
        <v>15000</v>
      </c>
      <c r="AI84" s="66">
        <f>SUMIFS(Drivers!BE$68:BE$103,BSAcctIDs,$J84)</f>
        <v>15000</v>
      </c>
      <c r="AJ84" s="66">
        <f>SUMIFS(Drivers!BF$68:BF$103,BSAcctIDs,$J84)</f>
        <v>15000</v>
      </c>
      <c r="AK84" s="66">
        <f>SUMIFS(Drivers!BG$68:BG$103,BSAcctIDs,$J84)</f>
        <v>15000</v>
      </c>
      <c r="AL84" s="66">
        <f>SUMIFS(Drivers!BH$68:BH$103,BSAcctIDs,$J84)</f>
        <v>15000</v>
      </c>
      <c r="AM84" s="66">
        <f>SUMIFS(Drivers!BI$68:BI$103,BSAcctIDs,$J84)</f>
        <v>15000</v>
      </c>
      <c r="AN84" s="66">
        <f>SUMIFS(Drivers!BJ$68:BJ$103,BSAcctIDs,$J84)</f>
        <v>15000</v>
      </c>
      <c r="AO84" s="66">
        <f>SUMIFS(Drivers!BK$68:BK$103,BSAcctIDs,$J84)</f>
        <v>15000</v>
      </c>
      <c r="AP84" s="66">
        <f>SUMIFS(Drivers!BL$68:BL$103,BSAcctIDs,$J84)</f>
        <v>15000</v>
      </c>
      <c r="AQ84" s="66">
        <f>SUMIFS(Drivers!BM$68:BM$103,BSAcctIDs,$J84)</f>
        <v>15000</v>
      </c>
      <c r="AR84" s="66">
        <f>SUMIFS(Drivers!BN$68:BN$103,BSAcctIDs,$J84)</f>
        <v>15000</v>
      </c>
      <c r="AS84" s="66">
        <f>SUMIFS(Drivers!BO$68:BO$103,BSAcctIDs,$J84)</f>
        <v>15000</v>
      </c>
      <c r="AT84" s="66">
        <f>SUMIFS(Drivers!BP$68:BP$103,BSAcctIDs,$J84)</f>
        <v>15000</v>
      </c>
      <c r="AU84" s="66">
        <f>SUMIFS(Drivers!BQ$68:BQ$103,BSAcctIDs,$J84)</f>
        <v>15000</v>
      </c>
      <c r="AV84" s="66">
        <f>SUMIFS(Drivers!BR$68:BR$103,BSAcctIDs,$J84)</f>
        <v>15000</v>
      </c>
      <c r="AW84" s="66">
        <f>SUMIFS(Drivers!BS$68:BS$103,BSAcctIDs,$J84)</f>
        <v>15000</v>
      </c>
    </row>
    <row r="85" spans="2:49" ht="19.5" customHeight="1" outlineLevel="1">
      <c r="B85" s="22"/>
      <c r="C85" s="67"/>
      <c r="D85" s="26" t="s">
        <v>210</v>
      </c>
      <c r="E85" s="14" t="str">
        <f>IFERROR(INDEX(PBC_ACCOUNT_LIST[Drivers Section],MATCH('Data Summary'!J85,PBC_ACCOUNT_LIST[Id],0)),"")</f>
        <v>Assets</v>
      </c>
      <c r="F85" s="14" t="str">
        <f>IFERROR(INDEX(PBC_ACCOUNT_LIST[Summary Grouping],MATCH('Data Summary'!J85,PBC_ACCOUNT_LIST[Id],0)),"")</f>
        <v>Fixed Assets</v>
      </c>
      <c r="G85" s="15"/>
      <c r="H85" s="15" t="str">
        <f>IFERROR(INDEX(PBC_ACCOUNT_LIST[Cash Flow Section],MATCH('Data Summary'!J85,PBC_ACCOUNT_LIST[Id],0)),"")</f>
        <v>Cash From Investing Activities</v>
      </c>
      <c r="I85" s="15" t="str" cm="1">
        <f t="array" ref="I85">INDEX(BSSummarysCF,_xlfn.XMATCH($J85,BSAcctIDs))</f>
        <v>Fixed Assets</v>
      </c>
      <c r="J85" s="14">
        <v>153</v>
      </c>
      <c r="M85" s="66">
        <f>SUMIFS(Drivers!AI$68:AI$103,BSAcctIDs,$J85)</f>
        <v>35000</v>
      </c>
      <c r="N85" s="66">
        <f>SUMIFS(Drivers!AJ$68:AJ$103,BSAcctIDs,$J85)</f>
        <v>45000</v>
      </c>
      <c r="O85" s="66">
        <f>SUMIFS(Drivers!AK$68:AK$103,BSAcctIDs,$J85)</f>
        <v>35000</v>
      </c>
      <c r="P85" s="66">
        <f>SUMIFS(Drivers!AL$68:AL$103,BSAcctIDs,$J85)</f>
        <v>35000</v>
      </c>
      <c r="Q85" s="66">
        <f>SUMIFS(Drivers!AM$68:AM$103,BSAcctIDs,$J85)</f>
        <v>35000</v>
      </c>
      <c r="R85" s="66">
        <f>SUMIFS(Drivers!AN$68:AN$103,BSAcctIDs,$J85)</f>
        <v>35000</v>
      </c>
      <c r="S85" s="66">
        <f>SUMIFS(Drivers!AO$68:AO$103,BSAcctIDs,$J85)</f>
        <v>35000</v>
      </c>
      <c r="T85" s="66">
        <f>SUMIFS(Drivers!AP$68:AP$103,BSAcctIDs,$J85)</f>
        <v>35000</v>
      </c>
      <c r="U85" s="66">
        <f>SUMIFS(Drivers!AQ$68:AQ$103,BSAcctIDs,$J85)</f>
        <v>35000</v>
      </c>
      <c r="V85" s="66">
        <f>SUMIFS(Drivers!AR$68:AR$103,BSAcctIDs,$J85)</f>
        <v>35000</v>
      </c>
      <c r="W85" s="66">
        <f>SUMIFS(Drivers!AS$68:AS$103,BSAcctIDs,$J85)</f>
        <v>35000</v>
      </c>
      <c r="X85" s="66">
        <f>SUMIFS(Drivers!AT$68:AT$103,BSAcctIDs,$J85)</f>
        <v>35000</v>
      </c>
      <c r="Y85" s="66">
        <f>SUMIFS(Drivers!AU$68:AU$103,BSAcctIDs,$J85)</f>
        <v>35000</v>
      </c>
      <c r="Z85" s="66">
        <f>SUMIFS(Drivers!AV$68:AV$103,BSAcctIDs,$J85)</f>
        <v>35000</v>
      </c>
      <c r="AA85" s="66">
        <f>SUMIFS(Drivers!AW$68:AW$103,BSAcctIDs,$J85)</f>
        <v>35000</v>
      </c>
      <c r="AB85" s="66">
        <f>SUMIFS(Drivers!AX$68:AX$103,BSAcctIDs,$J85)</f>
        <v>35000</v>
      </c>
      <c r="AC85" s="66">
        <f>SUMIFS(Drivers!AY$68:AY$103,BSAcctIDs,$J85)</f>
        <v>35000</v>
      </c>
      <c r="AD85" s="66">
        <f>SUMIFS(Drivers!AZ$68:AZ$103,BSAcctIDs,$J85)</f>
        <v>35000</v>
      </c>
      <c r="AE85" s="66">
        <f>SUMIFS(Drivers!BA$68:BA$103,BSAcctIDs,$J85)</f>
        <v>35000</v>
      </c>
      <c r="AF85" s="66">
        <f>SUMIFS(Drivers!BB$68:BB$103,BSAcctIDs,$J85)</f>
        <v>35000</v>
      </c>
      <c r="AG85" s="66">
        <f>SUMIFS(Drivers!BC$68:BC$103,BSAcctIDs,$J85)</f>
        <v>35000</v>
      </c>
      <c r="AH85" s="66">
        <f>SUMIFS(Drivers!BD$68:BD$103,BSAcctIDs,$J85)</f>
        <v>35000</v>
      </c>
      <c r="AI85" s="66">
        <f>SUMIFS(Drivers!BE$68:BE$103,BSAcctIDs,$J85)</f>
        <v>35000</v>
      </c>
      <c r="AJ85" s="66">
        <f>SUMIFS(Drivers!BF$68:BF$103,BSAcctIDs,$J85)</f>
        <v>35000</v>
      </c>
      <c r="AK85" s="66">
        <f>SUMIFS(Drivers!BG$68:BG$103,BSAcctIDs,$J85)</f>
        <v>35000</v>
      </c>
      <c r="AL85" s="66">
        <f>SUMIFS(Drivers!BH$68:BH$103,BSAcctIDs,$J85)</f>
        <v>35000</v>
      </c>
      <c r="AM85" s="66">
        <f>SUMIFS(Drivers!BI$68:BI$103,BSAcctIDs,$J85)</f>
        <v>35000</v>
      </c>
      <c r="AN85" s="66">
        <f>SUMIFS(Drivers!BJ$68:BJ$103,BSAcctIDs,$J85)</f>
        <v>35000</v>
      </c>
      <c r="AO85" s="66">
        <f>SUMIFS(Drivers!BK$68:BK$103,BSAcctIDs,$J85)</f>
        <v>35000</v>
      </c>
      <c r="AP85" s="66">
        <f>SUMIFS(Drivers!BL$68:BL$103,BSAcctIDs,$J85)</f>
        <v>35000</v>
      </c>
      <c r="AQ85" s="66">
        <f>SUMIFS(Drivers!BM$68:BM$103,BSAcctIDs,$J85)</f>
        <v>35000</v>
      </c>
      <c r="AR85" s="66">
        <f>SUMIFS(Drivers!BN$68:BN$103,BSAcctIDs,$J85)</f>
        <v>35000</v>
      </c>
      <c r="AS85" s="66">
        <f>SUMIFS(Drivers!BO$68:BO$103,BSAcctIDs,$J85)</f>
        <v>35000</v>
      </c>
      <c r="AT85" s="66">
        <f>SUMIFS(Drivers!BP$68:BP$103,BSAcctIDs,$J85)</f>
        <v>35000</v>
      </c>
      <c r="AU85" s="66">
        <f>SUMIFS(Drivers!BQ$68:BQ$103,BSAcctIDs,$J85)</f>
        <v>35000</v>
      </c>
      <c r="AV85" s="66">
        <f>SUMIFS(Drivers!BR$68:BR$103,BSAcctIDs,$J85)</f>
        <v>35000</v>
      </c>
      <c r="AW85" s="66">
        <f>SUMIFS(Drivers!BS$68:BS$103,BSAcctIDs,$J85)</f>
        <v>35000</v>
      </c>
    </row>
    <row r="86" spans="2:49" ht="19.5" customHeight="1" outlineLevel="1">
      <c r="B86" s="22"/>
      <c r="C86" s="67"/>
      <c r="D86" s="26" t="s">
        <v>211</v>
      </c>
      <c r="E86" s="14" t="str">
        <f>IFERROR(INDEX(PBC_ACCOUNT_LIST[Drivers Section],MATCH('Data Summary'!J86,PBC_ACCOUNT_LIST[Id],0)),"")</f>
        <v>Assets</v>
      </c>
      <c r="F86" s="14" t="str">
        <f>IFERROR(INDEX(PBC_ACCOUNT_LIST[Summary Grouping],MATCH('Data Summary'!J86,PBC_ACCOUNT_LIST[Id],0)),"")</f>
        <v>Fixed Assets</v>
      </c>
      <c r="G86" s="15"/>
      <c r="H86" s="15" t="str">
        <f>IFERROR(INDEX(PBC_ACCOUNT_LIST[Cash Flow Section],MATCH('Data Summary'!J86,PBC_ACCOUNT_LIST[Id],0)),"")</f>
        <v>Cash From Investing Activities</v>
      </c>
      <c r="I86" s="15" t="str" cm="1">
        <f t="array" ref="I86">INDEX(BSSummarysCF,_xlfn.XMATCH($J86,BSAcctIDs))</f>
        <v>Fixed Assets</v>
      </c>
      <c r="J86" s="14">
        <v>154</v>
      </c>
      <c r="M86" s="66">
        <f>SUMIFS(Drivers!AI$68:AI$103,BSAcctIDs,$J86)</f>
        <v>8000</v>
      </c>
      <c r="N86" s="66">
        <f>SUMIFS(Drivers!AJ$68:AJ$103,BSAcctIDs,$J86)</f>
        <v>10000</v>
      </c>
      <c r="O86" s="66">
        <f>SUMIFS(Drivers!AK$68:AK$103,BSAcctIDs,$J86)</f>
        <v>8000</v>
      </c>
      <c r="P86" s="66">
        <f>SUMIFS(Drivers!AL$68:AL$103,BSAcctIDs,$J86)</f>
        <v>8000</v>
      </c>
      <c r="Q86" s="66">
        <f>SUMIFS(Drivers!AM$68:AM$103,BSAcctIDs,$J86)</f>
        <v>8000</v>
      </c>
      <c r="R86" s="66">
        <f>SUMIFS(Drivers!AN$68:AN$103,BSAcctIDs,$J86)</f>
        <v>8000</v>
      </c>
      <c r="S86" s="66">
        <f>SUMIFS(Drivers!AO$68:AO$103,BSAcctIDs,$J86)</f>
        <v>8000</v>
      </c>
      <c r="T86" s="66">
        <f>SUMIFS(Drivers!AP$68:AP$103,BSAcctIDs,$J86)</f>
        <v>8000</v>
      </c>
      <c r="U86" s="66">
        <f>SUMIFS(Drivers!AQ$68:AQ$103,BSAcctIDs,$J86)</f>
        <v>8000</v>
      </c>
      <c r="V86" s="66">
        <f>SUMIFS(Drivers!AR$68:AR$103,BSAcctIDs,$J86)</f>
        <v>8000</v>
      </c>
      <c r="W86" s="66">
        <f>SUMIFS(Drivers!AS$68:AS$103,BSAcctIDs,$J86)</f>
        <v>8000</v>
      </c>
      <c r="X86" s="66">
        <f>SUMIFS(Drivers!AT$68:AT$103,BSAcctIDs,$J86)</f>
        <v>8000</v>
      </c>
      <c r="Y86" s="66">
        <f>SUMIFS(Drivers!AU$68:AU$103,BSAcctIDs,$J86)</f>
        <v>8000</v>
      </c>
      <c r="Z86" s="66">
        <f>SUMIFS(Drivers!AV$68:AV$103,BSAcctIDs,$J86)</f>
        <v>8000</v>
      </c>
      <c r="AA86" s="66">
        <f>SUMIFS(Drivers!AW$68:AW$103,BSAcctIDs,$J86)</f>
        <v>8000</v>
      </c>
      <c r="AB86" s="66">
        <f>SUMIFS(Drivers!AX$68:AX$103,BSAcctIDs,$J86)</f>
        <v>8000</v>
      </c>
      <c r="AC86" s="66">
        <f>SUMIFS(Drivers!AY$68:AY$103,BSAcctIDs,$J86)</f>
        <v>8000</v>
      </c>
      <c r="AD86" s="66">
        <f>SUMIFS(Drivers!AZ$68:AZ$103,BSAcctIDs,$J86)</f>
        <v>8000</v>
      </c>
      <c r="AE86" s="66">
        <f>SUMIFS(Drivers!BA$68:BA$103,BSAcctIDs,$J86)</f>
        <v>8000</v>
      </c>
      <c r="AF86" s="66">
        <f>SUMIFS(Drivers!BB$68:BB$103,BSAcctIDs,$J86)</f>
        <v>8000</v>
      </c>
      <c r="AG86" s="66">
        <f>SUMIFS(Drivers!BC$68:BC$103,BSAcctIDs,$J86)</f>
        <v>8000</v>
      </c>
      <c r="AH86" s="66">
        <f>SUMIFS(Drivers!BD$68:BD$103,BSAcctIDs,$J86)</f>
        <v>8000</v>
      </c>
      <c r="AI86" s="66">
        <f>SUMIFS(Drivers!BE$68:BE$103,BSAcctIDs,$J86)</f>
        <v>8000</v>
      </c>
      <c r="AJ86" s="66">
        <f>SUMIFS(Drivers!BF$68:BF$103,BSAcctIDs,$J86)</f>
        <v>8000</v>
      </c>
      <c r="AK86" s="66">
        <f>SUMIFS(Drivers!BG$68:BG$103,BSAcctIDs,$J86)</f>
        <v>8000</v>
      </c>
      <c r="AL86" s="66">
        <f>SUMIFS(Drivers!BH$68:BH$103,BSAcctIDs,$J86)</f>
        <v>8000</v>
      </c>
      <c r="AM86" s="66">
        <f>SUMIFS(Drivers!BI$68:BI$103,BSAcctIDs,$J86)</f>
        <v>8000</v>
      </c>
      <c r="AN86" s="66">
        <f>SUMIFS(Drivers!BJ$68:BJ$103,BSAcctIDs,$J86)</f>
        <v>8000</v>
      </c>
      <c r="AO86" s="66">
        <f>SUMIFS(Drivers!BK$68:BK$103,BSAcctIDs,$J86)</f>
        <v>8000</v>
      </c>
      <c r="AP86" s="66">
        <f>SUMIFS(Drivers!BL$68:BL$103,BSAcctIDs,$J86)</f>
        <v>8000</v>
      </c>
      <c r="AQ86" s="66">
        <f>SUMIFS(Drivers!BM$68:BM$103,BSAcctIDs,$J86)</f>
        <v>8000</v>
      </c>
      <c r="AR86" s="66">
        <f>SUMIFS(Drivers!BN$68:BN$103,BSAcctIDs,$J86)</f>
        <v>8000</v>
      </c>
      <c r="AS86" s="66">
        <f>SUMIFS(Drivers!BO$68:BO$103,BSAcctIDs,$J86)</f>
        <v>8000</v>
      </c>
      <c r="AT86" s="66">
        <f>SUMIFS(Drivers!BP$68:BP$103,BSAcctIDs,$J86)</f>
        <v>8000</v>
      </c>
      <c r="AU86" s="66">
        <f>SUMIFS(Drivers!BQ$68:BQ$103,BSAcctIDs,$J86)</f>
        <v>8000</v>
      </c>
      <c r="AV86" s="66">
        <f>SUMIFS(Drivers!BR$68:BR$103,BSAcctIDs,$J86)</f>
        <v>8000</v>
      </c>
      <c r="AW86" s="66">
        <f>SUMIFS(Drivers!BS$68:BS$103,BSAcctIDs,$J86)</f>
        <v>8000</v>
      </c>
    </row>
    <row r="87" spans="2:49" ht="19.5" customHeight="1" outlineLevel="1">
      <c r="B87" s="22"/>
      <c r="C87" s="67"/>
      <c r="D87" s="26" t="s">
        <v>212</v>
      </c>
      <c r="E87" s="14" t="str">
        <f>IFERROR(INDEX(PBC_ACCOUNT_LIST[Drivers Section],MATCH('Data Summary'!J87,PBC_ACCOUNT_LIST[Id],0)),"")</f>
        <v>Assets</v>
      </c>
      <c r="F87" s="14" t="str">
        <f>IFERROR(INDEX(PBC_ACCOUNT_LIST[Summary Grouping],MATCH('Data Summary'!J87,PBC_ACCOUNT_LIST[Id],0)),"")</f>
        <v>Fixed Assets</v>
      </c>
      <c r="G87" s="15"/>
      <c r="H87" s="15" t="str">
        <f>IFERROR(INDEX(PBC_ACCOUNT_LIST[Cash Flow Section],MATCH('Data Summary'!J87,PBC_ACCOUNT_LIST[Id],0)),"")</f>
        <v>Cash From Operating Activities</v>
      </c>
      <c r="I87" s="15" t="str" cm="1">
        <f t="array" ref="I87">INDEX(BSSummarysCF,_xlfn.XMATCH($J87,BSAcctIDs))</f>
        <v>Depreciation &amp; Amortization</v>
      </c>
      <c r="J87" s="14">
        <v>194</v>
      </c>
      <c r="M87" s="66">
        <f>SUMIFS(Drivers!AI$68:AI$103,BSAcctIDs,$J87)</f>
        <v>-15202</v>
      </c>
      <c r="N87" s="66">
        <f>SUMIFS(Drivers!AJ$68:AJ$103,BSAcctIDs,$J87)</f>
        <v>-18252.5</v>
      </c>
      <c r="O87" s="66">
        <f>SUMIFS(Drivers!AK$68:AK$103,BSAcctIDs,$J87)</f>
        <v>-21303.5</v>
      </c>
      <c r="P87" s="66">
        <f>SUMIFS(Drivers!AL$68:AL$103,BSAcctIDs,$J87)</f>
        <v>-24354</v>
      </c>
      <c r="Q87" s="66">
        <f>SUMIFS(Drivers!AM$68:AM$103,BSAcctIDs,$J87)</f>
        <v>-27404.5</v>
      </c>
      <c r="R87" s="66">
        <f>SUMIFS(Drivers!AN$68:AN$103,BSAcctIDs,$J87)</f>
        <v>-30455</v>
      </c>
      <c r="S87" s="66">
        <f>SUMIFS(Drivers!AO$68:AO$103,BSAcctIDs,$J87)</f>
        <v>-33506</v>
      </c>
      <c r="T87" s="66">
        <f>SUMIFS(Drivers!AP$68:AP$103,BSAcctIDs,$J87)</f>
        <v>-36557</v>
      </c>
      <c r="U87" s="66">
        <f>SUMIFS(Drivers!AQ$68:AQ$103,BSAcctIDs,$J87)</f>
        <v>-39608</v>
      </c>
      <c r="V87" s="66">
        <f>SUMIFS(Drivers!AR$68:AR$103,BSAcctIDs,$J87)</f>
        <v>-42659</v>
      </c>
      <c r="W87" s="66">
        <f>SUMIFS(Drivers!AS$68:AS$103,BSAcctIDs,$J87)</f>
        <v>-45710</v>
      </c>
      <c r="X87" s="66">
        <f>SUMIFS(Drivers!AT$68:AT$103,BSAcctIDs,$J87)</f>
        <v>-48761</v>
      </c>
      <c r="Y87" s="66">
        <f>SUMIFS(Drivers!AU$68:AU$103,BSAcctIDs,$J87)</f>
        <v>-51811.5</v>
      </c>
      <c r="Z87" s="66">
        <f>SUMIFS(Drivers!AV$68:AV$103,BSAcctIDs,$J87)</f>
        <v>-54862.16</v>
      </c>
      <c r="AA87" s="66">
        <f>SUMIFS(Drivers!AW$68:AW$103,BSAcctIDs,$J87)</f>
        <v>-57912.82</v>
      </c>
      <c r="AB87" s="66">
        <f>SUMIFS(Drivers!AX$68:AX$103,BSAcctIDs,$J87)</f>
        <v>-60963.48</v>
      </c>
      <c r="AC87" s="66">
        <f>SUMIFS(Drivers!AY$68:AY$103,BSAcctIDs,$J87)</f>
        <v>-64014.14</v>
      </c>
      <c r="AD87" s="66">
        <f>SUMIFS(Drivers!AZ$68:AZ$103,BSAcctIDs,$J87)</f>
        <v>-67064.800000000003</v>
      </c>
      <c r="AE87" s="66">
        <f>SUMIFS(Drivers!BA$68:BA$103,BSAcctIDs,$J87)</f>
        <v>-70115.460000000006</v>
      </c>
      <c r="AF87" s="66">
        <f>SUMIFS(Drivers!BB$68:BB$103,BSAcctIDs,$J87)</f>
        <v>-73166.12</v>
      </c>
      <c r="AG87" s="66">
        <f>SUMIFS(Drivers!BC$68:BC$103,BSAcctIDs,$J87)</f>
        <v>-76216.78</v>
      </c>
      <c r="AH87" s="66">
        <f>SUMIFS(Drivers!BD$68:BD$103,BSAcctIDs,$J87)</f>
        <v>-79267.44</v>
      </c>
      <c r="AI87" s="66">
        <f>SUMIFS(Drivers!BE$68:BE$103,BSAcctIDs,$J87)</f>
        <v>-79267.44</v>
      </c>
      <c r="AJ87" s="66">
        <f>SUMIFS(Drivers!BF$68:BF$103,BSAcctIDs,$J87)</f>
        <v>-79267.44</v>
      </c>
      <c r="AK87" s="66">
        <f>SUMIFS(Drivers!BG$68:BG$103,BSAcctIDs,$J87)</f>
        <v>-79267.44</v>
      </c>
      <c r="AL87" s="66">
        <f>SUMIFS(Drivers!BH$68:BH$103,BSAcctIDs,$J87)</f>
        <v>-79267.44</v>
      </c>
      <c r="AM87" s="66">
        <f>SUMIFS(Drivers!BI$68:BI$103,BSAcctIDs,$J87)</f>
        <v>-79267.44</v>
      </c>
      <c r="AN87" s="66">
        <f>SUMIFS(Drivers!BJ$68:BJ$103,BSAcctIDs,$J87)</f>
        <v>-79267.44</v>
      </c>
      <c r="AO87" s="66">
        <f>SUMIFS(Drivers!BK$68:BK$103,BSAcctIDs,$J87)</f>
        <v>-79267.44</v>
      </c>
      <c r="AP87" s="66">
        <f>SUMIFS(Drivers!BL$68:BL$103,BSAcctIDs,$J87)</f>
        <v>-79267.44</v>
      </c>
      <c r="AQ87" s="66">
        <f>SUMIFS(Drivers!BM$68:BM$103,BSAcctIDs,$J87)</f>
        <v>-79267.44</v>
      </c>
      <c r="AR87" s="66">
        <f>SUMIFS(Drivers!BN$68:BN$103,BSAcctIDs,$J87)</f>
        <v>-79267.44</v>
      </c>
      <c r="AS87" s="66">
        <f>SUMIFS(Drivers!BO$68:BO$103,BSAcctIDs,$J87)</f>
        <v>-79267.44</v>
      </c>
      <c r="AT87" s="66">
        <f>SUMIFS(Drivers!BP$68:BP$103,BSAcctIDs,$J87)</f>
        <v>-79267.44</v>
      </c>
      <c r="AU87" s="66">
        <f>SUMIFS(Drivers!BQ$68:BQ$103,BSAcctIDs,$J87)</f>
        <v>-79267.44</v>
      </c>
      <c r="AV87" s="66">
        <f>SUMIFS(Drivers!BR$68:BR$103,BSAcctIDs,$J87)</f>
        <v>-79267.44</v>
      </c>
      <c r="AW87" s="66">
        <f>SUMIFS(Drivers!BS$68:BS$103,BSAcctIDs,$J87)</f>
        <v>-79267.44</v>
      </c>
    </row>
    <row r="88" spans="2:49" ht="19.5" customHeight="1" outlineLevel="1">
      <c r="B88" s="22"/>
      <c r="C88" s="67"/>
      <c r="D88" s="26" t="s">
        <v>213</v>
      </c>
      <c r="E88" s="14" t="str">
        <f>IFERROR(INDEX(PBC_ACCOUNT_LIST[Drivers Section],MATCH('Data Summary'!J88,PBC_ACCOUNT_LIST[Id],0)),"")</f>
        <v>Assets</v>
      </c>
      <c r="F88" s="14" t="str">
        <f>IFERROR(INDEX(PBC_ACCOUNT_LIST[Summary Grouping],MATCH('Data Summary'!J88,PBC_ACCOUNT_LIST[Id],0)),"")</f>
        <v>Fixed Assets</v>
      </c>
      <c r="G88" s="15"/>
      <c r="H88" s="15" t="str">
        <f>IFERROR(INDEX(PBC_ACCOUNT_LIST[Cash Flow Section],MATCH('Data Summary'!J88,PBC_ACCOUNT_LIST[Id],0)),"")</f>
        <v>Cash From Investing Activities</v>
      </c>
      <c r="I88" s="15" t="str" cm="1">
        <f t="array" ref="I88">INDEX(BSSummarysCF,_xlfn.XMATCH($J88,BSAcctIDs))</f>
        <v>Fixed Assets</v>
      </c>
      <c r="J88" s="14">
        <v>60</v>
      </c>
      <c r="M88" s="66">
        <f>SUMIFS(Drivers!AI$68:AI$103,BSAcctIDs,$J88)</f>
        <v>52718</v>
      </c>
      <c r="N88" s="66">
        <f>SUMIFS(Drivers!AJ$68:AJ$103,BSAcctIDs,$J88)</f>
        <v>52718</v>
      </c>
      <c r="O88" s="66">
        <f>SUMIFS(Drivers!AK$68:AK$103,BSAcctIDs,$J88)</f>
        <v>52718</v>
      </c>
      <c r="P88" s="66">
        <f>SUMIFS(Drivers!AL$68:AL$103,BSAcctIDs,$J88)</f>
        <v>52718</v>
      </c>
      <c r="Q88" s="66">
        <f>SUMIFS(Drivers!AM$68:AM$103,BSAcctIDs,$J88)</f>
        <v>52718</v>
      </c>
      <c r="R88" s="66">
        <f>SUMIFS(Drivers!AN$68:AN$103,BSAcctIDs,$J88)</f>
        <v>52718</v>
      </c>
      <c r="S88" s="66">
        <f>SUMIFS(Drivers!AO$68:AO$103,BSAcctIDs,$J88)</f>
        <v>52718</v>
      </c>
      <c r="T88" s="66">
        <f>SUMIFS(Drivers!AP$68:AP$103,BSAcctIDs,$J88)</f>
        <v>52718</v>
      </c>
      <c r="U88" s="66">
        <f>SUMIFS(Drivers!AQ$68:AQ$103,BSAcctIDs,$J88)</f>
        <v>52718</v>
      </c>
      <c r="V88" s="66">
        <f>SUMIFS(Drivers!AR$68:AR$103,BSAcctIDs,$J88)</f>
        <v>52718</v>
      </c>
      <c r="W88" s="66">
        <f>SUMIFS(Drivers!AS$68:AS$103,BSAcctIDs,$J88)</f>
        <v>52718</v>
      </c>
      <c r="X88" s="66">
        <f>SUMIFS(Drivers!AT$68:AT$103,BSAcctIDs,$J88)</f>
        <v>52718</v>
      </c>
      <c r="Y88" s="66">
        <f>SUMIFS(Drivers!AU$68:AU$103,BSAcctIDs,$J88)</f>
        <v>52718</v>
      </c>
      <c r="Z88" s="66">
        <f>SUMIFS(Drivers!AV$68:AV$103,BSAcctIDs,$J88)</f>
        <v>52718</v>
      </c>
      <c r="AA88" s="66">
        <f>SUMIFS(Drivers!AW$68:AW$103,BSAcctIDs,$J88)</f>
        <v>52718</v>
      </c>
      <c r="AB88" s="66">
        <f>SUMIFS(Drivers!AX$68:AX$103,BSAcctIDs,$J88)</f>
        <v>52718</v>
      </c>
      <c r="AC88" s="66">
        <f>SUMIFS(Drivers!AY$68:AY$103,BSAcctIDs,$J88)</f>
        <v>52718</v>
      </c>
      <c r="AD88" s="66">
        <f>SUMIFS(Drivers!AZ$68:AZ$103,BSAcctIDs,$J88)</f>
        <v>52718</v>
      </c>
      <c r="AE88" s="66">
        <f>SUMIFS(Drivers!BA$68:BA$103,BSAcctIDs,$J88)</f>
        <v>52718</v>
      </c>
      <c r="AF88" s="66">
        <f>SUMIFS(Drivers!BB$68:BB$103,BSAcctIDs,$J88)</f>
        <v>52718</v>
      </c>
      <c r="AG88" s="66">
        <f>SUMIFS(Drivers!BC$68:BC$103,BSAcctIDs,$J88)</f>
        <v>52718</v>
      </c>
      <c r="AH88" s="66">
        <f>SUMIFS(Drivers!BD$68:BD$103,BSAcctIDs,$J88)</f>
        <v>52718</v>
      </c>
      <c r="AI88" s="66">
        <f>SUMIFS(Drivers!BE$68:BE$103,BSAcctIDs,$J88)</f>
        <v>52718</v>
      </c>
      <c r="AJ88" s="66">
        <f>SUMIFS(Drivers!BF$68:BF$103,BSAcctIDs,$J88)</f>
        <v>52718</v>
      </c>
      <c r="AK88" s="66">
        <f>SUMIFS(Drivers!BG$68:BG$103,BSAcctIDs,$J88)</f>
        <v>52718</v>
      </c>
      <c r="AL88" s="66">
        <f>SUMIFS(Drivers!BH$68:BH$103,BSAcctIDs,$J88)</f>
        <v>52718</v>
      </c>
      <c r="AM88" s="66">
        <f>SUMIFS(Drivers!BI$68:BI$103,BSAcctIDs,$J88)</f>
        <v>52718</v>
      </c>
      <c r="AN88" s="66">
        <f>SUMIFS(Drivers!BJ$68:BJ$103,BSAcctIDs,$J88)</f>
        <v>52718</v>
      </c>
      <c r="AO88" s="66">
        <f>SUMIFS(Drivers!BK$68:BK$103,BSAcctIDs,$J88)</f>
        <v>52718</v>
      </c>
      <c r="AP88" s="66">
        <f>SUMIFS(Drivers!BL$68:BL$103,BSAcctIDs,$J88)</f>
        <v>52718</v>
      </c>
      <c r="AQ88" s="66">
        <f>SUMIFS(Drivers!BM$68:BM$103,BSAcctIDs,$J88)</f>
        <v>52718</v>
      </c>
      <c r="AR88" s="66">
        <f>SUMIFS(Drivers!BN$68:BN$103,BSAcctIDs,$J88)</f>
        <v>52718</v>
      </c>
      <c r="AS88" s="66">
        <f>SUMIFS(Drivers!BO$68:BO$103,BSAcctIDs,$J88)</f>
        <v>52718</v>
      </c>
      <c r="AT88" s="66">
        <f>SUMIFS(Drivers!BP$68:BP$103,BSAcctIDs,$J88)</f>
        <v>52718</v>
      </c>
      <c r="AU88" s="66">
        <f>SUMIFS(Drivers!BQ$68:BQ$103,BSAcctIDs,$J88)</f>
        <v>52718</v>
      </c>
      <c r="AV88" s="66">
        <f>SUMIFS(Drivers!BR$68:BR$103,BSAcctIDs,$J88)</f>
        <v>52718</v>
      </c>
      <c r="AW88" s="66">
        <f>SUMIFS(Drivers!BS$68:BS$103,BSAcctIDs,$J88)</f>
        <v>52718</v>
      </c>
    </row>
    <row r="89" spans="2:49" ht="19.5" customHeight="1" outlineLevel="1">
      <c r="B89" s="22"/>
      <c r="C89" s="67"/>
      <c r="D89" s="26" t="s">
        <v>214</v>
      </c>
      <c r="E89" s="14" t="str">
        <f>IFERROR(INDEX(PBC_ACCOUNT_LIST[Drivers Section],MATCH('Data Summary'!J89,PBC_ACCOUNT_LIST[Id],0)),"")</f>
        <v>Assets</v>
      </c>
      <c r="F89" s="14" t="str">
        <f>IFERROR(INDEX(PBC_ACCOUNT_LIST[Summary Grouping],MATCH('Data Summary'!J89,PBC_ACCOUNT_LIST[Id],0)),"")</f>
        <v>Fixed Assets</v>
      </c>
      <c r="G89" s="15"/>
      <c r="H89" s="15" t="str">
        <f>IFERROR(INDEX(PBC_ACCOUNT_LIST[Cash Flow Section],MATCH('Data Summary'!J89,PBC_ACCOUNT_LIST[Id],0)),"")</f>
        <v>Cash From Investing Activities</v>
      </c>
      <c r="I89" s="15" t="str" cm="1">
        <f t="array" ref="I89">INDEX(BSSummarysCF,_xlfn.XMATCH($J89,BSAcctIDs))</f>
        <v>Fixed Assets</v>
      </c>
      <c r="J89" s="14">
        <v>1150040001</v>
      </c>
      <c r="M89" s="66">
        <f>SUMIFS(Drivers!AI$68:AI$103,BSAcctIDs,$J89)</f>
        <v>7951</v>
      </c>
      <c r="N89" s="66">
        <f>SUMIFS(Drivers!AJ$68:AJ$103,BSAcctIDs,$J89)</f>
        <v>7951</v>
      </c>
      <c r="O89" s="66">
        <f>SUMIFS(Drivers!AK$68:AK$103,BSAcctIDs,$J89)</f>
        <v>7951</v>
      </c>
      <c r="P89" s="66">
        <f>SUMIFS(Drivers!AL$68:AL$103,BSAcctIDs,$J89)</f>
        <v>7951</v>
      </c>
      <c r="Q89" s="66">
        <f>SUMIFS(Drivers!AM$68:AM$103,BSAcctIDs,$J89)</f>
        <v>7951</v>
      </c>
      <c r="R89" s="66">
        <f>SUMIFS(Drivers!AN$68:AN$103,BSAcctIDs,$J89)</f>
        <v>7951</v>
      </c>
      <c r="S89" s="66">
        <f>SUMIFS(Drivers!AO$68:AO$103,BSAcctIDs,$J89)</f>
        <v>7951</v>
      </c>
      <c r="T89" s="66">
        <f>SUMIFS(Drivers!AP$68:AP$103,BSAcctIDs,$J89)</f>
        <v>7951</v>
      </c>
      <c r="U89" s="66">
        <f>SUMIFS(Drivers!AQ$68:AQ$103,BSAcctIDs,$J89)</f>
        <v>7951</v>
      </c>
      <c r="V89" s="66">
        <f>SUMIFS(Drivers!AR$68:AR$103,BSAcctIDs,$J89)</f>
        <v>7951</v>
      </c>
      <c r="W89" s="66">
        <f>SUMIFS(Drivers!AS$68:AS$103,BSAcctIDs,$J89)</f>
        <v>7951</v>
      </c>
      <c r="X89" s="66">
        <f>SUMIFS(Drivers!AT$68:AT$103,BSAcctIDs,$J89)</f>
        <v>7951</v>
      </c>
      <c r="Y89" s="66">
        <f>SUMIFS(Drivers!AU$68:AU$103,BSAcctIDs,$J89)</f>
        <v>7951</v>
      </c>
      <c r="Z89" s="66">
        <f>SUMIFS(Drivers!AV$68:AV$103,BSAcctIDs,$J89)</f>
        <v>7951</v>
      </c>
      <c r="AA89" s="66">
        <f>SUMIFS(Drivers!AW$68:AW$103,BSAcctIDs,$J89)</f>
        <v>7951</v>
      </c>
      <c r="AB89" s="66">
        <f>SUMIFS(Drivers!AX$68:AX$103,BSAcctIDs,$J89)</f>
        <v>7951</v>
      </c>
      <c r="AC89" s="66">
        <f>SUMIFS(Drivers!AY$68:AY$103,BSAcctIDs,$J89)</f>
        <v>7951</v>
      </c>
      <c r="AD89" s="66">
        <f>SUMIFS(Drivers!AZ$68:AZ$103,BSAcctIDs,$J89)</f>
        <v>7951</v>
      </c>
      <c r="AE89" s="66">
        <f>SUMIFS(Drivers!BA$68:BA$103,BSAcctIDs,$J89)</f>
        <v>7951</v>
      </c>
      <c r="AF89" s="66">
        <f>SUMIFS(Drivers!BB$68:BB$103,BSAcctIDs,$J89)</f>
        <v>7951</v>
      </c>
      <c r="AG89" s="66">
        <f>SUMIFS(Drivers!BC$68:BC$103,BSAcctIDs,$J89)</f>
        <v>7951</v>
      </c>
      <c r="AH89" s="66">
        <f>SUMIFS(Drivers!BD$68:BD$103,BSAcctIDs,$J89)</f>
        <v>7951</v>
      </c>
      <c r="AI89" s="66">
        <f>SUMIFS(Drivers!BE$68:BE$103,BSAcctIDs,$J89)</f>
        <v>7951</v>
      </c>
      <c r="AJ89" s="66">
        <f>SUMIFS(Drivers!BF$68:BF$103,BSAcctIDs,$J89)</f>
        <v>7951</v>
      </c>
      <c r="AK89" s="66">
        <f>SUMIFS(Drivers!BG$68:BG$103,BSAcctIDs,$J89)</f>
        <v>7951</v>
      </c>
      <c r="AL89" s="66">
        <f>SUMIFS(Drivers!BH$68:BH$103,BSAcctIDs,$J89)</f>
        <v>7951</v>
      </c>
      <c r="AM89" s="66">
        <f>SUMIFS(Drivers!BI$68:BI$103,BSAcctIDs,$J89)</f>
        <v>7951</v>
      </c>
      <c r="AN89" s="66">
        <f>SUMIFS(Drivers!BJ$68:BJ$103,BSAcctIDs,$J89)</f>
        <v>7951</v>
      </c>
      <c r="AO89" s="66">
        <f>SUMIFS(Drivers!BK$68:BK$103,BSAcctIDs,$J89)</f>
        <v>7951</v>
      </c>
      <c r="AP89" s="66">
        <f>SUMIFS(Drivers!BL$68:BL$103,BSAcctIDs,$J89)</f>
        <v>7951</v>
      </c>
      <c r="AQ89" s="66">
        <f>SUMIFS(Drivers!BM$68:BM$103,BSAcctIDs,$J89)</f>
        <v>7951</v>
      </c>
      <c r="AR89" s="66">
        <f>SUMIFS(Drivers!BN$68:BN$103,BSAcctIDs,$J89)</f>
        <v>7951</v>
      </c>
      <c r="AS89" s="66">
        <f>SUMIFS(Drivers!BO$68:BO$103,BSAcctIDs,$J89)</f>
        <v>7951</v>
      </c>
      <c r="AT89" s="66">
        <f>SUMIFS(Drivers!BP$68:BP$103,BSAcctIDs,$J89)</f>
        <v>7951</v>
      </c>
      <c r="AU89" s="66">
        <f>SUMIFS(Drivers!BQ$68:BQ$103,BSAcctIDs,$J89)</f>
        <v>7951</v>
      </c>
      <c r="AV89" s="66">
        <f>SUMIFS(Drivers!BR$68:BR$103,BSAcctIDs,$J89)</f>
        <v>7951</v>
      </c>
      <c r="AW89" s="66">
        <f>SUMIFS(Drivers!BS$68:BS$103,BSAcctIDs,$J89)</f>
        <v>7951</v>
      </c>
    </row>
    <row r="90" spans="2:49" ht="19.5" customHeight="1" outlineLevel="1">
      <c r="B90" s="22"/>
      <c r="C90" s="67"/>
      <c r="D90" s="26" t="s">
        <v>216</v>
      </c>
      <c r="E90" s="14" t="str">
        <f>IFERROR(INDEX(PBC_ACCOUNT_LIST[Drivers Section],MATCH('Data Summary'!J90,PBC_ACCOUNT_LIST[Id],0)),"")</f>
        <v>Liabilities</v>
      </c>
      <c r="F90" s="14" t="str">
        <f>IFERROR(INDEX(PBC_ACCOUNT_LIST[Summary Grouping],MATCH('Data Summary'!J90,PBC_ACCOUNT_LIST[Id],0)),"")</f>
        <v>Accounts Payable</v>
      </c>
      <c r="G90" s="15"/>
      <c r="H90" s="15" t="str">
        <f>IFERROR(INDEX(PBC_ACCOUNT_LIST[Cash Flow Section],MATCH('Data Summary'!J90,PBC_ACCOUNT_LIST[Id],0)),"")</f>
        <v>Cash from Operating Activities</v>
      </c>
      <c r="I90" s="15" t="str" cm="1">
        <f t="array" ref="I90">INDEX(BSSummarysCF,_xlfn.XMATCH($J90,BSAcctIDs))</f>
        <v>Accounts Payable</v>
      </c>
      <c r="J90" s="14">
        <v>155</v>
      </c>
      <c r="M90" s="66">
        <f>SUMIFS(Drivers!AI$68:AI$103,BSAcctIDs,$J90)</f>
        <v>55349.5</v>
      </c>
      <c r="N90" s="66">
        <f>SUMIFS(Drivers!AJ$68:AJ$103,BSAcctIDs,$J90)</f>
        <v>55349.5</v>
      </c>
      <c r="O90" s="66">
        <f>SUMIFS(Drivers!AK$68:AK$103,BSAcctIDs,$J90)</f>
        <v>55349.5</v>
      </c>
      <c r="P90" s="66">
        <f>SUMIFS(Drivers!AL$68:AL$103,BSAcctIDs,$J90)</f>
        <v>55349.5</v>
      </c>
      <c r="Q90" s="66">
        <f>SUMIFS(Drivers!AM$68:AM$103,BSAcctIDs,$J90)</f>
        <v>55349.5</v>
      </c>
      <c r="R90" s="66">
        <f>SUMIFS(Drivers!AN$68:AN$103,BSAcctIDs,$J90)</f>
        <v>55349.5</v>
      </c>
      <c r="S90" s="66">
        <f>SUMIFS(Drivers!AO$68:AO$103,BSAcctIDs,$J90)</f>
        <v>55349.5</v>
      </c>
      <c r="T90" s="66">
        <f>SUMIFS(Drivers!AP$68:AP$103,BSAcctIDs,$J90)</f>
        <v>55349.5</v>
      </c>
      <c r="U90" s="66">
        <f>SUMIFS(Drivers!AQ$68:AQ$103,BSAcctIDs,$J90)</f>
        <v>55349.5</v>
      </c>
      <c r="V90" s="66">
        <f>SUMIFS(Drivers!AR$68:AR$103,BSAcctIDs,$J90)</f>
        <v>55349.5</v>
      </c>
      <c r="W90" s="66">
        <f>SUMIFS(Drivers!AS$68:AS$103,BSAcctIDs,$J90)</f>
        <v>55349.5</v>
      </c>
      <c r="X90" s="66">
        <f>SUMIFS(Drivers!AT$68:AT$103,BSAcctIDs,$J90)</f>
        <v>55349.5</v>
      </c>
      <c r="Y90" s="66">
        <f>SUMIFS(Drivers!AU$68:AU$103,BSAcctIDs,$J90)</f>
        <v>55349.5</v>
      </c>
      <c r="Z90" s="66">
        <f>SUMIFS(Drivers!AV$68:AV$103,BSAcctIDs,$J90)</f>
        <v>55349.5</v>
      </c>
      <c r="AA90" s="66">
        <f>SUMIFS(Drivers!AW$68:AW$103,BSAcctIDs,$J90)</f>
        <v>55349.5</v>
      </c>
      <c r="AB90" s="66">
        <f>SUMIFS(Drivers!AX$68:AX$103,BSAcctIDs,$J90)</f>
        <v>55349.5</v>
      </c>
      <c r="AC90" s="66">
        <f>SUMIFS(Drivers!AY$68:AY$103,BSAcctIDs,$J90)</f>
        <v>55349.5</v>
      </c>
      <c r="AD90" s="66">
        <f>SUMIFS(Drivers!AZ$68:AZ$103,BSAcctIDs,$J90)</f>
        <v>55349.5</v>
      </c>
      <c r="AE90" s="66">
        <f>SUMIFS(Drivers!BA$68:BA$103,BSAcctIDs,$J90)</f>
        <v>55349.5</v>
      </c>
      <c r="AF90" s="66">
        <f>SUMIFS(Drivers!BB$68:BB$103,BSAcctIDs,$J90)</f>
        <v>55349.5</v>
      </c>
      <c r="AG90" s="66">
        <f>SUMIFS(Drivers!BC$68:BC$103,BSAcctIDs,$J90)</f>
        <v>55349.5</v>
      </c>
      <c r="AH90" s="66">
        <f>SUMIFS(Drivers!BD$68:BD$103,BSAcctIDs,$J90)</f>
        <v>55349.5</v>
      </c>
      <c r="AI90" s="66">
        <f>SUMIFS(Drivers!BE$68:BE$103,BSAcctIDs,$J90)</f>
        <v>55349.5</v>
      </c>
      <c r="AJ90" s="66">
        <f>SUMIFS(Drivers!BF$68:BF$103,BSAcctIDs,$J90)</f>
        <v>55349.5</v>
      </c>
      <c r="AK90" s="66">
        <f>SUMIFS(Drivers!BG$68:BG$103,BSAcctIDs,$J90)</f>
        <v>55349.5</v>
      </c>
      <c r="AL90" s="66">
        <f>SUMIFS(Drivers!BH$68:BH$103,BSAcctIDs,$J90)</f>
        <v>55349.5</v>
      </c>
      <c r="AM90" s="66">
        <f>SUMIFS(Drivers!BI$68:BI$103,BSAcctIDs,$J90)</f>
        <v>55349.5</v>
      </c>
      <c r="AN90" s="66">
        <f>SUMIFS(Drivers!BJ$68:BJ$103,BSAcctIDs,$J90)</f>
        <v>55349.5</v>
      </c>
      <c r="AO90" s="66">
        <f>SUMIFS(Drivers!BK$68:BK$103,BSAcctIDs,$J90)</f>
        <v>55349.5</v>
      </c>
      <c r="AP90" s="66">
        <f>SUMIFS(Drivers!BL$68:BL$103,BSAcctIDs,$J90)</f>
        <v>55349.5</v>
      </c>
      <c r="AQ90" s="66">
        <f>SUMIFS(Drivers!BM$68:BM$103,BSAcctIDs,$J90)</f>
        <v>55349.5</v>
      </c>
      <c r="AR90" s="66">
        <f>SUMIFS(Drivers!BN$68:BN$103,BSAcctIDs,$J90)</f>
        <v>55349.5</v>
      </c>
      <c r="AS90" s="66">
        <f>SUMIFS(Drivers!BO$68:BO$103,BSAcctIDs,$J90)</f>
        <v>55349.5</v>
      </c>
      <c r="AT90" s="66">
        <f>SUMIFS(Drivers!BP$68:BP$103,BSAcctIDs,$J90)</f>
        <v>55349.5</v>
      </c>
      <c r="AU90" s="66">
        <f>SUMIFS(Drivers!BQ$68:BQ$103,BSAcctIDs,$J90)</f>
        <v>55349.5</v>
      </c>
      <c r="AV90" s="66">
        <f>SUMIFS(Drivers!BR$68:BR$103,BSAcctIDs,$J90)</f>
        <v>55349.5</v>
      </c>
      <c r="AW90" s="66">
        <f>SUMIFS(Drivers!BS$68:BS$103,BSAcctIDs,$J90)</f>
        <v>55349.5</v>
      </c>
    </row>
    <row r="91" spans="2:49" ht="19.5" customHeight="1" outlineLevel="1">
      <c r="B91" s="22"/>
      <c r="C91" s="67"/>
      <c r="D91" s="26" t="s">
        <v>217</v>
      </c>
      <c r="E91" s="14" t="str">
        <f>IFERROR(INDEX(PBC_ACCOUNT_LIST[Drivers Section],MATCH('Data Summary'!J91,PBC_ACCOUNT_LIST[Id],0)),"")</f>
        <v>Liabilities</v>
      </c>
      <c r="F91" s="14" t="str">
        <f>IFERROR(INDEX(PBC_ACCOUNT_LIST[Summary Grouping],MATCH('Data Summary'!J91,PBC_ACCOUNT_LIST[Id],0)),"")</f>
        <v>Current Liabilities</v>
      </c>
      <c r="G91" s="15"/>
      <c r="H91" s="15" t="str">
        <f>IFERROR(INDEX(PBC_ACCOUNT_LIST[Cash Flow Section],MATCH('Data Summary'!J91,PBC_ACCOUNT_LIST[Id],0)),"")</f>
        <v>Cash from Operating Activities</v>
      </c>
      <c r="I91" s="15" t="str" cm="1">
        <f t="array" ref="I91">INDEX(BSSummarysCF,_xlfn.XMATCH($J91,BSAcctIDs))</f>
        <v>Current Liabilities</v>
      </c>
      <c r="J91" s="14">
        <v>156</v>
      </c>
      <c r="M91" s="66">
        <f>SUMIFS(Drivers!AI$68:AI$103,BSAcctIDs,$J91)</f>
        <v>1624.5</v>
      </c>
      <c r="N91" s="66">
        <f>SUMIFS(Drivers!AJ$68:AJ$103,BSAcctIDs,$J91)</f>
        <v>1624.5</v>
      </c>
      <c r="O91" s="66">
        <f>SUMIFS(Drivers!AK$68:AK$103,BSAcctIDs,$J91)</f>
        <v>1624.5</v>
      </c>
      <c r="P91" s="66">
        <f>SUMIFS(Drivers!AL$68:AL$103,BSAcctIDs,$J91)</f>
        <v>1624.5</v>
      </c>
      <c r="Q91" s="66">
        <f>SUMIFS(Drivers!AM$68:AM$103,BSAcctIDs,$J91)</f>
        <v>1624.5</v>
      </c>
      <c r="R91" s="66">
        <f>SUMIFS(Drivers!AN$68:AN$103,BSAcctIDs,$J91)</f>
        <v>1624.5</v>
      </c>
      <c r="S91" s="66">
        <f>SUMIFS(Drivers!AO$68:AO$103,BSAcctIDs,$J91)</f>
        <v>1624.5</v>
      </c>
      <c r="T91" s="66">
        <f>SUMIFS(Drivers!AP$68:AP$103,BSAcctIDs,$J91)</f>
        <v>1624.5</v>
      </c>
      <c r="U91" s="66">
        <f>SUMIFS(Drivers!AQ$68:AQ$103,BSAcctIDs,$J91)</f>
        <v>1624.5</v>
      </c>
      <c r="V91" s="66">
        <f>SUMIFS(Drivers!AR$68:AR$103,BSAcctIDs,$J91)</f>
        <v>1624.5</v>
      </c>
      <c r="W91" s="66">
        <f>SUMIFS(Drivers!AS$68:AS$103,BSAcctIDs,$J91)</f>
        <v>1624.5</v>
      </c>
      <c r="X91" s="66">
        <f>SUMIFS(Drivers!AT$68:AT$103,BSAcctIDs,$J91)</f>
        <v>1624.5</v>
      </c>
      <c r="Y91" s="66">
        <f>SUMIFS(Drivers!AU$68:AU$103,BSAcctIDs,$J91)</f>
        <v>1624.5</v>
      </c>
      <c r="Z91" s="66">
        <f>SUMIFS(Drivers!AV$68:AV$103,BSAcctIDs,$J91)</f>
        <v>1624.5</v>
      </c>
      <c r="AA91" s="66">
        <f>SUMIFS(Drivers!AW$68:AW$103,BSAcctIDs,$J91)</f>
        <v>1624.5</v>
      </c>
      <c r="AB91" s="66">
        <f>SUMIFS(Drivers!AX$68:AX$103,BSAcctIDs,$J91)</f>
        <v>1624.5</v>
      </c>
      <c r="AC91" s="66">
        <f>SUMIFS(Drivers!AY$68:AY$103,BSAcctIDs,$J91)</f>
        <v>1624.5</v>
      </c>
      <c r="AD91" s="66">
        <f>SUMIFS(Drivers!AZ$68:AZ$103,BSAcctIDs,$J91)</f>
        <v>1624.5</v>
      </c>
      <c r="AE91" s="66">
        <f>SUMIFS(Drivers!BA$68:BA$103,BSAcctIDs,$J91)</f>
        <v>1624.5</v>
      </c>
      <c r="AF91" s="66">
        <f>SUMIFS(Drivers!BB$68:BB$103,BSAcctIDs,$J91)</f>
        <v>1624.5</v>
      </c>
      <c r="AG91" s="66">
        <f>SUMIFS(Drivers!BC$68:BC$103,BSAcctIDs,$J91)</f>
        <v>1624.5</v>
      </c>
      <c r="AH91" s="66">
        <f>SUMIFS(Drivers!BD$68:BD$103,BSAcctIDs,$J91)</f>
        <v>1624.5</v>
      </c>
      <c r="AI91" s="66">
        <f>SUMIFS(Drivers!BE$68:BE$103,BSAcctIDs,$J91)</f>
        <v>1624.5</v>
      </c>
      <c r="AJ91" s="66">
        <f>SUMIFS(Drivers!BF$68:BF$103,BSAcctIDs,$J91)</f>
        <v>1624.5</v>
      </c>
      <c r="AK91" s="66">
        <f>SUMIFS(Drivers!BG$68:BG$103,BSAcctIDs,$J91)</f>
        <v>1624.5</v>
      </c>
      <c r="AL91" s="66">
        <f>SUMIFS(Drivers!BH$68:BH$103,BSAcctIDs,$J91)</f>
        <v>1624.5</v>
      </c>
      <c r="AM91" s="66">
        <f>SUMIFS(Drivers!BI$68:BI$103,BSAcctIDs,$J91)</f>
        <v>1624.5</v>
      </c>
      <c r="AN91" s="66">
        <f>SUMIFS(Drivers!BJ$68:BJ$103,BSAcctIDs,$J91)</f>
        <v>1624.5</v>
      </c>
      <c r="AO91" s="66">
        <f>SUMIFS(Drivers!BK$68:BK$103,BSAcctIDs,$J91)</f>
        <v>1624.5</v>
      </c>
      <c r="AP91" s="66">
        <f>SUMIFS(Drivers!BL$68:BL$103,BSAcctIDs,$J91)</f>
        <v>1624.5</v>
      </c>
      <c r="AQ91" s="66">
        <f>SUMIFS(Drivers!BM$68:BM$103,BSAcctIDs,$J91)</f>
        <v>1624.5</v>
      </c>
      <c r="AR91" s="66">
        <f>SUMIFS(Drivers!BN$68:BN$103,BSAcctIDs,$J91)</f>
        <v>1624.5</v>
      </c>
      <c r="AS91" s="66">
        <f>SUMIFS(Drivers!BO$68:BO$103,BSAcctIDs,$J91)</f>
        <v>1624.5</v>
      </c>
      <c r="AT91" s="66">
        <f>SUMIFS(Drivers!BP$68:BP$103,BSAcctIDs,$J91)</f>
        <v>1624.5</v>
      </c>
      <c r="AU91" s="66">
        <f>SUMIFS(Drivers!BQ$68:BQ$103,BSAcctIDs,$J91)</f>
        <v>1624.5</v>
      </c>
      <c r="AV91" s="66">
        <f>SUMIFS(Drivers!BR$68:BR$103,BSAcctIDs,$J91)</f>
        <v>1624.5</v>
      </c>
      <c r="AW91" s="66">
        <f>SUMIFS(Drivers!BS$68:BS$103,BSAcctIDs,$J91)</f>
        <v>1624.5</v>
      </c>
    </row>
    <row r="92" spans="2:49" ht="19.5" customHeight="1" outlineLevel="1">
      <c r="B92" s="22"/>
      <c r="C92" s="67"/>
      <c r="D92" s="26" t="s">
        <v>218</v>
      </c>
      <c r="E92" s="14" t="str">
        <f>IFERROR(INDEX(PBC_ACCOUNT_LIST[Drivers Section],MATCH('Data Summary'!J92,PBC_ACCOUNT_LIST[Id],0)),"")</f>
        <v>Liabilities</v>
      </c>
      <c r="F92" s="14" t="str">
        <f>IFERROR(INDEX(PBC_ACCOUNT_LIST[Summary Grouping],MATCH('Data Summary'!J92,PBC_ACCOUNT_LIST[Id],0)),"")</f>
        <v>Current Liabilities</v>
      </c>
      <c r="G92" s="15"/>
      <c r="H92" s="15" t="str">
        <f>IFERROR(INDEX(PBC_ACCOUNT_LIST[Cash Flow Section],MATCH('Data Summary'!J92,PBC_ACCOUNT_LIST[Id],0)),"")</f>
        <v>Cash from Operating Activities</v>
      </c>
      <c r="I92" s="15" t="str" cm="1">
        <f t="array" ref="I92">INDEX(BSSummarysCF,_xlfn.XMATCH($J92,BSAcctIDs))</f>
        <v>Current Liabilities</v>
      </c>
      <c r="J92" s="14">
        <v>157</v>
      </c>
      <c r="M92" s="66">
        <f>SUMIFS(Drivers!AI$68:AI$103,BSAcctIDs,$J92)</f>
        <v>1353.5</v>
      </c>
      <c r="N92" s="66">
        <f>SUMIFS(Drivers!AJ$68:AJ$103,BSAcctIDs,$J92)</f>
        <v>1353.5</v>
      </c>
      <c r="O92" s="66">
        <f>SUMIFS(Drivers!AK$68:AK$103,BSAcctIDs,$J92)</f>
        <v>1353.5</v>
      </c>
      <c r="P92" s="66">
        <f>SUMIFS(Drivers!AL$68:AL$103,BSAcctIDs,$J92)</f>
        <v>1353.5</v>
      </c>
      <c r="Q92" s="66">
        <f>SUMIFS(Drivers!AM$68:AM$103,BSAcctIDs,$J92)</f>
        <v>1353.5</v>
      </c>
      <c r="R92" s="66">
        <f>SUMIFS(Drivers!AN$68:AN$103,BSAcctIDs,$J92)</f>
        <v>1353.5</v>
      </c>
      <c r="S92" s="66">
        <f>SUMIFS(Drivers!AO$68:AO$103,BSAcctIDs,$J92)</f>
        <v>1353.5</v>
      </c>
      <c r="T92" s="66">
        <f>SUMIFS(Drivers!AP$68:AP$103,BSAcctIDs,$J92)</f>
        <v>1353.5</v>
      </c>
      <c r="U92" s="66">
        <f>SUMIFS(Drivers!AQ$68:AQ$103,BSAcctIDs,$J92)</f>
        <v>1353.5</v>
      </c>
      <c r="V92" s="66">
        <f>SUMIFS(Drivers!AR$68:AR$103,BSAcctIDs,$J92)</f>
        <v>1353.5</v>
      </c>
      <c r="W92" s="66">
        <f>SUMIFS(Drivers!AS$68:AS$103,BSAcctIDs,$J92)</f>
        <v>1353.5</v>
      </c>
      <c r="X92" s="66">
        <f>SUMIFS(Drivers!AT$68:AT$103,BSAcctIDs,$J92)</f>
        <v>1353.5</v>
      </c>
      <c r="Y92" s="66">
        <f>SUMIFS(Drivers!AU$68:AU$103,BSAcctIDs,$J92)</f>
        <v>1353.5</v>
      </c>
      <c r="Z92" s="66">
        <f>SUMIFS(Drivers!AV$68:AV$103,BSAcctIDs,$J92)</f>
        <v>1353.5</v>
      </c>
      <c r="AA92" s="66">
        <f>SUMIFS(Drivers!AW$68:AW$103,BSAcctIDs,$J92)</f>
        <v>1353.5</v>
      </c>
      <c r="AB92" s="66">
        <f>SUMIFS(Drivers!AX$68:AX$103,BSAcctIDs,$J92)</f>
        <v>1353.5</v>
      </c>
      <c r="AC92" s="66">
        <f>SUMIFS(Drivers!AY$68:AY$103,BSAcctIDs,$J92)</f>
        <v>1353.5</v>
      </c>
      <c r="AD92" s="66">
        <f>SUMIFS(Drivers!AZ$68:AZ$103,BSAcctIDs,$J92)</f>
        <v>1353.5</v>
      </c>
      <c r="AE92" s="66">
        <f>SUMIFS(Drivers!BA$68:BA$103,BSAcctIDs,$J92)</f>
        <v>1353.5</v>
      </c>
      <c r="AF92" s="66">
        <f>SUMIFS(Drivers!BB$68:BB$103,BSAcctIDs,$J92)</f>
        <v>1353.5</v>
      </c>
      <c r="AG92" s="66">
        <f>SUMIFS(Drivers!BC$68:BC$103,BSAcctIDs,$J92)</f>
        <v>1353.5</v>
      </c>
      <c r="AH92" s="66">
        <f>SUMIFS(Drivers!BD$68:BD$103,BSAcctIDs,$J92)</f>
        <v>1353.5</v>
      </c>
      <c r="AI92" s="66">
        <f>SUMIFS(Drivers!BE$68:BE$103,BSAcctIDs,$J92)</f>
        <v>1353.5</v>
      </c>
      <c r="AJ92" s="66">
        <f>SUMIFS(Drivers!BF$68:BF$103,BSAcctIDs,$J92)</f>
        <v>1353.5</v>
      </c>
      <c r="AK92" s="66">
        <f>SUMIFS(Drivers!BG$68:BG$103,BSAcctIDs,$J92)</f>
        <v>1353.5</v>
      </c>
      <c r="AL92" s="66">
        <f>SUMIFS(Drivers!BH$68:BH$103,BSAcctIDs,$J92)</f>
        <v>1353.5</v>
      </c>
      <c r="AM92" s="66">
        <f>SUMIFS(Drivers!BI$68:BI$103,BSAcctIDs,$J92)</f>
        <v>1353.5</v>
      </c>
      <c r="AN92" s="66">
        <f>SUMIFS(Drivers!BJ$68:BJ$103,BSAcctIDs,$J92)</f>
        <v>1353.5</v>
      </c>
      <c r="AO92" s="66">
        <f>SUMIFS(Drivers!BK$68:BK$103,BSAcctIDs,$J92)</f>
        <v>1353.5</v>
      </c>
      <c r="AP92" s="66">
        <f>SUMIFS(Drivers!BL$68:BL$103,BSAcctIDs,$J92)</f>
        <v>1353.5</v>
      </c>
      <c r="AQ92" s="66">
        <f>SUMIFS(Drivers!BM$68:BM$103,BSAcctIDs,$J92)</f>
        <v>1353.5</v>
      </c>
      <c r="AR92" s="66">
        <f>SUMIFS(Drivers!BN$68:BN$103,BSAcctIDs,$J92)</f>
        <v>1353.5</v>
      </c>
      <c r="AS92" s="66">
        <f>SUMIFS(Drivers!BO$68:BO$103,BSAcctIDs,$J92)</f>
        <v>1353.5</v>
      </c>
      <c r="AT92" s="66">
        <f>SUMIFS(Drivers!BP$68:BP$103,BSAcctIDs,$J92)</f>
        <v>1353.5</v>
      </c>
      <c r="AU92" s="66">
        <f>SUMIFS(Drivers!BQ$68:BQ$103,BSAcctIDs,$J92)</f>
        <v>1353.5</v>
      </c>
      <c r="AV92" s="66">
        <f>SUMIFS(Drivers!BR$68:BR$103,BSAcctIDs,$J92)</f>
        <v>1353.5</v>
      </c>
      <c r="AW92" s="66">
        <f>SUMIFS(Drivers!BS$68:BS$103,BSAcctIDs,$J92)</f>
        <v>1353.5</v>
      </c>
    </row>
    <row r="93" spans="2:49" ht="19.5" customHeight="1" outlineLevel="1">
      <c r="B93" s="22"/>
      <c r="C93" s="67"/>
      <c r="D93" s="26" t="s">
        <v>219</v>
      </c>
      <c r="E93" s="14" t="str">
        <f>IFERROR(INDEX(PBC_ACCOUNT_LIST[Drivers Section],MATCH('Data Summary'!J93,PBC_ACCOUNT_LIST[Id],0)),"")</f>
        <v>Liabilities</v>
      </c>
      <c r="F93" s="14" t="str">
        <f>IFERROR(INDEX(PBC_ACCOUNT_LIST[Summary Grouping],MATCH('Data Summary'!J93,PBC_ACCOUNT_LIST[Id],0)),"")</f>
        <v>Deferred Revenue</v>
      </c>
      <c r="G93" s="15"/>
      <c r="H93" s="15" t="str">
        <f>IFERROR(INDEX(PBC_ACCOUNT_LIST[Cash Flow Section],MATCH('Data Summary'!J93,PBC_ACCOUNT_LIST[Id],0)),"")</f>
        <v>Cash from Operating Activities</v>
      </c>
      <c r="I93" s="15" t="str" cm="1">
        <f t="array" ref="I93">INDEX(BSSummarysCF,_xlfn.XMATCH($J93,BSAcctIDs))</f>
        <v>Deferred Revenue</v>
      </c>
      <c r="J93" s="14">
        <v>158</v>
      </c>
      <c r="M93" s="66">
        <f>SUMIFS(Drivers!AI$68:AI$103,BSAcctIDs,$J93)</f>
        <v>23270</v>
      </c>
      <c r="N93" s="66">
        <f>SUMIFS(Drivers!AJ$68:AJ$103,BSAcctIDs,$J93)</f>
        <v>23270</v>
      </c>
      <c r="O93" s="66">
        <f>SUMIFS(Drivers!AK$68:AK$103,BSAcctIDs,$J93)</f>
        <v>23270</v>
      </c>
      <c r="P93" s="66">
        <f>SUMIFS(Drivers!AL$68:AL$103,BSAcctIDs,$J93)</f>
        <v>23270</v>
      </c>
      <c r="Q93" s="66">
        <f>SUMIFS(Drivers!AM$68:AM$103,BSAcctIDs,$J93)</f>
        <v>23270</v>
      </c>
      <c r="R93" s="66">
        <f>SUMIFS(Drivers!AN$68:AN$103,BSAcctIDs,$J93)</f>
        <v>23270</v>
      </c>
      <c r="S93" s="66">
        <f>SUMIFS(Drivers!AO$68:AO$103,BSAcctIDs,$J93)</f>
        <v>23270</v>
      </c>
      <c r="T93" s="66">
        <f>SUMIFS(Drivers!AP$68:AP$103,BSAcctIDs,$J93)</f>
        <v>23270</v>
      </c>
      <c r="U93" s="66">
        <f>SUMIFS(Drivers!AQ$68:AQ$103,BSAcctIDs,$J93)</f>
        <v>23270</v>
      </c>
      <c r="V93" s="66">
        <f>SUMIFS(Drivers!AR$68:AR$103,BSAcctIDs,$J93)</f>
        <v>23270</v>
      </c>
      <c r="W93" s="66">
        <f>SUMIFS(Drivers!AS$68:AS$103,BSAcctIDs,$J93)</f>
        <v>23270</v>
      </c>
      <c r="X93" s="66">
        <f>SUMIFS(Drivers!AT$68:AT$103,BSAcctIDs,$J93)</f>
        <v>23270</v>
      </c>
      <c r="Y93" s="66">
        <f>SUMIFS(Drivers!AU$68:AU$103,BSAcctIDs,$J93)</f>
        <v>23270</v>
      </c>
      <c r="Z93" s="66">
        <f>SUMIFS(Drivers!AV$68:AV$103,BSAcctIDs,$J93)</f>
        <v>23270</v>
      </c>
      <c r="AA93" s="66">
        <f>SUMIFS(Drivers!AW$68:AW$103,BSAcctIDs,$J93)</f>
        <v>23270</v>
      </c>
      <c r="AB93" s="66">
        <f>SUMIFS(Drivers!AX$68:AX$103,BSAcctIDs,$J93)</f>
        <v>23270</v>
      </c>
      <c r="AC93" s="66">
        <f>SUMIFS(Drivers!AY$68:AY$103,BSAcctIDs,$J93)</f>
        <v>23270</v>
      </c>
      <c r="AD93" s="66">
        <f>SUMIFS(Drivers!AZ$68:AZ$103,BSAcctIDs,$J93)</f>
        <v>23270</v>
      </c>
      <c r="AE93" s="66">
        <f>SUMIFS(Drivers!BA$68:BA$103,BSAcctIDs,$J93)</f>
        <v>23270</v>
      </c>
      <c r="AF93" s="66">
        <f>SUMIFS(Drivers!BB$68:BB$103,BSAcctIDs,$J93)</f>
        <v>23270</v>
      </c>
      <c r="AG93" s="66">
        <f>SUMIFS(Drivers!BC$68:BC$103,BSAcctIDs,$J93)</f>
        <v>23270</v>
      </c>
      <c r="AH93" s="66">
        <f>SUMIFS(Drivers!BD$68:BD$103,BSAcctIDs,$J93)</f>
        <v>23270</v>
      </c>
      <c r="AI93" s="66">
        <f>SUMIFS(Drivers!BE$68:BE$103,BSAcctIDs,$J93)</f>
        <v>73270</v>
      </c>
      <c r="AJ93" s="66">
        <f>SUMIFS(Drivers!BF$68:BF$103,BSAcctIDs,$J93)</f>
        <v>73270</v>
      </c>
      <c r="AK93" s="66">
        <f>SUMIFS(Drivers!BG$68:BG$103,BSAcctIDs,$J93)</f>
        <v>73270</v>
      </c>
      <c r="AL93" s="66">
        <f>SUMIFS(Drivers!BH$68:BH$103,BSAcctIDs,$J93)</f>
        <v>73270</v>
      </c>
      <c r="AM93" s="66">
        <f>SUMIFS(Drivers!BI$68:BI$103,BSAcctIDs,$J93)</f>
        <v>73270</v>
      </c>
      <c r="AN93" s="66">
        <f>SUMIFS(Drivers!BJ$68:BJ$103,BSAcctIDs,$J93)</f>
        <v>73270</v>
      </c>
      <c r="AO93" s="66">
        <f>SUMIFS(Drivers!BK$68:BK$103,BSAcctIDs,$J93)</f>
        <v>73270</v>
      </c>
      <c r="AP93" s="66">
        <f>SUMIFS(Drivers!BL$68:BL$103,BSAcctIDs,$J93)</f>
        <v>73270</v>
      </c>
      <c r="AQ93" s="66">
        <f>SUMIFS(Drivers!BM$68:BM$103,BSAcctIDs,$J93)</f>
        <v>73270</v>
      </c>
      <c r="AR93" s="66">
        <f>SUMIFS(Drivers!BN$68:BN$103,BSAcctIDs,$J93)</f>
        <v>73270</v>
      </c>
      <c r="AS93" s="66">
        <f>SUMIFS(Drivers!BO$68:BO$103,BSAcctIDs,$J93)</f>
        <v>73270</v>
      </c>
      <c r="AT93" s="66">
        <f>SUMIFS(Drivers!BP$68:BP$103,BSAcctIDs,$J93)</f>
        <v>73270</v>
      </c>
      <c r="AU93" s="66">
        <f>SUMIFS(Drivers!BQ$68:BQ$103,BSAcctIDs,$J93)</f>
        <v>73270</v>
      </c>
      <c r="AV93" s="66">
        <f>SUMIFS(Drivers!BR$68:BR$103,BSAcctIDs,$J93)</f>
        <v>73270</v>
      </c>
      <c r="AW93" s="66">
        <f>SUMIFS(Drivers!BS$68:BS$103,BSAcctIDs,$J93)</f>
        <v>73270</v>
      </c>
    </row>
    <row r="94" spans="2:49" ht="19.5" customHeight="1" outlineLevel="1">
      <c r="B94" s="22"/>
      <c r="C94" s="67"/>
      <c r="D94" s="26" t="s">
        <v>220</v>
      </c>
      <c r="E94" s="14" t="str">
        <f>IFERROR(INDEX(PBC_ACCOUNT_LIST[Drivers Section],MATCH('Data Summary'!J94,PBC_ACCOUNT_LIST[Id],0)),"")</f>
        <v>Liabilities</v>
      </c>
      <c r="F94" s="14" t="str">
        <f>IFERROR(INDEX(PBC_ACCOUNT_LIST[Summary Grouping],MATCH('Data Summary'!J94,PBC_ACCOUNT_LIST[Id],0)),"")</f>
        <v>Current Liabilities</v>
      </c>
      <c r="G94" s="15"/>
      <c r="H94" s="15" t="str">
        <f>IFERROR(INDEX(PBC_ACCOUNT_LIST[Cash Flow Section],MATCH('Data Summary'!J94,PBC_ACCOUNT_LIST[Id],0)),"")</f>
        <v>Cash from Operating Activities</v>
      </c>
      <c r="I94" s="15" t="str" cm="1">
        <f t="array" ref="I94">INDEX(BSSummarysCF,_xlfn.XMATCH($J94,BSAcctIDs))</f>
        <v>Current Liabilities</v>
      </c>
      <c r="J94" s="14">
        <v>159</v>
      </c>
      <c r="M94" s="66">
        <f>SUMIFS(Drivers!AI$68:AI$103,BSAcctIDs,$J94)</f>
        <v>1260.5</v>
      </c>
      <c r="N94" s="66">
        <f>SUMIFS(Drivers!AJ$68:AJ$103,BSAcctIDs,$J94)</f>
        <v>1260.5</v>
      </c>
      <c r="O94" s="66">
        <f>SUMIFS(Drivers!AK$68:AK$103,BSAcctIDs,$J94)</f>
        <v>1260.5</v>
      </c>
      <c r="P94" s="66">
        <f>SUMIFS(Drivers!AL$68:AL$103,BSAcctIDs,$J94)</f>
        <v>1260.5</v>
      </c>
      <c r="Q94" s="66">
        <f>SUMIFS(Drivers!AM$68:AM$103,BSAcctIDs,$J94)</f>
        <v>1260.5</v>
      </c>
      <c r="R94" s="66">
        <f>SUMIFS(Drivers!AN$68:AN$103,BSAcctIDs,$J94)</f>
        <v>1260.5</v>
      </c>
      <c r="S94" s="66">
        <f>SUMIFS(Drivers!AO$68:AO$103,BSAcctIDs,$J94)</f>
        <v>1260.5</v>
      </c>
      <c r="T94" s="66">
        <f>SUMIFS(Drivers!AP$68:AP$103,BSAcctIDs,$J94)</f>
        <v>1260.5</v>
      </c>
      <c r="U94" s="66">
        <f>SUMIFS(Drivers!AQ$68:AQ$103,BSAcctIDs,$J94)</f>
        <v>1260.5</v>
      </c>
      <c r="V94" s="66">
        <f>SUMIFS(Drivers!AR$68:AR$103,BSAcctIDs,$J94)</f>
        <v>1260.5</v>
      </c>
      <c r="W94" s="66">
        <f>SUMIFS(Drivers!AS$68:AS$103,BSAcctIDs,$J94)</f>
        <v>1260.5</v>
      </c>
      <c r="X94" s="66">
        <f>SUMIFS(Drivers!AT$68:AT$103,BSAcctIDs,$J94)</f>
        <v>1260.5</v>
      </c>
      <c r="Y94" s="66">
        <f>SUMIFS(Drivers!AU$68:AU$103,BSAcctIDs,$J94)</f>
        <v>1260.5</v>
      </c>
      <c r="Z94" s="66">
        <f>SUMIFS(Drivers!AV$68:AV$103,BSAcctIDs,$J94)</f>
        <v>1260.5</v>
      </c>
      <c r="AA94" s="66">
        <f>SUMIFS(Drivers!AW$68:AW$103,BSAcctIDs,$J94)</f>
        <v>1260.5</v>
      </c>
      <c r="AB94" s="66">
        <f>SUMIFS(Drivers!AX$68:AX$103,BSAcctIDs,$J94)</f>
        <v>1260.5</v>
      </c>
      <c r="AC94" s="66">
        <f>SUMIFS(Drivers!AY$68:AY$103,BSAcctIDs,$J94)</f>
        <v>1260.5</v>
      </c>
      <c r="AD94" s="66">
        <f>SUMIFS(Drivers!AZ$68:AZ$103,BSAcctIDs,$J94)</f>
        <v>1260.5</v>
      </c>
      <c r="AE94" s="66">
        <f>SUMIFS(Drivers!BA$68:BA$103,BSAcctIDs,$J94)</f>
        <v>1260.5</v>
      </c>
      <c r="AF94" s="66">
        <f>SUMIFS(Drivers!BB$68:BB$103,BSAcctIDs,$J94)</f>
        <v>1260.5</v>
      </c>
      <c r="AG94" s="66">
        <f>SUMIFS(Drivers!BC$68:BC$103,BSAcctIDs,$J94)</f>
        <v>1260.5</v>
      </c>
      <c r="AH94" s="66">
        <f>SUMIFS(Drivers!BD$68:BD$103,BSAcctIDs,$J94)</f>
        <v>1260.5</v>
      </c>
      <c r="AI94" s="66">
        <f>SUMIFS(Drivers!BE$68:BE$103,BSAcctIDs,$J94)</f>
        <v>1260.5</v>
      </c>
      <c r="AJ94" s="66">
        <f>SUMIFS(Drivers!BF$68:BF$103,BSAcctIDs,$J94)</f>
        <v>1260.5</v>
      </c>
      <c r="AK94" s="66">
        <f>SUMIFS(Drivers!BG$68:BG$103,BSAcctIDs,$J94)</f>
        <v>1260.5</v>
      </c>
      <c r="AL94" s="66">
        <f>SUMIFS(Drivers!BH$68:BH$103,BSAcctIDs,$J94)</f>
        <v>1260.5</v>
      </c>
      <c r="AM94" s="66">
        <f>SUMIFS(Drivers!BI$68:BI$103,BSAcctIDs,$J94)</f>
        <v>1260.5</v>
      </c>
      <c r="AN94" s="66">
        <f>SUMIFS(Drivers!BJ$68:BJ$103,BSAcctIDs,$J94)</f>
        <v>1260.5</v>
      </c>
      <c r="AO94" s="66">
        <f>SUMIFS(Drivers!BK$68:BK$103,BSAcctIDs,$J94)</f>
        <v>1260.5</v>
      </c>
      <c r="AP94" s="66">
        <f>SUMIFS(Drivers!BL$68:BL$103,BSAcctIDs,$J94)</f>
        <v>1260.5</v>
      </c>
      <c r="AQ94" s="66">
        <f>SUMIFS(Drivers!BM$68:BM$103,BSAcctIDs,$J94)</f>
        <v>1260.5</v>
      </c>
      <c r="AR94" s="66">
        <f>SUMIFS(Drivers!BN$68:BN$103,BSAcctIDs,$J94)</f>
        <v>1260.5</v>
      </c>
      <c r="AS94" s="66">
        <f>SUMIFS(Drivers!BO$68:BO$103,BSAcctIDs,$J94)</f>
        <v>1260.5</v>
      </c>
      <c r="AT94" s="66">
        <f>SUMIFS(Drivers!BP$68:BP$103,BSAcctIDs,$J94)</f>
        <v>1260.5</v>
      </c>
      <c r="AU94" s="66">
        <f>SUMIFS(Drivers!BQ$68:BQ$103,BSAcctIDs,$J94)</f>
        <v>1260.5</v>
      </c>
      <c r="AV94" s="66">
        <f>SUMIFS(Drivers!BR$68:BR$103,BSAcctIDs,$J94)</f>
        <v>1260.5</v>
      </c>
      <c r="AW94" s="66">
        <f>SUMIFS(Drivers!BS$68:BS$103,BSAcctIDs,$J94)</f>
        <v>1260.5</v>
      </c>
    </row>
    <row r="95" spans="2:49" ht="19.5" customHeight="1" outlineLevel="1">
      <c r="B95" s="22"/>
      <c r="C95" s="67"/>
      <c r="D95" s="26" t="s">
        <v>221</v>
      </c>
      <c r="E95" s="14" t="str">
        <f>IFERROR(INDEX(PBC_ACCOUNT_LIST[Drivers Section],MATCH('Data Summary'!J95,PBC_ACCOUNT_LIST[Id],0)),"")</f>
        <v>Liabilities</v>
      </c>
      <c r="F95" s="14" t="str">
        <f>IFERROR(INDEX(PBC_ACCOUNT_LIST[Summary Grouping],MATCH('Data Summary'!J95,PBC_ACCOUNT_LIST[Id],0)),"")</f>
        <v>Accounts Payable</v>
      </c>
      <c r="G95" s="15"/>
      <c r="H95" s="15" t="str">
        <f>IFERROR(INDEX(PBC_ACCOUNT_LIST[Cash Flow Section],MATCH('Data Summary'!J95,PBC_ACCOUNT_LIST[Id],0)),"")</f>
        <v>Cash from Operating Activities</v>
      </c>
      <c r="I95" s="15" t="str" cm="1">
        <f t="array" ref="I95">INDEX(BSSummarysCF,_xlfn.XMATCH($J95,BSAcctIDs))</f>
        <v>Accounts Payable</v>
      </c>
      <c r="J95" s="14">
        <v>7</v>
      </c>
      <c r="M95" s="66">
        <f>SUMIFS(Drivers!AI$68:AI$103,BSAcctIDs,$J95)</f>
        <v>0</v>
      </c>
      <c r="N95" s="66">
        <f>SUMIFS(Drivers!AJ$68:AJ$103,BSAcctIDs,$J95)</f>
        <v>0</v>
      </c>
      <c r="O95" s="66">
        <f>SUMIFS(Drivers!AK$68:AK$103,BSAcctIDs,$J95)</f>
        <v>0</v>
      </c>
      <c r="P95" s="66">
        <f>SUMIFS(Drivers!AL$68:AL$103,BSAcctIDs,$J95)</f>
        <v>0</v>
      </c>
      <c r="Q95" s="66">
        <f>SUMIFS(Drivers!AM$68:AM$103,BSAcctIDs,$J95)</f>
        <v>0</v>
      </c>
      <c r="R95" s="66">
        <f>SUMIFS(Drivers!AN$68:AN$103,BSAcctIDs,$J95)</f>
        <v>0</v>
      </c>
      <c r="S95" s="66">
        <f>SUMIFS(Drivers!AO$68:AO$103,BSAcctIDs,$J95)</f>
        <v>0</v>
      </c>
      <c r="T95" s="66">
        <f>SUMIFS(Drivers!AP$68:AP$103,BSAcctIDs,$J95)</f>
        <v>0</v>
      </c>
      <c r="U95" s="66">
        <f>SUMIFS(Drivers!AQ$68:AQ$103,BSAcctIDs,$J95)</f>
        <v>0</v>
      </c>
      <c r="V95" s="66">
        <f>SUMIFS(Drivers!AR$68:AR$103,BSAcctIDs,$J95)</f>
        <v>0</v>
      </c>
      <c r="W95" s="66">
        <f>SUMIFS(Drivers!AS$68:AS$103,BSAcctIDs,$J95)</f>
        <v>0</v>
      </c>
      <c r="X95" s="66">
        <f>SUMIFS(Drivers!AT$68:AT$103,BSAcctIDs,$J95)</f>
        <v>0</v>
      </c>
      <c r="Y95" s="66">
        <f>SUMIFS(Drivers!AU$68:AU$103,BSAcctIDs,$J95)</f>
        <v>0</v>
      </c>
      <c r="Z95" s="66">
        <f>SUMIFS(Drivers!AV$68:AV$103,BSAcctIDs,$J95)</f>
        <v>0</v>
      </c>
      <c r="AA95" s="66">
        <f>SUMIFS(Drivers!AW$68:AW$103,BSAcctIDs,$J95)</f>
        <v>0</v>
      </c>
      <c r="AB95" s="66">
        <f>SUMIFS(Drivers!AX$68:AX$103,BSAcctIDs,$J95)</f>
        <v>0</v>
      </c>
      <c r="AC95" s="66">
        <f>SUMIFS(Drivers!AY$68:AY$103,BSAcctIDs,$J95)</f>
        <v>0</v>
      </c>
      <c r="AD95" s="66">
        <f>SUMIFS(Drivers!AZ$68:AZ$103,BSAcctIDs,$J95)</f>
        <v>0</v>
      </c>
      <c r="AE95" s="66">
        <f>SUMIFS(Drivers!BA$68:BA$103,BSAcctIDs,$J95)</f>
        <v>1000</v>
      </c>
      <c r="AF95" s="66">
        <f>SUMIFS(Drivers!BB$68:BB$103,BSAcctIDs,$J95)</f>
        <v>1000</v>
      </c>
      <c r="AG95" s="66">
        <f>SUMIFS(Drivers!BC$68:BC$103,BSAcctIDs,$J95)</f>
        <v>1000</v>
      </c>
      <c r="AH95" s="66">
        <f>SUMIFS(Drivers!BD$68:BD$103,BSAcctIDs,$J95)</f>
        <v>1000</v>
      </c>
      <c r="AI95" s="66">
        <f>SUMIFS(Drivers!BE$68:BE$103,BSAcctIDs,$J95)</f>
        <v>1000</v>
      </c>
      <c r="AJ95" s="66">
        <f>SUMIFS(Drivers!BF$68:BF$103,BSAcctIDs,$J95)</f>
        <v>1000</v>
      </c>
      <c r="AK95" s="66">
        <f>SUMIFS(Drivers!BG$68:BG$103,BSAcctIDs,$J95)</f>
        <v>1000</v>
      </c>
      <c r="AL95" s="66">
        <f>SUMIFS(Drivers!BH$68:BH$103,BSAcctIDs,$J95)</f>
        <v>1000</v>
      </c>
      <c r="AM95" s="66">
        <f>SUMIFS(Drivers!BI$68:BI$103,BSAcctIDs,$J95)</f>
        <v>1000</v>
      </c>
      <c r="AN95" s="66">
        <f>SUMIFS(Drivers!BJ$68:BJ$103,BSAcctIDs,$J95)</f>
        <v>1000</v>
      </c>
      <c r="AO95" s="66">
        <f>SUMIFS(Drivers!BK$68:BK$103,BSAcctIDs,$J95)</f>
        <v>1000</v>
      </c>
      <c r="AP95" s="66">
        <f>SUMIFS(Drivers!BL$68:BL$103,BSAcctIDs,$J95)</f>
        <v>1000</v>
      </c>
      <c r="AQ95" s="66">
        <f>SUMIFS(Drivers!BM$68:BM$103,BSAcctIDs,$J95)</f>
        <v>1000</v>
      </c>
      <c r="AR95" s="66">
        <f>SUMIFS(Drivers!BN$68:BN$103,BSAcctIDs,$J95)</f>
        <v>1000</v>
      </c>
      <c r="AS95" s="66">
        <f>SUMIFS(Drivers!BO$68:BO$103,BSAcctIDs,$J95)</f>
        <v>1000</v>
      </c>
      <c r="AT95" s="66">
        <f>SUMIFS(Drivers!BP$68:BP$103,BSAcctIDs,$J95)</f>
        <v>1000</v>
      </c>
      <c r="AU95" s="66">
        <f>SUMIFS(Drivers!BQ$68:BQ$103,BSAcctIDs,$J95)</f>
        <v>1000</v>
      </c>
      <c r="AV95" s="66">
        <f>SUMIFS(Drivers!BR$68:BR$103,BSAcctIDs,$J95)</f>
        <v>1000</v>
      </c>
      <c r="AW95" s="66">
        <f>SUMIFS(Drivers!BS$68:BS$103,BSAcctIDs,$J95)</f>
        <v>1000</v>
      </c>
    </row>
    <row r="96" spans="2:49" ht="19.5" customHeight="1" outlineLevel="1">
      <c r="B96" s="22"/>
      <c r="C96" s="67"/>
      <c r="D96" s="26" t="s">
        <v>222</v>
      </c>
      <c r="E96" s="14" t="str">
        <f>IFERROR(INDEX(PBC_ACCOUNT_LIST[Drivers Section],MATCH('Data Summary'!J96,PBC_ACCOUNT_LIST[Id],0)),"")</f>
        <v>Liabilities</v>
      </c>
      <c r="F96" s="14" t="str">
        <f>IFERROR(INDEX(PBC_ACCOUNT_LIST[Summary Grouping],MATCH('Data Summary'!J96,PBC_ACCOUNT_LIST[Id],0)),"")</f>
        <v>Current Liabilities</v>
      </c>
      <c r="G96" s="15"/>
      <c r="H96" s="15" t="str">
        <f>IFERROR(INDEX(PBC_ACCOUNT_LIST[Cash Flow Section],MATCH('Data Summary'!J96,PBC_ACCOUNT_LIST[Id],0)),"")</f>
        <v>Cash from Operating Activities</v>
      </c>
      <c r="I96" s="15" t="str" cm="1">
        <f t="array" ref="I96">INDEX(BSSummarysCF,_xlfn.XMATCH($J96,BSAcctIDs))</f>
        <v>Current Liabilities</v>
      </c>
      <c r="J96" s="14">
        <v>63</v>
      </c>
      <c r="M96" s="66">
        <f>SUMIFS(Drivers!AI$68:AI$103,BSAcctIDs,$J96)</f>
        <v>-9180.5</v>
      </c>
      <c r="N96" s="66">
        <f>SUMIFS(Drivers!AJ$68:AJ$103,BSAcctIDs,$J96)</f>
        <v>-9180.5</v>
      </c>
      <c r="O96" s="66">
        <f>SUMIFS(Drivers!AK$68:AK$103,BSAcctIDs,$J96)</f>
        <v>-9180.5</v>
      </c>
      <c r="P96" s="66">
        <f>SUMIFS(Drivers!AL$68:AL$103,BSAcctIDs,$J96)</f>
        <v>-9180.5</v>
      </c>
      <c r="Q96" s="66">
        <f>SUMIFS(Drivers!AM$68:AM$103,BSAcctIDs,$J96)</f>
        <v>-9180.5</v>
      </c>
      <c r="R96" s="66">
        <f>SUMIFS(Drivers!AN$68:AN$103,BSAcctIDs,$J96)</f>
        <v>-9180.5</v>
      </c>
      <c r="S96" s="66">
        <f>SUMIFS(Drivers!AO$68:AO$103,BSAcctIDs,$J96)</f>
        <v>-9180.5</v>
      </c>
      <c r="T96" s="66">
        <f>SUMIFS(Drivers!AP$68:AP$103,BSAcctIDs,$J96)</f>
        <v>-9180.5</v>
      </c>
      <c r="U96" s="66">
        <f>SUMIFS(Drivers!AQ$68:AQ$103,BSAcctIDs,$J96)</f>
        <v>-9180.5</v>
      </c>
      <c r="V96" s="66">
        <f>SUMIFS(Drivers!AR$68:AR$103,BSAcctIDs,$J96)</f>
        <v>-9180.5</v>
      </c>
      <c r="W96" s="66">
        <f>SUMIFS(Drivers!AS$68:AS$103,BSAcctIDs,$J96)</f>
        <v>-9180.5</v>
      </c>
      <c r="X96" s="66">
        <f>SUMIFS(Drivers!AT$68:AT$103,BSAcctIDs,$J96)</f>
        <v>-9180.5</v>
      </c>
      <c r="Y96" s="66">
        <f>SUMIFS(Drivers!AU$68:AU$103,BSAcctIDs,$J96)</f>
        <v>-9180.5</v>
      </c>
      <c r="Z96" s="66">
        <f>SUMIFS(Drivers!AV$68:AV$103,BSAcctIDs,$J96)</f>
        <v>-9180.5</v>
      </c>
      <c r="AA96" s="66">
        <f>SUMIFS(Drivers!AW$68:AW$103,BSAcctIDs,$J96)</f>
        <v>-9180.5</v>
      </c>
      <c r="AB96" s="66">
        <f>SUMIFS(Drivers!AX$68:AX$103,BSAcctIDs,$J96)</f>
        <v>-9180.5</v>
      </c>
      <c r="AC96" s="66">
        <f>SUMIFS(Drivers!AY$68:AY$103,BSAcctIDs,$J96)</f>
        <v>-9180.5</v>
      </c>
      <c r="AD96" s="66">
        <f>SUMIFS(Drivers!AZ$68:AZ$103,BSAcctIDs,$J96)</f>
        <v>-9180.5</v>
      </c>
      <c r="AE96" s="66">
        <f>SUMIFS(Drivers!BA$68:BA$103,BSAcctIDs,$J96)</f>
        <v>-9180.5</v>
      </c>
      <c r="AF96" s="66">
        <f>SUMIFS(Drivers!BB$68:BB$103,BSAcctIDs,$J96)</f>
        <v>-9180.5</v>
      </c>
      <c r="AG96" s="66">
        <f>SUMIFS(Drivers!BC$68:BC$103,BSAcctIDs,$J96)</f>
        <v>-9180.5</v>
      </c>
      <c r="AH96" s="66">
        <f>SUMIFS(Drivers!BD$68:BD$103,BSAcctIDs,$J96)</f>
        <v>-9180.5</v>
      </c>
      <c r="AI96" s="66">
        <f>SUMIFS(Drivers!BE$68:BE$103,BSAcctIDs,$J96)</f>
        <v>-9180.5</v>
      </c>
      <c r="AJ96" s="66">
        <f>SUMIFS(Drivers!BF$68:BF$103,BSAcctIDs,$J96)</f>
        <v>-9180.5</v>
      </c>
      <c r="AK96" s="66">
        <f>SUMIFS(Drivers!BG$68:BG$103,BSAcctIDs,$J96)</f>
        <v>-9180.5</v>
      </c>
      <c r="AL96" s="66">
        <f>SUMIFS(Drivers!BH$68:BH$103,BSAcctIDs,$J96)</f>
        <v>-9180.5</v>
      </c>
      <c r="AM96" s="66">
        <f>SUMIFS(Drivers!BI$68:BI$103,BSAcctIDs,$J96)</f>
        <v>-9180.5</v>
      </c>
      <c r="AN96" s="66">
        <f>SUMIFS(Drivers!BJ$68:BJ$103,BSAcctIDs,$J96)</f>
        <v>-9180.5</v>
      </c>
      <c r="AO96" s="66">
        <f>SUMIFS(Drivers!BK$68:BK$103,BSAcctIDs,$J96)</f>
        <v>-9180.5</v>
      </c>
      <c r="AP96" s="66">
        <f>SUMIFS(Drivers!BL$68:BL$103,BSAcctIDs,$J96)</f>
        <v>-9180.5</v>
      </c>
      <c r="AQ96" s="66">
        <f>SUMIFS(Drivers!BM$68:BM$103,BSAcctIDs,$J96)</f>
        <v>-9180.5</v>
      </c>
      <c r="AR96" s="66">
        <f>SUMIFS(Drivers!BN$68:BN$103,BSAcctIDs,$J96)</f>
        <v>-9180.5</v>
      </c>
      <c r="AS96" s="66">
        <f>SUMIFS(Drivers!BO$68:BO$103,BSAcctIDs,$J96)</f>
        <v>-9180.5</v>
      </c>
      <c r="AT96" s="66">
        <f>SUMIFS(Drivers!BP$68:BP$103,BSAcctIDs,$J96)</f>
        <v>-9180.5</v>
      </c>
      <c r="AU96" s="66">
        <f>SUMIFS(Drivers!BQ$68:BQ$103,BSAcctIDs,$J96)</f>
        <v>-9180.5</v>
      </c>
      <c r="AV96" s="66">
        <f>SUMIFS(Drivers!BR$68:BR$103,BSAcctIDs,$J96)</f>
        <v>-9180.5</v>
      </c>
      <c r="AW96" s="66">
        <f>SUMIFS(Drivers!BS$68:BS$103,BSAcctIDs,$J96)</f>
        <v>-9180.5</v>
      </c>
    </row>
    <row r="97" spans="2:49" ht="19.5" customHeight="1" outlineLevel="1">
      <c r="B97" s="22"/>
      <c r="C97" s="67"/>
      <c r="D97" s="26" t="s">
        <v>223</v>
      </c>
      <c r="E97" s="14" t="str">
        <f>IFERROR(INDEX(PBC_ACCOUNT_LIST[Drivers Section],MATCH('Data Summary'!J97,PBC_ACCOUNT_LIST[Id],0)),"")</f>
        <v>Liabilities</v>
      </c>
      <c r="F97" s="14" t="str">
        <f>IFERROR(INDEX(PBC_ACCOUNT_LIST[Summary Grouping],MATCH('Data Summary'!J97,PBC_ACCOUNT_LIST[Id],0)),"")</f>
        <v>Debt</v>
      </c>
      <c r="G97" s="15"/>
      <c r="H97" s="15" t="str">
        <f>IFERROR(INDEX(PBC_ACCOUNT_LIST[Cash Flow Section],MATCH('Data Summary'!J97,PBC_ACCOUNT_LIST[Id],0)),"")</f>
        <v>Cash From Financing Activities</v>
      </c>
      <c r="I97" s="15" t="str" cm="1">
        <f t="array" ref="I97">INDEX(BSSummarysCF,_xlfn.XMATCH($J97,BSAcctIDs))</f>
        <v>Debt</v>
      </c>
      <c r="J97" s="14">
        <v>162</v>
      </c>
      <c r="M97" s="66">
        <f>SUMIFS(Drivers!AI$68:AI$103,BSAcctIDs,$J97)</f>
        <v>1500000</v>
      </c>
      <c r="N97" s="66">
        <f>SUMIFS(Drivers!AJ$68:AJ$103,BSAcctIDs,$J97)</f>
        <v>1500000</v>
      </c>
      <c r="O97" s="66">
        <f>SUMIFS(Drivers!AK$68:AK$103,BSAcctIDs,$J97)</f>
        <v>1500000</v>
      </c>
      <c r="P97" s="66">
        <f>SUMIFS(Drivers!AL$68:AL$103,BSAcctIDs,$J97)</f>
        <v>1500000</v>
      </c>
      <c r="Q97" s="66">
        <f>SUMIFS(Drivers!AM$68:AM$103,BSAcctIDs,$J97)</f>
        <v>1500000</v>
      </c>
      <c r="R97" s="66">
        <f>SUMIFS(Drivers!AN$68:AN$103,BSAcctIDs,$J97)</f>
        <v>1500000</v>
      </c>
      <c r="S97" s="66">
        <f>SUMIFS(Drivers!AO$68:AO$103,BSAcctIDs,$J97)</f>
        <v>1500000</v>
      </c>
      <c r="T97" s="66">
        <f>SUMIFS(Drivers!AP$68:AP$103,BSAcctIDs,$J97)</f>
        <v>1500000</v>
      </c>
      <c r="U97" s="66">
        <f>SUMIFS(Drivers!AQ$68:AQ$103,BSAcctIDs,$J97)</f>
        <v>1500000</v>
      </c>
      <c r="V97" s="66">
        <f>SUMIFS(Drivers!AR$68:AR$103,BSAcctIDs,$J97)</f>
        <v>1500000</v>
      </c>
      <c r="W97" s="66">
        <f>SUMIFS(Drivers!AS$68:AS$103,BSAcctIDs,$J97)</f>
        <v>1500000</v>
      </c>
      <c r="X97" s="66">
        <f>SUMIFS(Drivers!AT$68:AT$103,BSAcctIDs,$J97)</f>
        <v>1500000</v>
      </c>
      <c r="Y97" s="66">
        <f>SUMIFS(Drivers!AU$68:AU$103,BSAcctIDs,$J97)</f>
        <v>1500000</v>
      </c>
      <c r="Z97" s="66">
        <f>SUMIFS(Drivers!AV$68:AV$103,BSAcctIDs,$J97)</f>
        <v>1500000</v>
      </c>
      <c r="AA97" s="66">
        <f>SUMIFS(Drivers!AW$68:AW$103,BSAcctIDs,$J97)</f>
        <v>1500000</v>
      </c>
      <c r="AB97" s="66">
        <f>SUMIFS(Drivers!AX$68:AX$103,BSAcctIDs,$J97)</f>
        <v>1500000</v>
      </c>
      <c r="AC97" s="66">
        <f>SUMIFS(Drivers!AY$68:AY$103,BSAcctIDs,$J97)</f>
        <v>1500000</v>
      </c>
      <c r="AD97" s="66">
        <f>SUMIFS(Drivers!AZ$68:AZ$103,BSAcctIDs,$J97)</f>
        <v>1500000</v>
      </c>
      <c r="AE97" s="66">
        <f>SUMIFS(Drivers!BA$68:BA$103,BSAcctIDs,$J97)</f>
        <v>1500000</v>
      </c>
      <c r="AF97" s="66">
        <f>SUMIFS(Drivers!BB$68:BB$103,BSAcctIDs,$J97)</f>
        <v>1500000</v>
      </c>
      <c r="AG97" s="66">
        <f>SUMIFS(Drivers!BC$68:BC$103,BSAcctIDs,$J97)</f>
        <v>1500000</v>
      </c>
      <c r="AH97" s="66">
        <f>SUMIFS(Drivers!BD$68:BD$103,BSAcctIDs,$J97)</f>
        <v>1500000</v>
      </c>
      <c r="AI97" s="66">
        <f>SUMIFS(Drivers!BE$68:BE$103,BSAcctIDs,$J97)</f>
        <v>1500000</v>
      </c>
      <c r="AJ97" s="66">
        <f>SUMIFS(Drivers!BF$68:BF$103,BSAcctIDs,$J97)</f>
        <v>1500000</v>
      </c>
      <c r="AK97" s="66">
        <f>SUMIFS(Drivers!BG$68:BG$103,BSAcctIDs,$J97)</f>
        <v>2500000</v>
      </c>
      <c r="AL97" s="66">
        <f>SUMIFS(Drivers!BH$68:BH$103,BSAcctIDs,$J97)</f>
        <v>2500000</v>
      </c>
      <c r="AM97" s="66">
        <f>SUMIFS(Drivers!BI$68:BI$103,BSAcctIDs,$J97)</f>
        <v>2500000</v>
      </c>
      <c r="AN97" s="66">
        <f>SUMIFS(Drivers!BJ$68:BJ$103,BSAcctIDs,$J97)</f>
        <v>2500000</v>
      </c>
      <c r="AO97" s="66">
        <f>SUMIFS(Drivers!BK$68:BK$103,BSAcctIDs,$J97)</f>
        <v>2500000</v>
      </c>
      <c r="AP97" s="66">
        <f>SUMIFS(Drivers!BL$68:BL$103,BSAcctIDs,$J97)</f>
        <v>2500000</v>
      </c>
      <c r="AQ97" s="66">
        <f>SUMIFS(Drivers!BM$68:BM$103,BSAcctIDs,$J97)</f>
        <v>2500000</v>
      </c>
      <c r="AR97" s="66">
        <f>SUMIFS(Drivers!BN$68:BN$103,BSAcctIDs,$J97)</f>
        <v>2500000</v>
      </c>
      <c r="AS97" s="66">
        <f>SUMIFS(Drivers!BO$68:BO$103,BSAcctIDs,$J97)</f>
        <v>2500000</v>
      </c>
      <c r="AT97" s="66">
        <f>SUMIFS(Drivers!BP$68:BP$103,BSAcctIDs,$J97)</f>
        <v>2500000</v>
      </c>
      <c r="AU97" s="66">
        <f>SUMIFS(Drivers!BQ$68:BQ$103,BSAcctIDs,$J97)</f>
        <v>2500000</v>
      </c>
      <c r="AV97" s="66">
        <f>SUMIFS(Drivers!BR$68:BR$103,BSAcctIDs,$J97)</f>
        <v>2500000</v>
      </c>
      <c r="AW97" s="66">
        <f>SUMIFS(Drivers!BS$68:BS$103,BSAcctIDs,$J97)</f>
        <v>2500000</v>
      </c>
    </row>
    <row r="98" spans="2:49" ht="19.5" customHeight="1" outlineLevel="1">
      <c r="B98" s="22"/>
      <c r="C98" s="67"/>
      <c r="D98" s="26" t="s">
        <v>224</v>
      </c>
      <c r="E98" s="14" t="str">
        <f>IFERROR(INDEX(PBC_ACCOUNT_LIST[Drivers Section],MATCH('Data Summary'!J98,PBC_ACCOUNT_LIST[Id],0)),"")</f>
        <v>Liabilities</v>
      </c>
      <c r="F98" s="14" t="str">
        <f>IFERROR(INDEX(PBC_ACCOUNT_LIST[Summary Grouping],MATCH('Data Summary'!J98,PBC_ACCOUNT_LIST[Id],0)),"")</f>
        <v>Debt</v>
      </c>
      <c r="G98" s="15"/>
      <c r="H98" s="15" t="str">
        <f>IFERROR(INDEX(PBC_ACCOUNT_LIST[Cash Flow Section],MATCH('Data Summary'!J98,PBC_ACCOUNT_LIST[Id],0)),"")</f>
        <v>Cash From Financing Activities</v>
      </c>
      <c r="I98" s="15" t="str" cm="1">
        <f t="array" ref="I98">INDEX(BSSummarysCF,_xlfn.XMATCH($J98,BSAcctIDs))</f>
        <v>Debt</v>
      </c>
      <c r="J98" s="14">
        <v>163</v>
      </c>
      <c r="M98" s="66">
        <f>SUMIFS(Drivers!AI$68:AI$103,BSAcctIDs,$J98)</f>
        <v>30000</v>
      </c>
      <c r="N98" s="66">
        <f>SUMIFS(Drivers!AJ$68:AJ$103,BSAcctIDs,$J98)</f>
        <v>30000</v>
      </c>
      <c r="O98" s="66">
        <f>SUMIFS(Drivers!AK$68:AK$103,BSAcctIDs,$J98)</f>
        <v>30000</v>
      </c>
      <c r="P98" s="66">
        <f>SUMIFS(Drivers!AL$68:AL$103,BSAcctIDs,$J98)</f>
        <v>30000</v>
      </c>
      <c r="Q98" s="66">
        <f>SUMIFS(Drivers!AM$68:AM$103,BSAcctIDs,$J98)</f>
        <v>30000</v>
      </c>
      <c r="R98" s="66">
        <f>SUMIFS(Drivers!AN$68:AN$103,BSAcctIDs,$J98)</f>
        <v>30000</v>
      </c>
      <c r="S98" s="66">
        <f>SUMIFS(Drivers!AO$68:AO$103,BSAcctIDs,$J98)</f>
        <v>30000</v>
      </c>
      <c r="T98" s="66">
        <f>SUMIFS(Drivers!AP$68:AP$103,BSAcctIDs,$J98)</f>
        <v>30000</v>
      </c>
      <c r="U98" s="66">
        <f>SUMIFS(Drivers!AQ$68:AQ$103,BSAcctIDs,$J98)</f>
        <v>30000</v>
      </c>
      <c r="V98" s="66">
        <f>SUMIFS(Drivers!AR$68:AR$103,BSAcctIDs,$J98)</f>
        <v>30000</v>
      </c>
      <c r="W98" s="66">
        <f>SUMIFS(Drivers!AS$68:AS$103,BSAcctIDs,$J98)</f>
        <v>30000</v>
      </c>
      <c r="X98" s="66">
        <f>SUMIFS(Drivers!AT$68:AT$103,BSAcctIDs,$J98)</f>
        <v>30000</v>
      </c>
      <c r="Y98" s="66">
        <f>SUMIFS(Drivers!AU$68:AU$103,BSAcctIDs,$J98)</f>
        <v>30000</v>
      </c>
      <c r="Z98" s="66">
        <f>SUMIFS(Drivers!AV$68:AV$103,BSAcctIDs,$J98)</f>
        <v>30000</v>
      </c>
      <c r="AA98" s="66">
        <f>SUMIFS(Drivers!AW$68:AW$103,BSAcctIDs,$J98)</f>
        <v>30000</v>
      </c>
      <c r="AB98" s="66">
        <f>SUMIFS(Drivers!AX$68:AX$103,BSAcctIDs,$J98)</f>
        <v>30000</v>
      </c>
      <c r="AC98" s="66">
        <f>SUMIFS(Drivers!AY$68:AY$103,BSAcctIDs,$J98)</f>
        <v>30000</v>
      </c>
      <c r="AD98" s="66">
        <f>SUMIFS(Drivers!AZ$68:AZ$103,BSAcctIDs,$J98)</f>
        <v>30000</v>
      </c>
      <c r="AE98" s="66">
        <f>SUMIFS(Drivers!BA$68:BA$103,BSAcctIDs,$J98)</f>
        <v>30000</v>
      </c>
      <c r="AF98" s="66">
        <f>SUMIFS(Drivers!BB$68:BB$103,BSAcctIDs,$J98)</f>
        <v>30000</v>
      </c>
      <c r="AG98" s="66">
        <f>SUMIFS(Drivers!BC$68:BC$103,BSAcctIDs,$J98)</f>
        <v>30000</v>
      </c>
      <c r="AH98" s="66">
        <f>SUMIFS(Drivers!BD$68:BD$103,BSAcctIDs,$J98)</f>
        <v>30000</v>
      </c>
      <c r="AI98" s="66">
        <f>SUMIFS(Drivers!BE$68:BE$103,BSAcctIDs,$J98)</f>
        <v>30000</v>
      </c>
      <c r="AJ98" s="66">
        <f>SUMIFS(Drivers!BF$68:BF$103,BSAcctIDs,$J98)</f>
        <v>30000</v>
      </c>
      <c r="AK98" s="66">
        <f>SUMIFS(Drivers!BG$68:BG$103,BSAcctIDs,$J98)</f>
        <v>30000</v>
      </c>
      <c r="AL98" s="66">
        <f>SUMIFS(Drivers!BH$68:BH$103,BSAcctIDs,$J98)</f>
        <v>30000</v>
      </c>
      <c r="AM98" s="66">
        <f>SUMIFS(Drivers!BI$68:BI$103,BSAcctIDs,$J98)</f>
        <v>30000</v>
      </c>
      <c r="AN98" s="66">
        <f>SUMIFS(Drivers!BJ$68:BJ$103,BSAcctIDs,$J98)</f>
        <v>30000</v>
      </c>
      <c r="AO98" s="66">
        <f>SUMIFS(Drivers!BK$68:BK$103,BSAcctIDs,$J98)</f>
        <v>30000</v>
      </c>
      <c r="AP98" s="66">
        <f>SUMIFS(Drivers!BL$68:BL$103,BSAcctIDs,$J98)</f>
        <v>30000</v>
      </c>
      <c r="AQ98" s="66">
        <f>SUMIFS(Drivers!BM$68:BM$103,BSAcctIDs,$J98)</f>
        <v>30000</v>
      </c>
      <c r="AR98" s="66">
        <f>SUMIFS(Drivers!BN$68:BN$103,BSAcctIDs,$J98)</f>
        <v>30000</v>
      </c>
      <c r="AS98" s="66">
        <f>SUMIFS(Drivers!BO$68:BO$103,BSAcctIDs,$J98)</f>
        <v>30000</v>
      </c>
      <c r="AT98" s="66">
        <f>SUMIFS(Drivers!BP$68:BP$103,BSAcctIDs,$J98)</f>
        <v>30000</v>
      </c>
      <c r="AU98" s="66">
        <f>SUMIFS(Drivers!BQ$68:BQ$103,BSAcctIDs,$J98)</f>
        <v>30000</v>
      </c>
      <c r="AV98" s="66">
        <f>SUMIFS(Drivers!BR$68:BR$103,BSAcctIDs,$J98)</f>
        <v>30000</v>
      </c>
      <c r="AW98" s="66">
        <f>SUMIFS(Drivers!BS$68:BS$103,BSAcctIDs,$J98)</f>
        <v>30000</v>
      </c>
    </row>
    <row r="99" spans="2:49" ht="19.5" customHeight="1" outlineLevel="1">
      <c r="B99" s="22"/>
      <c r="C99" s="67"/>
      <c r="D99" s="26" t="s">
        <v>226</v>
      </c>
      <c r="E99" s="14" t="str">
        <f>IFERROR(INDEX(PBC_ACCOUNT_LIST[Drivers Section],MATCH('Data Summary'!J99,PBC_ACCOUNT_LIST[Id],0)),"")</f>
        <v>Owners Equity</v>
      </c>
      <c r="F99" s="14" t="str">
        <f>IFERROR(INDEX(PBC_ACCOUNT_LIST[Summary Grouping],MATCH('Data Summary'!J99,PBC_ACCOUNT_LIST[Id],0)),"")</f>
        <v>Contributed Capital</v>
      </c>
      <c r="G99" s="15"/>
      <c r="H99" s="15" t="str">
        <f>IFERROR(INDEX(PBC_ACCOUNT_LIST[Cash Flow Section],MATCH('Data Summary'!J99,PBC_ACCOUNT_LIST[Id],0)),"")</f>
        <v>Cash From Financing Activities</v>
      </c>
      <c r="I99" s="15" t="str" cm="1">
        <f t="array" ref="I99">INDEX(BSSummarysCF,_xlfn.XMATCH($J99,BSAcctIDs))</f>
        <v>Contributed Capital</v>
      </c>
      <c r="J99" s="14">
        <v>196</v>
      </c>
      <c r="M99" s="66">
        <f>SUMIFS(Drivers!AI$68:AI$103,BSAcctIDs,$J99)</f>
        <v>500000</v>
      </c>
      <c r="N99" s="66">
        <f>SUMIFS(Drivers!AJ$68:AJ$103,BSAcctIDs,$J99)</f>
        <v>500000</v>
      </c>
      <c r="O99" s="66">
        <f>SUMIFS(Drivers!AK$68:AK$103,BSAcctIDs,$J99)</f>
        <v>500000</v>
      </c>
      <c r="P99" s="66">
        <f>SUMIFS(Drivers!AL$68:AL$103,BSAcctIDs,$J99)</f>
        <v>500000</v>
      </c>
      <c r="Q99" s="66">
        <f>SUMIFS(Drivers!AM$68:AM$103,BSAcctIDs,$J99)</f>
        <v>500000</v>
      </c>
      <c r="R99" s="66">
        <f>SUMIFS(Drivers!AN$68:AN$103,BSAcctIDs,$J99)</f>
        <v>500000</v>
      </c>
      <c r="S99" s="66">
        <f>SUMIFS(Drivers!AO$68:AO$103,BSAcctIDs,$J99)</f>
        <v>500000</v>
      </c>
      <c r="T99" s="66">
        <f>SUMIFS(Drivers!AP$68:AP$103,BSAcctIDs,$J99)</f>
        <v>500000</v>
      </c>
      <c r="U99" s="66">
        <f>SUMIFS(Drivers!AQ$68:AQ$103,BSAcctIDs,$J99)</f>
        <v>500000</v>
      </c>
      <c r="V99" s="66">
        <f>SUMIFS(Drivers!AR$68:AR$103,BSAcctIDs,$J99)</f>
        <v>500000</v>
      </c>
      <c r="W99" s="66">
        <f>SUMIFS(Drivers!AS$68:AS$103,BSAcctIDs,$J99)</f>
        <v>500000</v>
      </c>
      <c r="X99" s="66">
        <f>SUMIFS(Drivers!AT$68:AT$103,BSAcctIDs,$J99)</f>
        <v>500000</v>
      </c>
      <c r="Y99" s="66">
        <f>SUMIFS(Drivers!AU$68:AU$103,BSAcctIDs,$J99)</f>
        <v>500000</v>
      </c>
      <c r="Z99" s="66">
        <f>SUMIFS(Drivers!AV$68:AV$103,BSAcctIDs,$J99)</f>
        <v>500000</v>
      </c>
      <c r="AA99" s="66">
        <f>SUMIFS(Drivers!AW$68:AW$103,BSAcctIDs,$J99)</f>
        <v>500000</v>
      </c>
      <c r="AB99" s="66">
        <f>SUMIFS(Drivers!AX$68:AX$103,BSAcctIDs,$J99)</f>
        <v>500000</v>
      </c>
      <c r="AC99" s="66">
        <f>SUMIFS(Drivers!AY$68:AY$103,BSAcctIDs,$J99)</f>
        <v>500000</v>
      </c>
      <c r="AD99" s="66">
        <f>SUMIFS(Drivers!AZ$68:AZ$103,BSAcctIDs,$J99)</f>
        <v>500000</v>
      </c>
      <c r="AE99" s="66">
        <f>SUMIFS(Drivers!BA$68:BA$103,BSAcctIDs,$J99)</f>
        <v>500000</v>
      </c>
      <c r="AF99" s="66">
        <f>SUMIFS(Drivers!BB$68:BB$103,BSAcctIDs,$J99)</f>
        <v>500000</v>
      </c>
      <c r="AG99" s="66">
        <f>SUMIFS(Drivers!BC$68:BC$103,BSAcctIDs,$J99)</f>
        <v>500000</v>
      </c>
      <c r="AH99" s="66">
        <f>SUMIFS(Drivers!BD$68:BD$103,BSAcctIDs,$J99)</f>
        <v>500000</v>
      </c>
      <c r="AI99" s="66">
        <f>SUMIFS(Drivers!BE$68:BE$103,BSAcctIDs,$J99)</f>
        <v>500000</v>
      </c>
      <c r="AJ99" s="66">
        <f>SUMIFS(Drivers!BF$68:BF$103,BSAcctIDs,$J99)</f>
        <v>500000</v>
      </c>
      <c r="AK99" s="66">
        <f>SUMIFS(Drivers!BG$68:BG$103,BSAcctIDs,$J99)</f>
        <v>500000</v>
      </c>
      <c r="AL99" s="66">
        <f>SUMIFS(Drivers!BH$68:BH$103,BSAcctIDs,$J99)</f>
        <v>500000</v>
      </c>
      <c r="AM99" s="66">
        <f>SUMIFS(Drivers!BI$68:BI$103,BSAcctIDs,$J99)</f>
        <v>500000</v>
      </c>
      <c r="AN99" s="66">
        <f>SUMIFS(Drivers!BJ$68:BJ$103,BSAcctIDs,$J99)</f>
        <v>500000</v>
      </c>
      <c r="AO99" s="66">
        <f>SUMIFS(Drivers!BK$68:BK$103,BSAcctIDs,$J99)</f>
        <v>500000</v>
      </c>
      <c r="AP99" s="66">
        <f>SUMIFS(Drivers!BL$68:BL$103,BSAcctIDs,$J99)</f>
        <v>500000</v>
      </c>
      <c r="AQ99" s="66">
        <f>SUMIFS(Drivers!BM$68:BM$103,BSAcctIDs,$J99)</f>
        <v>500000</v>
      </c>
      <c r="AR99" s="66">
        <f>SUMIFS(Drivers!BN$68:BN$103,BSAcctIDs,$J99)</f>
        <v>500000</v>
      </c>
      <c r="AS99" s="66">
        <f>SUMIFS(Drivers!BO$68:BO$103,BSAcctIDs,$J99)</f>
        <v>500000</v>
      </c>
      <c r="AT99" s="66">
        <f>SUMIFS(Drivers!BP$68:BP$103,BSAcctIDs,$J99)</f>
        <v>500000</v>
      </c>
      <c r="AU99" s="66">
        <f>SUMIFS(Drivers!BQ$68:BQ$103,BSAcctIDs,$J99)</f>
        <v>500000</v>
      </c>
      <c r="AV99" s="66">
        <f>SUMIFS(Drivers!BR$68:BR$103,BSAcctIDs,$J99)</f>
        <v>500000</v>
      </c>
      <c r="AW99" s="66">
        <f>SUMIFS(Drivers!BS$68:BS$103,BSAcctIDs,$J99)</f>
        <v>500000</v>
      </c>
    </row>
    <row r="100" spans="2:49" ht="19.5" customHeight="1" outlineLevel="1">
      <c r="B100" s="22"/>
      <c r="C100" s="67"/>
      <c r="D100" s="26" t="s">
        <v>227</v>
      </c>
      <c r="E100" s="14" t="str">
        <f>IFERROR(INDEX(PBC_ACCOUNT_LIST[Drivers Section],MATCH('Data Summary'!J100,PBC_ACCOUNT_LIST[Id],0)),"")</f>
        <v>Owners Equity</v>
      </c>
      <c r="F100" s="14" t="str">
        <f>IFERROR(INDEX(PBC_ACCOUNT_LIST[Summary Grouping],MATCH('Data Summary'!J100,PBC_ACCOUNT_LIST[Id],0)),"")</f>
        <v>Contributed Capital</v>
      </c>
      <c r="G100" s="15"/>
      <c r="H100" s="15" t="str">
        <f>IFERROR(INDEX(PBC_ACCOUNT_LIST[Cash Flow Section],MATCH('Data Summary'!J100,PBC_ACCOUNT_LIST[Id],0)),"")</f>
        <v>Cash From Financing Activities</v>
      </c>
      <c r="I100" s="15" t="str" cm="1">
        <f t="array" ref="I100">INDEX(BSSummarysCF,_xlfn.XMATCH($J100,BSAcctIDs))</f>
        <v>Contributed Capital</v>
      </c>
      <c r="J100" s="14">
        <v>197</v>
      </c>
      <c r="M100" s="66">
        <f>SUMIFS(Drivers!AI$68:AI$103,BSAcctIDs,$J100)</f>
        <v>0</v>
      </c>
      <c r="N100" s="66">
        <f>SUMIFS(Drivers!AJ$68:AJ$103,BSAcctIDs,$J100)</f>
        <v>0</v>
      </c>
      <c r="O100" s="66">
        <f>SUMIFS(Drivers!AK$68:AK$103,BSAcctIDs,$J100)</f>
        <v>0</v>
      </c>
      <c r="P100" s="66">
        <f>SUMIFS(Drivers!AL$68:AL$103,BSAcctIDs,$J100)</f>
        <v>0</v>
      </c>
      <c r="Q100" s="66">
        <f>SUMIFS(Drivers!AM$68:AM$103,BSAcctIDs,$J100)</f>
        <v>0</v>
      </c>
      <c r="R100" s="66">
        <f>SUMIFS(Drivers!AN$68:AN$103,BSAcctIDs,$J100)</f>
        <v>0</v>
      </c>
      <c r="S100" s="66">
        <f>SUMIFS(Drivers!AO$68:AO$103,BSAcctIDs,$J100)</f>
        <v>0</v>
      </c>
      <c r="T100" s="66">
        <f>SUMIFS(Drivers!AP$68:AP$103,BSAcctIDs,$J100)</f>
        <v>0</v>
      </c>
      <c r="U100" s="66">
        <f>SUMIFS(Drivers!AQ$68:AQ$103,BSAcctIDs,$J100)</f>
        <v>0</v>
      </c>
      <c r="V100" s="66">
        <f>SUMIFS(Drivers!AR$68:AR$103,BSAcctIDs,$J100)</f>
        <v>0</v>
      </c>
      <c r="W100" s="66">
        <f>SUMIFS(Drivers!AS$68:AS$103,BSAcctIDs,$J100)</f>
        <v>0</v>
      </c>
      <c r="X100" s="66">
        <f>SUMIFS(Drivers!AT$68:AT$103,BSAcctIDs,$J100)</f>
        <v>0</v>
      </c>
      <c r="Y100" s="66">
        <f>SUMIFS(Drivers!AU$68:AU$103,BSAcctIDs,$J100)</f>
        <v>0</v>
      </c>
      <c r="Z100" s="66">
        <f>SUMIFS(Drivers!AV$68:AV$103,BSAcctIDs,$J100)</f>
        <v>0</v>
      </c>
      <c r="AA100" s="66">
        <f>SUMIFS(Drivers!AW$68:AW$103,BSAcctIDs,$J100)</f>
        <v>0</v>
      </c>
      <c r="AB100" s="66">
        <f>SUMIFS(Drivers!AX$68:AX$103,BSAcctIDs,$J100)</f>
        <v>0</v>
      </c>
      <c r="AC100" s="66">
        <f>SUMIFS(Drivers!AY$68:AY$103,BSAcctIDs,$J100)</f>
        <v>0</v>
      </c>
      <c r="AD100" s="66">
        <f>SUMIFS(Drivers!AZ$68:AZ$103,BSAcctIDs,$J100)</f>
        <v>0</v>
      </c>
      <c r="AE100" s="66">
        <f>SUMIFS(Drivers!BA$68:BA$103,BSAcctIDs,$J100)</f>
        <v>0</v>
      </c>
      <c r="AF100" s="66">
        <f>SUMIFS(Drivers!BB$68:BB$103,BSAcctIDs,$J100)</f>
        <v>0</v>
      </c>
      <c r="AG100" s="66">
        <f>SUMIFS(Drivers!BC$68:BC$103,BSAcctIDs,$J100)</f>
        <v>0</v>
      </c>
      <c r="AH100" s="66">
        <f>SUMIFS(Drivers!BD$68:BD$103,BSAcctIDs,$J100)</f>
        <v>0</v>
      </c>
      <c r="AI100" s="66">
        <f>SUMIFS(Drivers!BE$68:BE$103,BSAcctIDs,$J100)</f>
        <v>0</v>
      </c>
      <c r="AJ100" s="66">
        <f>SUMIFS(Drivers!BF$68:BF$103,BSAcctIDs,$J100)</f>
        <v>0</v>
      </c>
      <c r="AK100" s="66">
        <f>SUMIFS(Drivers!BG$68:BG$103,BSAcctIDs,$J100)</f>
        <v>0</v>
      </c>
      <c r="AL100" s="66">
        <f>SUMIFS(Drivers!BH$68:BH$103,BSAcctIDs,$J100)</f>
        <v>0</v>
      </c>
      <c r="AM100" s="66">
        <f>SUMIFS(Drivers!BI$68:BI$103,BSAcctIDs,$J100)</f>
        <v>0</v>
      </c>
      <c r="AN100" s="66">
        <f>SUMIFS(Drivers!BJ$68:BJ$103,BSAcctIDs,$J100)</f>
        <v>0</v>
      </c>
      <c r="AO100" s="66">
        <f>SUMIFS(Drivers!BK$68:BK$103,BSAcctIDs,$J100)</f>
        <v>0</v>
      </c>
      <c r="AP100" s="66">
        <f>SUMIFS(Drivers!BL$68:BL$103,BSAcctIDs,$J100)</f>
        <v>0</v>
      </c>
      <c r="AQ100" s="66">
        <f>SUMIFS(Drivers!BM$68:BM$103,BSAcctIDs,$J100)</f>
        <v>0</v>
      </c>
      <c r="AR100" s="66">
        <f>SUMIFS(Drivers!BN$68:BN$103,BSAcctIDs,$J100)</f>
        <v>0</v>
      </c>
      <c r="AS100" s="66">
        <f>SUMIFS(Drivers!BO$68:BO$103,BSAcctIDs,$J100)</f>
        <v>0</v>
      </c>
      <c r="AT100" s="66">
        <f>SUMIFS(Drivers!BP$68:BP$103,BSAcctIDs,$J100)</f>
        <v>0</v>
      </c>
      <c r="AU100" s="66">
        <f>SUMIFS(Drivers!BQ$68:BQ$103,BSAcctIDs,$J100)</f>
        <v>0</v>
      </c>
      <c r="AV100" s="66">
        <f>SUMIFS(Drivers!BR$68:BR$103,BSAcctIDs,$J100)</f>
        <v>0</v>
      </c>
      <c r="AW100" s="66">
        <f>SUMIFS(Drivers!BS$68:BS$103,BSAcctIDs,$J100)</f>
        <v>0</v>
      </c>
    </row>
    <row r="101" spans="2:49" ht="19.5" customHeight="1" outlineLevel="1">
      <c r="B101" s="22"/>
      <c r="C101" s="67"/>
      <c r="D101" s="26" t="s">
        <v>228</v>
      </c>
      <c r="E101" s="14" t="str">
        <f>IFERROR(INDEX(PBC_ACCOUNT_LIST[Drivers Section],MATCH('Data Summary'!J101,PBC_ACCOUNT_LIST[Id],0)),"")</f>
        <v>Owners Equity</v>
      </c>
      <c r="F101" s="14" t="str">
        <f>IFERROR(INDEX(PBC_ACCOUNT_LIST[Summary Grouping],MATCH('Data Summary'!J101,PBC_ACCOUNT_LIST[Id],0)),"")</f>
        <v>Contributed Capital</v>
      </c>
      <c r="G101" s="15"/>
      <c r="H101" s="15" t="str">
        <f>IFERROR(INDEX(PBC_ACCOUNT_LIST[Cash Flow Section],MATCH('Data Summary'!J101,PBC_ACCOUNT_LIST[Id],0)),"")</f>
        <v>Cash From Financing Activities</v>
      </c>
      <c r="I101" s="15" t="str" cm="1">
        <f t="array" ref="I101">INDEX(BSSummarysCF,_xlfn.XMATCH($J101,BSAcctIDs))</f>
        <v>Contributed Capital</v>
      </c>
      <c r="J101" s="14">
        <v>198</v>
      </c>
      <c r="M101" s="66">
        <f>SUMIFS(Drivers!AI$68:AI$103,BSAcctIDs,$J101)</f>
        <v>3000000</v>
      </c>
      <c r="N101" s="66">
        <f>SUMIFS(Drivers!AJ$68:AJ$103,BSAcctIDs,$J101)</f>
        <v>3000000</v>
      </c>
      <c r="O101" s="66">
        <f>SUMIFS(Drivers!AK$68:AK$103,BSAcctIDs,$J101)</f>
        <v>3000000</v>
      </c>
      <c r="P101" s="66">
        <f>SUMIFS(Drivers!AL$68:AL$103,BSAcctIDs,$J101)</f>
        <v>3000000</v>
      </c>
      <c r="Q101" s="66">
        <f>SUMIFS(Drivers!AM$68:AM$103,BSAcctIDs,$J101)</f>
        <v>3000000</v>
      </c>
      <c r="R101" s="66">
        <f>SUMIFS(Drivers!AN$68:AN$103,BSAcctIDs,$J101)</f>
        <v>3000000</v>
      </c>
      <c r="S101" s="66">
        <f>SUMIFS(Drivers!AO$68:AO$103,BSAcctIDs,$J101)</f>
        <v>3000000</v>
      </c>
      <c r="T101" s="66">
        <f>SUMIFS(Drivers!AP$68:AP$103,BSAcctIDs,$J101)</f>
        <v>3000000</v>
      </c>
      <c r="U101" s="66">
        <f>SUMIFS(Drivers!AQ$68:AQ$103,BSAcctIDs,$J101)</f>
        <v>3000000</v>
      </c>
      <c r="V101" s="66">
        <f>SUMIFS(Drivers!AR$68:AR$103,BSAcctIDs,$J101)</f>
        <v>3000000</v>
      </c>
      <c r="W101" s="66">
        <f>SUMIFS(Drivers!AS$68:AS$103,BSAcctIDs,$J101)</f>
        <v>3000000</v>
      </c>
      <c r="X101" s="66">
        <f>SUMIFS(Drivers!AT$68:AT$103,BSAcctIDs,$J101)</f>
        <v>3000000</v>
      </c>
      <c r="Y101" s="66">
        <f>SUMIFS(Drivers!AU$68:AU$103,BSAcctIDs,$J101)</f>
        <v>3000000</v>
      </c>
      <c r="Z101" s="66">
        <f>SUMIFS(Drivers!AV$68:AV$103,BSAcctIDs,$J101)</f>
        <v>3000000</v>
      </c>
      <c r="AA101" s="66">
        <f>SUMIFS(Drivers!AW$68:AW$103,BSAcctIDs,$J101)</f>
        <v>3000000</v>
      </c>
      <c r="AB101" s="66">
        <f>SUMIFS(Drivers!AX$68:AX$103,BSAcctIDs,$J101)</f>
        <v>3000000</v>
      </c>
      <c r="AC101" s="66">
        <f>SUMIFS(Drivers!AY$68:AY$103,BSAcctIDs,$J101)</f>
        <v>3000000</v>
      </c>
      <c r="AD101" s="66">
        <f>SUMIFS(Drivers!AZ$68:AZ$103,BSAcctIDs,$J101)</f>
        <v>3000000</v>
      </c>
      <c r="AE101" s="66">
        <f>SUMIFS(Drivers!BA$68:BA$103,BSAcctIDs,$J101)</f>
        <v>3000000</v>
      </c>
      <c r="AF101" s="66">
        <f>SUMIFS(Drivers!BB$68:BB$103,BSAcctIDs,$J101)</f>
        <v>3000000</v>
      </c>
      <c r="AG101" s="66">
        <f>SUMIFS(Drivers!BC$68:BC$103,BSAcctIDs,$J101)</f>
        <v>3000000</v>
      </c>
      <c r="AH101" s="66">
        <f>SUMIFS(Drivers!BD$68:BD$103,BSAcctIDs,$J101)</f>
        <v>3000000</v>
      </c>
      <c r="AI101" s="66">
        <f>SUMIFS(Drivers!BE$68:BE$103,BSAcctIDs,$J101)</f>
        <v>4000000</v>
      </c>
      <c r="AJ101" s="66">
        <f>SUMIFS(Drivers!BF$68:BF$103,BSAcctIDs,$J101)</f>
        <v>4000000</v>
      </c>
      <c r="AK101" s="66">
        <f>SUMIFS(Drivers!BG$68:BG$103,BSAcctIDs,$J101)</f>
        <v>4000000</v>
      </c>
      <c r="AL101" s="66">
        <f>SUMIFS(Drivers!BH$68:BH$103,BSAcctIDs,$J101)</f>
        <v>4000000</v>
      </c>
      <c r="AM101" s="66">
        <f>SUMIFS(Drivers!BI$68:BI$103,BSAcctIDs,$J101)</f>
        <v>4000000</v>
      </c>
      <c r="AN101" s="66">
        <f>SUMIFS(Drivers!BJ$68:BJ$103,BSAcctIDs,$J101)</f>
        <v>4000000</v>
      </c>
      <c r="AO101" s="66">
        <f>SUMIFS(Drivers!BK$68:BK$103,BSAcctIDs,$J101)</f>
        <v>4000000</v>
      </c>
      <c r="AP101" s="66">
        <f>SUMIFS(Drivers!BL$68:BL$103,BSAcctIDs,$J101)</f>
        <v>4000000</v>
      </c>
      <c r="AQ101" s="66">
        <f>SUMIFS(Drivers!BM$68:BM$103,BSAcctIDs,$J101)</f>
        <v>4000000</v>
      </c>
      <c r="AR101" s="66">
        <f>SUMIFS(Drivers!BN$68:BN$103,BSAcctIDs,$J101)</f>
        <v>4000000</v>
      </c>
      <c r="AS101" s="66">
        <f>SUMIFS(Drivers!BO$68:BO$103,BSAcctIDs,$J101)</f>
        <v>4000000</v>
      </c>
      <c r="AT101" s="66">
        <f>SUMIFS(Drivers!BP$68:BP$103,BSAcctIDs,$J101)</f>
        <v>4000000</v>
      </c>
      <c r="AU101" s="66">
        <f>SUMIFS(Drivers!BQ$68:BQ$103,BSAcctIDs,$J101)</f>
        <v>4000000</v>
      </c>
      <c r="AV101" s="66">
        <f>SUMIFS(Drivers!BR$68:BR$103,BSAcctIDs,$J101)</f>
        <v>4000000</v>
      </c>
      <c r="AW101" s="66">
        <f>SUMIFS(Drivers!BS$68:BS$103,BSAcctIDs,$J101)</f>
        <v>4000000</v>
      </c>
    </row>
    <row r="102" spans="2:49" ht="19.5" customHeight="1" outlineLevel="1">
      <c r="B102" s="22"/>
      <c r="C102" s="67"/>
      <c r="D102" s="26" t="s">
        <v>229</v>
      </c>
      <c r="E102" s="14" t="str">
        <f>IFERROR(INDEX(PBC_ACCOUNT_LIST[Drivers Section],MATCH('Data Summary'!J102,PBC_ACCOUNT_LIST[Id],0)),"")</f>
        <v>Owners Equity</v>
      </c>
      <c r="F102" s="14" t="str">
        <f>IFERROR(INDEX(PBC_ACCOUNT_LIST[Summary Grouping],MATCH('Data Summary'!J102,PBC_ACCOUNT_LIST[Id],0)),"")</f>
        <v>Retained Earnings</v>
      </c>
      <c r="G102" s="15"/>
      <c r="H102" s="15">
        <f>IFERROR(INDEX(PBC_ACCOUNT_LIST[Cash Flow Section],MATCH('Data Summary'!J102,PBC_ACCOUNT_LIST[Id],0)),"")</f>
        <v>0</v>
      </c>
      <c r="I102" s="15" cm="1">
        <f t="array" ref="I102">INDEX(BSSummarysCF,_xlfn.XMATCH($J102,BSAcctIDs))</f>
        <v>0</v>
      </c>
      <c r="J102" s="14">
        <v>4</v>
      </c>
      <c r="M102" s="66">
        <f>SUMIFS(Drivers!AI$68:AI$103,BSAcctIDs,$J102)</f>
        <v>0</v>
      </c>
      <c r="N102" s="66">
        <f>SUMIFS(Drivers!AJ$68:AJ$103,BSAcctIDs,$J102)</f>
        <v>-659921.5</v>
      </c>
      <c r="O102" s="66">
        <f>SUMIFS(Drivers!AK$68:AK$103,BSAcctIDs,$J102)</f>
        <v>-659921.5</v>
      </c>
      <c r="P102" s="66">
        <f>SUMIFS(Drivers!AL$68:AL$103,BSAcctIDs,$J102)</f>
        <v>-659921.5</v>
      </c>
      <c r="Q102" s="66">
        <f>SUMIFS(Drivers!AM$68:AM$103,BSAcctIDs,$J102)</f>
        <v>-659921.5</v>
      </c>
      <c r="R102" s="66">
        <f>SUMIFS(Drivers!AN$68:AN$103,BSAcctIDs,$J102)</f>
        <v>-659921.5</v>
      </c>
      <c r="S102" s="66">
        <f>SUMIFS(Drivers!AO$68:AO$103,BSAcctIDs,$J102)</f>
        <v>-659921.5</v>
      </c>
      <c r="T102" s="66">
        <f>SUMIFS(Drivers!AP$68:AP$103,BSAcctIDs,$J102)</f>
        <v>-659921.5</v>
      </c>
      <c r="U102" s="66">
        <f>SUMIFS(Drivers!AQ$68:AQ$103,BSAcctIDs,$J102)</f>
        <v>-659921.5</v>
      </c>
      <c r="V102" s="66">
        <f>SUMIFS(Drivers!AR$68:AR$103,BSAcctIDs,$J102)</f>
        <v>-659921.5</v>
      </c>
      <c r="W102" s="66">
        <f>SUMIFS(Drivers!AS$68:AS$103,BSAcctIDs,$J102)</f>
        <v>-659921.5</v>
      </c>
      <c r="X102" s="66">
        <f>SUMIFS(Drivers!AT$68:AT$103,BSAcctIDs,$J102)</f>
        <v>-659921.5</v>
      </c>
      <c r="Y102" s="66">
        <f>SUMIFS(Drivers!AU$68:AU$103,BSAcctIDs,$J102)</f>
        <v>-659921.5</v>
      </c>
      <c r="Z102" s="66">
        <f>SUMIFS(Drivers!AV$68:AV$103,BSAcctIDs,$J102)</f>
        <v>-2213404</v>
      </c>
      <c r="AA102" s="66">
        <f>SUMIFS(Drivers!AW$68:AW$103,BSAcctIDs,$J102)</f>
        <v>-2213404</v>
      </c>
      <c r="AB102" s="66">
        <f>SUMIFS(Drivers!AX$68:AX$103,BSAcctIDs,$J102)</f>
        <v>-2213404</v>
      </c>
      <c r="AC102" s="66">
        <f>SUMIFS(Drivers!AY$68:AY$103,BSAcctIDs,$J102)</f>
        <v>-2213404</v>
      </c>
      <c r="AD102" s="66">
        <f>SUMIFS(Drivers!AZ$68:AZ$103,BSAcctIDs,$J102)</f>
        <v>-2213404</v>
      </c>
      <c r="AE102" s="66">
        <f>SUMIFS(Drivers!BA$68:BA$103,BSAcctIDs,$J102)</f>
        <v>-2213404</v>
      </c>
      <c r="AF102" s="66">
        <f>SUMIFS(Drivers!BB$68:BB$103,BSAcctIDs,$J102)</f>
        <v>-2213404</v>
      </c>
      <c r="AG102" s="66">
        <f>SUMIFS(Drivers!BC$68:BC$103,BSAcctIDs,$J102)</f>
        <v>-2213404</v>
      </c>
      <c r="AH102" s="66">
        <f>SUMIFS(Drivers!BD$68:BD$103,BSAcctIDs,$J102)</f>
        <v>-2213404</v>
      </c>
      <c r="AI102" s="66">
        <f>SUMIFS(Drivers!BE$68:BE$103,BSAcctIDs,$J102)</f>
        <v>-4071410.01</v>
      </c>
      <c r="AJ102" s="66">
        <f>SUMIFS(Drivers!BF$68:BF$103,BSAcctIDs,$J102)</f>
        <v>-4301574.1715000002</v>
      </c>
      <c r="AK102" s="66">
        <f>SUMIFS(Drivers!BG$68:BG$103,BSAcctIDs,$J102)</f>
        <v>-4537519.3707625</v>
      </c>
      <c r="AL102" s="66">
        <f>SUMIFS(Drivers!BH$68:BH$103,BSAcctIDs,$J102)</f>
        <v>-4778720.0893959375</v>
      </c>
      <c r="AM102" s="66">
        <f>SUMIFS(Drivers!BI$68:BI$103,BSAcctIDs,$J102)</f>
        <v>-5025777.7970402269</v>
      </c>
      <c r="AN102" s="66">
        <f>SUMIFS(Drivers!BJ$68:BJ$103,BSAcctIDs,$J102)</f>
        <v>-5276903.144772267</v>
      </c>
      <c r="AO102" s="66">
        <f>SUMIFS(Drivers!BK$68:BK$103,BSAcctIDs,$J102)</f>
        <v>-5530853.9301074138</v>
      </c>
      <c r="AP102" s="66">
        <f>SUMIFS(Drivers!BL$68:BL$103,BSAcctIDs,$J102)</f>
        <v>-5786256.6161262114</v>
      </c>
      <c r="AQ102" s="66">
        <f>SUMIFS(Drivers!BM$68:BM$103,BSAcctIDs,$J102)</f>
        <v>-6046076.0439357981</v>
      </c>
      <c r="AR102" s="66">
        <f>SUMIFS(Drivers!BN$68:BN$103,BSAcctIDs,$J102)</f>
        <v>-6310073.4617411252</v>
      </c>
      <c r="AS102" s="66">
        <f>SUMIFS(Drivers!BO$68:BO$103,BSAcctIDs,$J102)</f>
        <v>-6578060.3019015333</v>
      </c>
      <c r="AT102" s="66">
        <f>SUMIFS(Drivers!BP$68:BP$103,BSAcctIDs,$J102)</f>
        <v>-6849709.740252262</v>
      </c>
      <c r="AU102" s="66">
        <f>SUMIFS(Drivers!BQ$68:BQ$103,BSAcctIDs,$J102)</f>
        <v>-7124950.8944612611</v>
      </c>
      <c r="AV102" s="66">
        <f>SUMIFS(Drivers!BR$68:BR$103,BSAcctIDs,$J102)</f>
        <v>-7403917.8632231839</v>
      </c>
      <c r="AW102" s="66">
        <f>SUMIFS(Drivers!BS$68:BS$103,BSAcctIDs,$J102)</f>
        <v>-7687008.581465154</v>
      </c>
    </row>
    <row r="103" spans="2:49" ht="19.5" customHeight="1" outlineLevel="1">
      <c r="B103" s="22"/>
      <c r="C103" s="67"/>
      <c r="D103" s="26" t="s">
        <v>197</v>
      </c>
      <c r="E103" s="14" t="str">
        <f>IFERROR(INDEX(PBC_ACCOUNT_LIST[Drivers Section],MATCH('Data Summary'!J103,PBC_ACCOUNT_LIST[Id],0)),"")</f>
        <v>Owners Equity</v>
      </c>
      <c r="F103" s="14" t="str">
        <f>IFERROR(INDEX(PBC_ACCOUNT_LIST[Summary Grouping],MATCH('Data Summary'!J103,PBC_ACCOUNT_LIST[Id],0)),"")</f>
        <v>Retained Earnings</v>
      </c>
      <c r="G103" s="15"/>
      <c r="H103" s="15">
        <f>IFERROR(INDEX(PBC_ACCOUNT_LIST[Cash Flow Section],MATCH('Data Summary'!J103,PBC_ACCOUNT_LIST[Id],0)),"")</f>
        <v>0</v>
      </c>
      <c r="I103" s="15" cm="1">
        <f t="array" ref="I103">INDEX(BSSummarysCF,_xlfn.XMATCH($J103,BSAcctIDs))</f>
        <v>0</v>
      </c>
      <c r="J103" s="14">
        <v>999</v>
      </c>
      <c r="M103" s="66">
        <f>SUMIFS(Drivers!AI$68:AI$103,BSAcctIDs,$J103)</f>
        <v>-659921.5</v>
      </c>
      <c r="N103" s="66">
        <f>SUMIFS(Drivers!AJ$68:AJ$103,BSAcctIDs,$J103)</f>
        <v>-72804.5</v>
      </c>
      <c r="O103" s="66">
        <f>SUMIFS(Drivers!AK$68:AK$103,BSAcctIDs,$J103)</f>
        <v>-202124.5</v>
      </c>
      <c r="P103" s="66">
        <f>SUMIFS(Drivers!AL$68:AL$103,BSAcctIDs,$J103)</f>
        <v>-277494</v>
      </c>
      <c r="Q103" s="66">
        <f>SUMIFS(Drivers!AM$68:AM$103,BSAcctIDs,$J103)</f>
        <v>-412204.5</v>
      </c>
      <c r="R103" s="66">
        <f>SUMIFS(Drivers!AN$68:AN$103,BSAcctIDs,$J103)</f>
        <v>-490267</v>
      </c>
      <c r="S103" s="66">
        <f>SUMIFS(Drivers!AO$68:AO$103,BSAcctIDs,$J103)</f>
        <v>-630639</v>
      </c>
      <c r="T103" s="66">
        <f>SUMIFS(Drivers!AP$68:AP$103,BSAcctIDs,$J103)</f>
        <v>-776955</v>
      </c>
      <c r="U103" s="66">
        <f>SUMIFS(Drivers!AQ$68:AQ$103,BSAcctIDs,$J103)</f>
        <v>-923270</v>
      </c>
      <c r="V103" s="66">
        <f>SUMIFS(Drivers!AR$68:AR$103,BSAcctIDs,$J103)</f>
        <v>-1075826</v>
      </c>
      <c r="W103" s="66">
        <f>SUMIFS(Drivers!AS$68:AS$103,BSAcctIDs,$J103)</f>
        <v>-1228383</v>
      </c>
      <c r="X103" s="66">
        <f>SUMIFS(Drivers!AT$68:AT$103,BSAcctIDs,$J103)</f>
        <v>-1387493</v>
      </c>
      <c r="Y103" s="66">
        <f>SUMIFS(Drivers!AU$68:AU$103,BSAcctIDs,$J103)</f>
        <v>-1553482.5</v>
      </c>
      <c r="Z103" s="66">
        <f>SUMIFS(Drivers!AV$68:AV$103,BSAcctIDs,$J103)</f>
        <v>-173214.91</v>
      </c>
      <c r="AA103" s="66">
        <f>SUMIFS(Drivers!AW$68:AW$103,BSAcctIDs,$J103)</f>
        <v>-354015.57</v>
      </c>
      <c r="AB103" s="66">
        <f>SUMIFS(Drivers!AX$68:AX$103,BSAcctIDs,$J103)</f>
        <v>-542782.23</v>
      </c>
      <c r="AC103" s="66">
        <f>SUMIFS(Drivers!AY$68:AY$103,BSAcctIDs,$J103)</f>
        <v>-739911.89</v>
      </c>
      <c r="AD103" s="66">
        <f>SUMIFS(Drivers!AZ$68:AZ$103,BSAcctIDs,$J103)</f>
        <v>-945825.55</v>
      </c>
      <c r="AE103" s="66">
        <f>SUMIFS(Drivers!BA$68:BA$103,BSAcctIDs,$J103)</f>
        <v>-1153557.76</v>
      </c>
      <c r="AF103" s="66">
        <f>SUMIFS(Drivers!BB$68:BB$103,BSAcctIDs,$J103)</f>
        <v>-1377371.81</v>
      </c>
      <c r="AG103" s="66">
        <f>SUMIFS(Drivers!BC$68:BC$103,BSAcctIDs,$J103)</f>
        <v>-1612351.8</v>
      </c>
      <c r="AH103" s="66">
        <f>SUMIFS(Drivers!BD$68:BD$103,BSAcctIDs,$J103)</f>
        <v>-1858006.01</v>
      </c>
      <c r="AI103" s="66">
        <f>SUMIFS(Drivers!BE$68:BE$103,BSAcctIDs,$J103)</f>
        <v>-230164.16149999999</v>
      </c>
      <c r="AJ103" s="66">
        <f>SUMIFS(Drivers!BF$68:BF$103,BSAcctIDs,$J103)</f>
        <v>-235945.19926249995</v>
      </c>
      <c r="AK103" s="66">
        <f>SUMIFS(Drivers!BG$68:BG$103,BSAcctIDs,$J103)</f>
        <v>-241200.71863343753</v>
      </c>
      <c r="AL103" s="66">
        <f>SUMIFS(Drivers!BH$68:BH$103,BSAcctIDs,$J103)</f>
        <v>-247057.70764428913</v>
      </c>
      <c r="AM103" s="66">
        <f>SUMIFS(Drivers!BI$68:BI$103,BSAcctIDs,$J103)</f>
        <v>-251125.34773203966</v>
      </c>
      <c r="AN103" s="66">
        <f>SUMIFS(Drivers!BJ$68:BJ$103,BSAcctIDs,$J103)</f>
        <v>-253950.78533514662</v>
      </c>
      <c r="AO103" s="66">
        <f>SUMIFS(Drivers!BK$68:BK$103,BSAcctIDs,$J103)</f>
        <v>-255402.68601879734</v>
      </c>
      <c r="AP103" s="66">
        <f>SUMIFS(Drivers!BL$68:BL$103,BSAcctIDs,$J103)</f>
        <v>-259819.42780958675</v>
      </c>
      <c r="AQ103" s="66">
        <f>SUMIFS(Drivers!BM$68:BM$103,BSAcctIDs,$J103)</f>
        <v>-263997.41780532687</v>
      </c>
      <c r="AR103" s="66">
        <f>SUMIFS(Drivers!BN$68:BN$103,BSAcctIDs,$J103)</f>
        <v>-267986.84016040765</v>
      </c>
      <c r="AS103" s="66">
        <f>SUMIFS(Drivers!BO$68:BO$103,BSAcctIDs,$J103)</f>
        <v>-271649.43835072836</v>
      </c>
      <c r="AT103" s="66">
        <f>SUMIFS(Drivers!BP$68:BP$103,BSAcctIDs,$J103)</f>
        <v>-275241.15420899884</v>
      </c>
      <c r="AU103" s="66">
        <f>SUMIFS(Drivers!BQ$68:BQ$103,BSAcctIDs,$J103)</f>
        <v>-278966.96876192308</v>
      </c>
      <c r="AV103" s="66">
        <f>SUMIFS(Drivers!BR$68:BR$103,BSAcctIDs,$J103)</f>
        <v>-283090.71824197011</v>
      </c>
      <c r="AW103" s="66">
        <f>SUMIFS(Drivers!BS$68:BS$103,BSAcctIDs,$J103)</f>
        <v>-287163.1940676372</v>
      </c>
    </row>
    <row r="104" spans="2:49" ht="16.5" customHeight="1" outlineLevel="1">
      <c r="D104" s="5" t="s">
        <v>230</v>
      </c>
      <c r="E104" s="14" t="str">
        <f>IFERROR(INDEX(PBC_ACCOUNT_LIST[Drivers Section],MATCH('Data Summary'!J104,PBC_ACCOUNT_LIST[Id],0)),"")</f>
        <v>Owners Equity</v>
      </c>
      <c r="F104" s="14" t="str">
        <f>IFERROR(INDEX(PBC_ACCOUNT_LIST[Summary Grouping],MATCH('Data Summary'!J104,PBC_ACCOUNT_LIST[Id],0)),"")</f>
        <v>Contributed Capital</v>
      </c>
      <c r="G104" s="15"/>
      <c r="H104" s="15" t="str">
        <f>IFERROR(INDEX(PBC_ACCOUNT_LIST[Cash Flow Section],MATCH('Data Summary'!J104,PBC_ACCOUNT_LIST[Id],0)),"")</f>
        <v>Cash From Financing Activities</v>
      </c>
      <c r="I104" s="15" t="str" cm="1">
        <f t="array" ref="I104">INDEX(BSSummarysCF,_xlfn.XMATCH($J104,BSAcctIDs))</f>
        <v>Contributed Capital</v>
      </c>
      <c r="J104" s="14">
        <v>59</v>
      </c>
      <c r="M104" s="66">
        <f>SUMIFS(Drivers!AI$68:AI$103,BSAcctIDs,$J104)</f>
        <v>0</v>
      </c>
      <c r="N104" s="66">
        <f>SUMIFS(Drivers!AJ$68:AJ$103,BSAcctIDs,$J104)</f>
        <v>0</v>
      </c>
      <c r="O104" s="66">
        <f>SUMIFS(Drivers!AK$68:AK$103,BSAcctIDs,$J104)</f>
        <v>0</v>
      </c>
      <c r="P104" s="66">
        <f>SUMIFS(Drivers!AL$68:AL$103,BSAcctIDs,$J104)</f>
        <v>0</v>
      </c>
      <c r="Q104" s="66">
        <f>SUMIFS(Drivers!AM$68:AM$103,BSAcctIDs,$J104)</f>
        <v>0</v>
      </c>
      <c r="R104" s="66">
        <f>SUMIFS(Drivers!AN$68:AN$103,BSAcctIDs,$J104)</f>
        <v>0</v>
      </c>
      <c r="S104" s="66">
        <f>SUMIFS(Drivers!AO$68:AO$103,BSAcctIDs,$J104)</f>
        <v>0</v>
      </c>
      <c r="T104" s="66">
        <f>SUMIFS(Drivers!AP$68:AP$103,BSAcctIDs,$J104)</f>
        <v>0</v>
      </c>
      <c r="U104" s="66">
        <f>SUMIFS(Drivers!AQ$68:AQ$103,BSAcctIDs,$J104)</f>
        <v>0</v>
      </c>
      <c r="V104" s="66">
        <f>SUMIFS(Drivers!AR$68:AR$103,BSAcctIDs,$J104)</f>
        <v>0</v>
      </c>
      <c r="W104" s="66">
        <f>SUMIFS(Drivers!AS$68:AS$103,BSAcctIDs,$J104)</f>
        <v>0</v>
      </c>
      <c r="X104" s="66">
        <f>SUMIFS(Drivers!AT$68:AT$103,BSAcctIDs,$J104)</f>
        <v>0</v>
      </c>
      <c r="Y104" s="66">
        <f>SUMIFS(Drivers!AU$68:AU$103,BSAcctIDs,$J104)</f>
        <v>0</v>
      </c>
      <c r="Z104" s="66">
        <f>SUMIFS(Drivers!AV$68:AV$103,BSAcctIDs,$J104)</f>
        <v>0</v>
      </c>
      <c r="AA104" s="66">
        <f>SUMIFS(Drivers!AW$68:AW$103,BSAcctIDs,$J104)</f>
        <v>0</v>
      </c>
      <c r="AB104" s="66">
        <f>SUMIFS(Drivers!AX$68:AX$103,BSAcctIDs,$J104)</f>
        <v>0</v>
      </c>
      <c r="AC104" s="66">
        <f>SUMIFS(Drivers!AY$68:AY$103,BSAcctIDs,$J104)</f>
        <v>0</v>
      </c>
      <c r="AD104" s="66">
        <f>SUMIFS(Drivers!AZ$68:AZ$103,BSAcctIDs,$J104)</f>
        <v>0</v>
      </c>
      <c r="AE104" s="66">
        <f>SUMIFS(Drivers!BA$68:BA$103,BSAcctIDs,$J104)</f>
        <v>0</v>
      </c>
      <c r="AF104" s="66">
        <f>SUMIFS(Drivers!BB$68:BB$103,BSAcctIDs,$J104)</f>
        <v>0</v>
      </c>
      <c r="AG104" s="66">
        <f>SUMIFS(Drivers!BC$68:BC$103,BSAcctIDs,$J104)</f>
        <v>0</v>
      </c>
      <c r="AH104" s="66">
        <f>SUMIFS(Drivers!BD$68:BD$103,BSAcctIDs,$J104)</f>
        <v>0</v>
      </c>
      <c r="AI104" s="66">
        <f>SUMIFS(Drivers!BE$68:BE$103,BSAcctIDs,$J104)</f>
        <v>0</v>
      </c>
      <c r="AJ104" s="66">
        <f>SUMIFS(Drivers!BF$68:BF$103,BSAcctIDs,$J104)</f>
        <v>0</v>
      </c>
      <c r="AK104" s="66">
        <f>SUMIFS(Drivers!BG$68:BG$103,BSAcctIDs,$J104)</f>
        <v>0</v>
      </c>
      <c r="AL104" s="66">
        <f>SUMIFS(Drivers!BH$68:BH$103,BSAcctIDs,$J104)</f>
        <v>0</v>
      </c>
      <c r="AM104" s="66">
        <f>SUMIFS(Drivers!BI$68:BI$103,BSAcctIDs,$J104)</f>
        <v>0</v>
      </c>
      <c r="AN104" s="66">
        <f>SUMIFS(Drivers!BJ$68:BJ$103,BSAcctIDs,$J104)</f>
        <v>0</v>
      </c>
      <c r="AO104" s="66">
        <f>SUMIFS(Drivers!BK$68:BK$103,BSAcctIDs,$J104)</f>
        <v>0</v>
      </c>
      <c r="AP104" s="66">
        <f>SUMIFS(Drivers!BL$68:BL$103,BSAcctIDs,$J104)</f>
        <v>0</v>
      </c>
      <c r="AQ104" s="66">
        <f>SUMIFS(Drivers!BM$68:BM$103,BSAcctIDs,$J104)</f>
        <v>0</v>
      </c>
      <c r="AR104" s="66">
        <f>SUMIFS(Drivers!BN$68:BN$103,BSAcctIDs,$J104)</f>
        <v>0</v>
      </c>
      <c r="AS104" s="66">
        <f>SUMIFS(Drivers!BO$68:BO$103,BSAcctIDs,$J104)</f>
        <v>0</v>
      </c>
      <c r="AT104" s="66">
        <f>SUMIFS(Drivers!BP$68:BP$103,BSAcctIDs,$J104)</f>
        <v>0</v>
      </c>
      <c r="AU104" s="66">
        <f>SUMIFS(Drivers!BQ$68:BQ$103,BSAcctIDs,$J104)</f>
        <v>0</v>
      </c>
      <c r="AV104" s="66">
        <f>SUMIFS(Drivers!BR$68:BR$103,BSAcctIDs,$J104)</f>
        <v>0</v>
      </c>
      <c r="AW104" s="66">
        <f>SUMIFS(Drivers!BS$68:BS$103,BSAcctIDs,$J104)</f>
        <v>0</v>
      </c>
    </row>
    <row r="105" spans="2:49" ht="18.75" customHeight="1">
      <c r="G105" s="13"/>
      <c r="H105" s="13"/>
      <c r="J105" s="65"/>
    </row>
    <row r="106" spans="2:49" ht="18.75" customHeight="1">
      <c r="B106" s="61" t="s">
        <v>231</v>
      </c>
      <c r="C106" s="64"/>
      <c r="G106" s="13"/>
      <c r="H106" s="13"/>
    </row>
    <row r="107" spans="2:49" ht="18.75" customHeight="1" outlineLevel="2">
      <c r="B107" s="61"/>
      <c r="C107" s="61"/>
      <c r="D107" s="61" t="s">
        <v>244</v>
      </c>
      <c r="E107" s="61" t="s">
        <v>33</v>
      </c>
      <c r="G107" s="13"/>
      <c r="H107" s="13"/>
      <c r="M107" s="62">
        <f>SUMIFS(M$12:M$25,dataSummaryPLSections,$E107)-SUMIFS(Drivers!AI$10:AI$66,PLSections,$E107)</f>
        <v>0</v>
      </c>
      <c r="N107" s="62">
        <f>SUMIFS(N$12:N$25,dataSummaryPLSections,$E107)-SUMIFS(Drivers!AJ$10:AJ$66,PLSections,$E107)</f>
        <v>0</v>
      </c>
      <c r="O107" s="62">
        <f>SUMIFS(O$12:O$25,dataSummaryPLSections,$E107)-SUMIFS(Drivers!AK$10:AK$66,PLSections,$E107)</f>
        <v>0</v>
      </c>
      <c r="P107" s="62">
        <f>SUMIFS(P$12:P$25,dataSummaryPLSections,$E107)-SUMIFS(Drivers!AL$10:AL$66,PLSections,$E107)</f>
        <v>0</v>
      </c>
      <c r="Q107" s="62">
        <f>SUMIFS(Q$12:Q$25,dataSummaryPLSections,$E107)-SUMIFS(Drivers!AM$10:AM$66,PLSections,$E107)</f>
        <v>0</v>
      </c>
      <c r="R107" s="62">
        <f>SUMIFS(R$12:R$25,dataSummaryPLSections,$E107)-SUMIFS(Drivers!AN$10:AN$66,PLSections,$E107)</f>
        <v>0</v>
      </c>
      <c r="S107" s="62">
        <f>SUMIFS(S$12:S$25,dataSummaryPLSections,$E107)-SUMIFS(Drivers!AO$10:AO$66,PLSections,$E107)</f>
        <v>0</v>
      </c>
      <c r="T107" s="62">
        <f>SUMIFS(T$12:T$25,dataSummaryPLSections,$E107)-SUMIFS(Drivers!AP$10:AP$66,PLSections,$E107)</f>
        <v>0</v>
      </c>
      <c r="U107" s="62">
        <f>SUMIFS(U$12:U$25,dataSummaryPLSections,$E107)-SUMIFS(Drivers!AQ$10:AQ$66,PLSections,$E107)</f>
        <v>0</v>
      </c>
      <c r="V107" s="62">
        <f>SUMIFS(V$12:V$25,dataSummaryPLSections,$E107)-SUMIFS(Drivers!AR$10:AR$66,PLSections,$E107)</f>
        <v>0</v>
      </c>
      <c r="W107" s="62">
        <f>SUMIFS(W$12:W$25,dataSummaryPLSections,$E107)-SUMIFS(Drivers!AS$10:AS$66,PLSections,$E107)</f>
        <v>0</v>
      </c>
      <c r="X107" s="62">
        <f>SUMIFS(X$12:X$25,dataSummaryPLSections,$E107)-SUMIFS(Drivers!AT$10:AT$66,PLSections,$E107)</f>
        <v>0</v>
      </c>
      <c r="Y107" s="62">
        <f>SUMIFS(Y$12:Y$25,dataSummaryPLSections,$E107)-SUMIFS(Drivers!AU$10:AU$66,PLSections,$E107)</f>
        <v>0</v>
      </c>
      <c r="Z107" s="62">
        <f>SUMIFS(Z$12:Z$25,dataSummaryPLSections,$E107)-SUMIFS(Drivers!AV$10:AV$66,PLSections,$E107)</f>
        <v>0</v>
      </c>
      <c r="AA107" s="62">
        <f>SUMIFS(AA$12:AA$25,dataSummaryPLSections,$E107)-SUMIFS(Drivers!AW$10:AW$66,PLSections,$E107)</f>
        <v>0</v>
      </c>
      <c r="AB107" s="62">
        <f>SUMIFS(AB$12:AB$25,dataSummaryPLSections,$E107)-SUMIFS(Drivers!AX$10:AX$66,PLSections,$E107)</f>
        <v>0</v>
      </c>
      <c r="AC107" s="62">
        <f>SUMIFS(AC$12:AC$25,dataSummaryPLSections,$E107)-SUMIFS(Drivers!AY$10:AY$66,PLSections,$E107)</f>
        <v>0</v>
      </c>
      <c r="AD107" s="62">
        <f>SUMIFS(AD$12:AD$25,dataSummaryPLSections,$E107)-SUMIFS(Drivers!AZ$10:AZ$66,PLSections,$E107)</f>
        <v>0</v>
      </c>
      <c r="AE107" s="62">
        <f>SUMIFS(AE$12:AE$25,dataSummaryPLSections,$E107)-SUMIFS(Drivers!BA$10:BA$66,PLSections,$E107)</f>
        <v>0</v>
      </c>
      <c r="AF107" s="62">
        <f>SUMIFS(AF$12:AF$25,dataSummaryPLSections,$E107)-SUMIFS(Drivers!BB$10:BB$66,PLSections,$E107)</f>
        <v>0</v>
      </c>
      <c r="AG107" s="62">
        <f>SUMIFS(AG$12:AG$25,dataSummaryPLSections,$E107)-SUMIFS(Drivers!BC$10:BC$66,PLSections,$E107)</f>
        <v>0</v>
      </c>
      <c r="AH107" s="62">
        <f>SUMIFS(AH$12:AH$25,dataSummaryPLSections,$E107)-SUMIFS(Drivers!BD$10:BD$66,PLSections,$E107)</f>
        <v>0</v>
      </c>
      <c r="AI107" s="62">
        <f>SUMIFS(AI$12:AI$25,dataSummaryPLSections,$E107)-SUMIFS(Drivers!BE$10:BE$66,PLSections,$E107)</f>
        <v>0</v>
      </c>
      <c r="AJ107" s="62">
        <f>SUMIFS(AJ$12:AJ$25,dataSummaryPLSections,$E107)-SUMIFS(Drivers!BF$10:BF$66,PLSections,$E107)</f>
        <v>0</v>
      </c>
      <c r="AK107" s="62">
        <f>SUMIFS(AK$12:AK$25,dataSummaryPLSections,$E107)-SUMIFS(Drivers!BG$10:BG$66,PLSections,$E107)</f>
        <v>0</v>
      </c>
      <c r="AL107" s="62">
        <f>SUMIFS(AL$12:AL$25,dataSummaryPLSections,$E107)-SUMIFS(Drivers!BH$10:BH$66,PLSections,$E107)</f>
        <v>0</v>
      </c>
      <c r="AM107" s="62">
        <f>SUMIFS(AM$12:AM$25,dataSummaryPLSections,$E107)-SUMIFS(Drivers!BI$10:BI$66,PLSections,$E107)</f>
        <v>0</v>
      </c>
      <c r="AN107" s="62">
        <f>SUMIFS(AN$12:AN$25,dataSummaryPLSections,$E107)-SUMIFS(Drivers!BJ$10:BJ$66,PLSections,$E107)</f>
        <v>0</v>
      </c>
      <c r="AO107" s="62">
        <f>SUMIFS(AO$12:AO$25,dataSummaryPLSections,$E107)-SUMIFS(Drivers!BK$10:BK$66,PLSections,$E107)</f>
        <v>0</v>
      </c>
      <c r="AP107" s="62">
        <f>SUMIFS(AP$12:AP$25,dataSummaryPLSections,$E107)-SUMIFS(Drivers!BL$10:BL$66,PLSections,$E107)</f>
        <v>0</v>
      </c>
      <c r="AQ107" s="62">
        <f>SUMIFS(AQ$12:AQ$25,dataSummaryPLSections,$E107)-SUMIFS(Drivers!BM$10:BM$66,PLSections,$E107)</f>
        <v>0</v>
      </c>
      <c r="AR107" s="62">
        <f>SUMIFS(AR$12:AR$25,dataSummaryPLSections,$E107)-SUMIFS(Drivers!BN$10:BN$66,PLSections,$E107)</f>
        <v>0</v>
      </c>
      <c r="AS107" s="62">
        <f>SUMIFS(AS$12:AS$25,dataSummaryPLSections,$E107)-SUMIFS(Drivers!BO$10:BO$66,PLSections,$E107)</f>
        <v>0</v>
      </c>
      <c r="AT107" s="62">
        <f>SUMIFS(AT$12:AT$25,dataSummaryPLSections,$E107)-SUMIFS(Drivers!BP$10:BP$66,PLSections,$E107)</f>
        <v>0</v>
      </c>
      <c r="AU107" s="62">
        <f>SUMIFS(AU$12:AU$25,dataSummaryPLSections,$E107)-SUMIFS(Drivers!BQ$10:BQ$66,PLSections,$E107)</f>
        <v>0</v>
      </c>
      <c r="AV107" s="62">
        <f>SUMIFS(AV$12:AV$25,dataSummaryPLSections,$E107)-SUMIFS(Drivers!BR$10:BR$66,PLSections,$E107)</f>
        <v>0</v>
      </c>
      <c r="AW107" s="62">
        <f>SUMIFS(AW$12:AW$25,dataSummaryPLSections,$E107)-SUMIFS(Drivers!BS$10:BS$66,PLSections,$E107)</f>
        <v>0</v>
      </c>
    </row>
    <row r="108" spans="2:49" ht="18.75" customHeight="1" outlineLevel="2">
      <c r="C108" s="61"/>
      <c r="D108" s="61" t="s">
        <v>245</v>
      </c>
      <c r="E108" s="61" t="s">
        <v>143</v>
      </c>
      <c r="G108" s="13"/>
      <c r="H108" s="13"/>
      <c r="M108" s="62">
        <f>SUMIFS(M$12:M$25,dataSummaryPLSections,$E108)-SUMIFS(Drivers!AI$10:AI$66,PLSections,$E108)</f>
        <v>0</v>
      </c>
      <c r="N108" s="62">
        <f>SUMIFS(N$12:N$25,dataSummaryPLSections,$E108)-SUMIFS(Drivers!AJ$10:AJ$66,PLSections,$E108)</f>
        <v>0</v>
      </c>
      <c r="O108" s="62">
        <f>SUMIFS(O$12:O$25,dataSummaryPLSections,$E108)-SUMIFS(Drivers!AK$10:AK$66,PLSections,$E108)</f>
        <v>0</v>
      </c>
      <c r="P108" s="62">
        <f>SUMIFS(P$12:P$25,dataSummaryPLSections,$E108)-SUMIFS(Drivers!AL$10:AL$66,PLSections,$E108)</f>
        <v>0</v>
      </c>
      <c r="Q108" s="62">
        <f>SUMIFS(Q$12:Q$25,dataSummaryPLSections,$E108)-SUMIFS(Drivers!AM$10:AM$66,PLSections,$E108)</f>
        <v>0</v>
      </c>
      <c r="R108" s="62">
        <f>SUMIFS(R$12:R$25,dataSummaryPLSections,$E108)-SUMIFS(Drivers!AN$10:AN$66,PLSections,$E108)</f>
        <v>0</v>
      </c>
      <c r="S108" s="62">
        <f>SUMIFS(S$12:S$25,dataSummaryPLSections,$E108)-SUMIFS(Drivers!AO$10:AO$66,PLSections,$E108)</f>
        <v>0</v>
      </c>
      <c r="T108" s="62">
        <f>SUMIFS(T$12:T$25,dataSummaryPLSections,$E108)-SUMIFS(Drivers!AP$10:AP$66,PLSections,$E108)</f>
        <v>0</v>
      </c>
      <c r="U108" s="62">
        <f>SUMIFS(U$12:U$25,dataSummaryPLSections,$E108)-SUMIFS(Drivers!AQ$10:AQ$66,PLSections,$E108)</f>
        <v>0</v>
      </c>
      <c r="V108" s="62">
        <f>SUMIFS(V$12:V$25,dataSummaryPLSections,$E108)-SUMIFS(Drivers!AR$10:AR$66,PLSections,$E108)</f>
        <v>0</v>
      </c>
      <c r="W108" s="62">
        <f>SUMIFS(W$12:W$25,dataSummaryPLSections,$E108)-SUMIFS(Drivers!AS$10:AS$66,PLSections,$E108)</f>
        <v>0</v>
      </c>
      <c r="X108" s="62">
        <f>SUMIFS(X$12:X$25,dataSummaryPLSections,$E108)-SUMIFS(Drivers!AT$10:AT$66,PLSections,$E108)</f>
        <v>0</v>
      </c>
      <c r="Y108" s="62">
        <f>SUMIFS(Y$12:Y$25,dataSummaryPLSections,$E108)-SUMIFS(Drivers!AU$10:AU$66,PLSections,$E108)</f>
        <v>0</v>
      </c>
      <c r="Z108" s="62">
        <f>SUMIFS(Z$12:Z$25,dataSummaryPLSections,$E108)-SUMIFS(Drivers!AV$10:AV$66,PLSections,$E108)</f>
        <v>0</v>
      </c>
      <c r="AA108" s="62">
        <f>SUMIFS(AA$12:AA$25,dataSummaryPLSections,$E108)-SUMIFS(Drivers!AW$10:AW$66,PLSections,$E108)</f>
        <v>0</v>
      </c>
      <c r="AB108" s="62">
        <f>SUMIFS(AB$12:AB$25,dataSummaryPLSections,$E108)-SUMIFS(Drivers!AX$10:AX$66,PLSections,$E108)</f>
        <v>0</v>
      </c>
      <c r="AC108" s="62">
        <f>SUMIFS(AC$12:AC$25,dataSummaryPLSections,$E108)-SUMIFS(Drivers!AY$10:AY$66,PLSections,$E108)</f>
        <v>0</v>
      </c>
      <c r="AD108" s="62">
        <f>SUMIFS(AD$12:AD$25,dataSummaryPLSections,$E108)-SUMIFS(Drivers!AZ$10:AZ$66,PLSections,$E108)</f>
        <v>0</v>
      </c>
      <c r="AE108" s="62">
        <f>SUMIFS(AE$12:AE$25,dataSummaryPLSections,$E108)-SUMIFS(Drivers!BA$10:BA$66,PLSections,$E108)</f>
        <v>0</v>
      </c>
      <c r="AF108" s="62">
        <f>SUMIFS(AF$12:AF$25,dataSummaryPLSections,$E108)-SUMIFS(Drivers!BB$10:BB$66,PLSections,$E108)</f>
        <v>0</v>
      </c>
      <c r="AG108" s="62">
        <f>SUMIFS(AG$12:AG$25,dataSummaryPLSections,$E108)-SUMIFS(Drivers!BC$10:BC$66,PLSections,$E108)</f>
        <v>0</v>
      </c>
      <c r="AH108" s="62">
        <f>SUMIFS(AH$12:AH$25,dataSummaryPLSections,$E108)-SUMIFS(Drivers!BD$10:BD$66,PLSections,$E108)</f>
        <v>0</v>
      </c>
      <c r="AI108" s="62">
        <f>SUMIFS(AI$12:AI$25,dataSummaryPLSections,$E108)-SUMIFS(Drivers!BE$10:BE$66,PLSections,$E108)</f>
        <v>0</v>
      </c>
      <c r="AJ108" s="62">
        <f>SUMIFS(AJ$12:AJ$25,dataSummaryPLSections,$E108)-SUMIFS(Drivers!BF$10:BF$66,PLSections,$E108)</f>
        <v>0</v>
      </c>
      <c r="AK108" s="62">
        <f>SUMIFS(AK$12:AK$25,dataSummaryPLSections,$E108)-SUMIFS(Drivers!BG$10:BG$66,PLSections,$E108)</f>
        <v>0</v>
      </c>
      <c r="AL108" s="62">
        <f>SUMIFS(AL$12:AL$25,dataSummaryPLSections,$E108)-SUMIFS(Drivers!BH$10:BH$66,PLSections,$E108)</f>
        <v>0</v>
      </c>
      <c r="AM108" s="62">
        <f>SUMIFS(AM$12:AM$25,dataSummaryPLSections,$E108)-SUMIFS(Drivers!BI$10:BI$66,PLSections,$E108)</f>
        <v>0</v>
      </c>
      <c r="AN108" s="62">
        <f>SUMIFS(AN$12:AN$25,dataSummaryPLSections,$E108)-SUMIFS(Drivers!BJ$10:BJ$66,PLSections,$E108)</f>
        <v>0</v>
      </c>
      <c r="AO108" s="62">
        <f>SUMIFS(AO$12:AO$25,dataSummaryPLSections,$E108)-SUMIFS(Drivers!BK$10:BK$66,PLSections,$E108)</f>
        <v>0</v>
      </c>
      <c r="AP108" s="62">
        <f>SUMIFS(AP$12:AP$25,dataSummaryPLSections,$E108)-SUMIFS(Drivers!BL$10:BL$66,PLSections,$E108)</f>
        <v>0</v>
      </c>
      <c r="AQ108" s="62">
        <f>SUMIFS(AQ$12:AQ$25,dataSummaryPLSections,$E108)-SUMIFS(Drivers!BM$10:BM$66,PLSections,$E108)</f>
        <v>0</v>
      </c>
      <c r="AR108" s="62">
        <f>SUMIFS(AR$12:AR$25,dataSummaryPLSections,$E108)-SUMIFS(Drivers!BN$10:BN$66,PLSections,$E108)</f>
        <v>0</v>
      </c>
      <c r="AS108" s="62">
        <f>SUMIFS(AS$12:AS$25,dataSummaryPLSections,$E108)-SUMIFS(Drivers!BO$10:BO$66,PLSections,$E108)</f>
        <v>0</v>
      </c>
      <c r="AT108" s="62">
        <f>SUMIFS(AT$12:AT$25,dataSummaryPLSections,$E108)-SUMIFS(Drivers!BP$10:BP$66,PLSections,$E108)</f>
        <v>0</v>
      </c>
      <c r="AU108" s="62">
        <f>SUMIFS(AU$12:AU$25,dataSummaryPLSections,$E108)-SUMIFS(Drivers!BQ$10:BQ$66,PLSections,$E108)</f>
        <v>0</v>
      </c>
      <c r="AV108" s="62">
        <f>SUMIFS(AV$12:AV$25,dataSummaryPLSections,$E108)-SUMIFS(Drivers!BR$10:BR$66,PLSections,$E108)</f>
        <v>0</v>
      </c>
      <c r="AW108" s="62">
        <f>SUMIFS(AW$12:AW$25,dataSummaryPLSections,$E108)-SUMIFS(Drivers!BS$10:BS$66,PLSections,$E108)</f>
        <v>0</v>
      </c>
    </row>
    <row r="109" spans="2:49" ht="18.75" customHeight="1" outlineLevel="2">
      <c r="C109" s="61"/>
      <c r="D109" s="61" t="s">
        <v>246</v>
      </c>
      <c r="E109" s="61" t="s">
        <v>167</v>
      </c>
      <c r="G109" s="13"/>
      <c r="H109" s="13"/>
      <c r="M109" s="62">
        <f>SUMIFS(M$12:M$25,dataSummaryPLSections,$E109)-SUMIFS(Drivers!AI$10:AI$66,PLSections,$E109)</f>
        <v>0</v>
      </c>
      <c r="N109" s="62">
        <f>SUMIFS(N$12:N$25,dataSummaryPLSections,$E109)-SUMIFS(Drivers!AJ$10:AJ$66,PLSections,$E109)</f>
        <v>0</v>
      </c>
      <c r="O109" s="62">
        <f>SUMIFS(O$12:O$25,dataSummaryPLSections,$E109)-SUMIFS(Drivers!AK$10:AK$66,PLSections,$E109)</f>
        <v>0</v>
      </c>
      <c r="P109" s="62">
        <f>SUMIFS(P$12:P$25,dataSummaryPLSections,$E109)-SUMIFS(Drivers!AL$10:AL$66,PLSections,$E109)</f>
        <v>0</v>
      </c>
      <c r="Q109" s="62">
        <f>SUMIFS(Q$12:Q$25,dataSummaryPLSections,$E109)-SUMIFS(Drivers!AM$10:AM$66,PLSections,$E109)</f>
        <v>0</v>
      </c>
      <c r="R109" s="62">
        <f>SUMIFS(R$12:R$25,dataSummaryPLSections,$E109)-SUMIFS(Drivers!AN$10:AN$66,PLSections,$E109)</f>
        <v>0</v>
      </c>
      <c r="S109" s="62">
        <f>SUMIFS(S$12:S$25,dataSummaryPLSections,$E109)-SUMIFS(Drivers!AO$10:AO$66,PLSections,$E109)</f>
        <v>0</v>
      </c>
      <c r="T109" s="62">
        <f>SUMIFS(T$12:T$25,dataSummaryPLSections,$E109)-SUMIFS(Drivers!AP$10:AP$66,PLSections,$E109)</f>
        <v>0</v>
      </c>
      <c r="U109" s="62">
        <f>SUMIFS(U$12:U$25,dataSummaryPLSections,$E109)-SUMIFS(Drivers!AQ$10:AQ$66,PLSections,$E109)</f>
        <v>0</v>
      </c>
      <c r="V109" s="62">
        <f>SUMIFS(V$12:V$25,dataSummaryPLSections,$E109)-SUMIFS(Drivers!AR$10:AR$66,PLSections,$E109)</f>
        <v>0</v>
      </c>
      <c r="W109" s="62">
        <f>SUMIFS(W$12:W$25,dataSummaryPLSections,$E109)-SUMIFS(Drivers!AS$10:AS$66,PLSections,$E109)</f>
        <v>0</v>
      </c>
      <c r="X109" s="62">
        <f>SUMIFS(X$12:X$25,dataSummaryPLSections,$E109)-SUMIFS(Drivers!AT$10:AT$66,PLSections,$E109)</f>
        <v>0</v>
      </c>
      <c r="Y109" s="62">
        <f>SUMIFS(Y$12:Y$25,dataSummaryPLSections,$E109)-SUMIFS(Drivers!AU$10:AU$66,PLSections,$E109)</f>
        <v>0</v>
      </c>
      <c r="Z109" s="62">
        <f>SUMIFS(Z$12:Z$25,dataSummaryPLSections,$E109)-SUMIFS(Drivers!AV$10:AV$66,PLSections,$E109)</f>
        <v>0</v>
      </c>
      <c r="AA109" s="62">
        <f>SUMIFS(AA$12:AA$25,dataSummaryPLSections,$E109)-SUMIFS(Drivers!AW$10:AW$66,PLSections,$E109)</f>
        <v>0</v>
      </c>
      <c r="AB109" s="62">
        <f>SUMIFS(AB$12:AB$25,dataSummaryPLSections,$E109)-SUMIFS(Drivers!AX$10:AX$66,PLSections,$E109)</f>
        <v>0</v>
      </c>
      <c r="AC109" s="62">
        <f>SUMIFS(AC$12:AC$25,dataSummaryPLSections,$E109)-SUMIFS(Drivers!AY$10:AY$66,PLSections,$E109)</f>
        <v>0</v>
      </c>
      <c r="AD109" s="62">
        <f>SUMIFS(AD$12:AD$25,dataSummaryPLSections,$E109)-SUMIFS(Drivers!AZ$10:AZ$66,PLSections,$E109)</f>
        <v>0</v>
      </c>
      <c r="AE109" s="62">
        <f>SUMIFS(AE$12:AE$25,dataSummaryPLSections,$E109)-SUMIFS(Drivers!BA$10:BA$66,PLSections,$E109)</f>
        <v>0</v>
      </c>
      <c r="AF109" s="62">
        <f>SUMIFS(AF$12:AF$25,dataSummaryPLSections,$E109)-SUMIFS(Drivers!BB$10:BB$66,PLSections,$E109)</f>
        <v>0</v>
      </c>
      <c r="AG109" s="62">
        <f>SUMIFS(AG$12:AG$25,dataSummaryPLSections,$E109)-SUMIFS(Drivers!BC$10:BC$66,PLSections,$E109)</f>
        <v>0</v>
      </c>
      <c r="AH109" s="62">
        <f>SUMIFS(AH$12:AH$25,dataSummaryPLSections,$E109)-SUMIFS(Drivers!BD$10:BD$66,PLSections,$E109)</f>
        <v>0</v>
      </c>
      <c r="AI109" s="62">
        <f>SUMIFS(AI$12:AI$25,dataSummaryPLSections,$E109)-SUMIFS(Drivers!BE$10:BE$66,PLSections,$E109)</f>
        <v>0</v>
      </c>
      <c r="AJ109" s="62">
        <f>SUMIFS(AJ$12:AJ$25,dataSummaryPLSections,$E109)-SUMIFS(Drivers!BF$10:BF$66,PLSections,$E109)</f>
        <v>0</v>
      </c>
      <c r="AK109" s="62">
        <f>SUMIFS(AK$12:AK$25,dataSummaryPLSections,$E109)-SUMIFS(Drivers!BG$10:BG$66,PLSections,$E109)</f>
        <v>0</v>
      </c>
      <c r="AL109" s="62">
        <f>SUMIFS(AL$12:AL$25,dataSummaryPLSections,$E109)-SUMIFS(Drivers!BH$10:BH$66,PLSections,$E109)</f>
        <v>0</v>
      </c>
      <c r="AM109" s="62">
        <f>SUMIFS(AM$12:AM$25,dataSummaryPLSections,$E109)-SUMIFS(Drivers!BI$10:BI$66,PLSections,$E109)</f>
        <v>0</v>
      </c>
      <c r="AN109" s="62">
        <f>SUMIFS(AN$12:AN$25,dataSummaryPLSections,$E109)-SUMIFS(Drivers!BJ$10:BJ$66,PLSections,$E109)</f>
        <v>0</v>
      </c>
      <c r="AO109" s="62">
        <f>SUMIFS(AO$12:AO$25,dataSummaryPLSections,$E109)-SUMIFS(Drivers!BK$10:BK$66,PLSections,$E109)</f>
        <v>0</v>
      </c>
      <c r="AP109" s="62">
        <f>SUMIFS(AP$12:AP$25,dataSummaryPLSections,$E109)-SUMIFS(Drivers!BL$10:BL$66,PLSections,$E109)</f>
        <v>0</v>
      </c>
      <c r="AQ109" s="62">
        <f>SUMIFS(AQ$12:AQ$25,dataSummaryPLSections,$E109)-SUMIFS(Drivers!BM$10:BM$66,PLSections,$E109)</f>
        <v>0</v>
      </c>
      <c r="AR109" s="62">
        <f>SUMIFS(AR$12:AR$25,dataSummaryPLSections,$E109)-SUMIFS(Drivers!BN$10:BN$66,PLSections,$E109)</f>
        <v>0</v>
      </c>
      <c r="AS109" s="62">
        <f>SUMIFS(AS$12:AS$25,dataSummaryPLSections,$E109)-SUMIFS(Drivers!BO$10:BO$66,PLSections,$E109)</f>
        <v>0</v>
      </c>
      <c r="AT109" s="62">
        <f>SUMIFS(AT$12:AT$25,dataSummaryPLSections,$E109)-SUMIFS(Drivers!BP$10:BP$66,PLSections,$E109)</f>
        <v>0</v>
      </c>
      <c r="AU109" s="62">
        <f>SUMIFS(AU$12:AU$25,dataSummaryPLSections,$E109)-SUMIFS(Drivers!BQ$10:BQ$66,PLSections,$E109)</f>
        <v>0</v>
      </c>
      <c r="AV109" s="62">
        <f>SUMIFS(AV$12:AV$25,dataSummaryPLSections,$E109)-SUMIFS(Drivers!BR$10:BR$66,PLSections,$E109)</f>
        <v>0</v>
      </c>
      <c r="AW109" s="62">
        <f>SUMIFS(AW$12:AW$25,dataSummaryPLSections,$E109)-SUMIFS(Drivers!BS$10:BS$66,PLSections,$E109)</f>
        <v>0</v>
      </c>
    </row>
    <row r="110" spans="2:49" ht="18.75" customHeight="1" outlineLevel="2">
      <c r="C110" s="61"/>
      <c r="D110" s="61" t="s">
        <v>247</v>
      </c>
      <c r="E110" s="61" t="s">
        <v>44</v>
      </c>
      <c r="G110" s="13"/>
      <c r="H110" s="13"/>
      <c r="M110" s="62">
        <f>SUMIFS(M$12:M$25,dataSummaryPLSections,$E110)-SUMIFS(Drivers!AI$10:AI$66,PLSections,$E110)</f>
        <v>0</v>
      </c>
      <c r="N110" s="62">
        <f>SUMIFS(N$12:N$25,dataSummaryPLSections,$E110)-SUMIFS(Drivers!AJ$10:AJ$66,PLSections,$E110)</f>
        <v>0</v>
      </c>
      <c r="O110" s="62">
        <f>SUMIFS(O$12:O$25,dataSummaryPLSections,$E110)-SUMIFS(Drivers!AK$10:AK$66,PLSections,$E110)</f>
        <v>0</v>
      </c>
      <c r="P110" s="62">
        <f>SUMIFS(P$12:P$25,dataSummaryPLSections,$E110)-SUMIFS(Drivers!AL$10:AL$66,PLSections,$E110)</f>
        <v>0</v>
      </c>
      <c r="Q110" s="62">
        <f>SUMIFS(Q$12:Q$25,dataSummaryPLSections,$E110)-SUMIFS(Drivers!AM$10:AM$66,PLSections,$E110)</f>
        <v>0</v>
      </c>
      <c r="R110" s="62">
        <f>SUMIFS(R$12:R$25,dataSummaryPLSections,$E110)-SUMIFS(Drivers!AN$10:AN$66,PLSections,$E110)</f>
        <v>0</v>
      </c>
      <c r="S110" s="62">
        <f>SUMIFS(S$12:S$25,dataSummaryPLSections,$E110)-SUMIFS(Drivers!AO$10:AO$66,PLSections,$E110)</f>
        <v>0</v>
      </c>
      <c r="T110" s="62">
        <f>SUMIFS(T$12:T$25,dataSummaryPLSections,$E110)-SUMIFS(Drivers!AP$10:AP$66,PLSections,$E110)</f>
        <v>0</v>
      </c>
      <c r="U110" s="62">
        <f>SUMIFS(U$12:U$25,dataSummaryPLSections,$E110)-SUMIFS(Drivers!AQ$10:AQ$66,PLSections,$E110)</f>
        <v>0</v>
      </c>
      <c r="V110" s="62">
        <f>SUMIFS(V$12:V$25,dataSummaryPLSections,$E110)-SUMIFS(Drivers!AR$10:AR$66,PLSections,$E110)</f>
        <v>0</v>
      </c>
      <c r="W110" s="62">
        <f>SUMIFS(W$12:W$25,dataSummaryPLSections,$E110)-SUMIFS(Drivers!AS$10:AS$66,PLSections,$E110)</f>
        <v>0</v>
      </c>
      <c r="X110" s="62">
        <f>SUMIFS(X$12:X$25,dataSummaryPLSections,$E110)-SUMIFS(Drivers!AT$10:AT$66,PLSections,$E110)</f>
        <v>0</v>
      </c>
      <c r="Y110" s="62">
        <f>SUMIFS(Y$12:Y$25,dataSummaryPLSections,$E110)-SUMIFS(Drivers!AU$10:AU$66,PLSections,$E110)</f>
        <v>0</v>
      </c>
      <c r="Z110" s="62">
        <f>SUMIFS(Z$12:Z$25,dataSummaryPLSections,$E110)-SUMIFS(Drivers!AV$10:AV$66,PLSections,$E110)</f>
        <v>0</v>
      </c>
      <c r="AA110" s="62">
        <f>SUMIFS(AA$12:AA$25,dataSummaryPLSections,$E110)-SUMIFS(Drivers!AW$10:AW$66,PLSections,$E110)</f>
        <v>0</v>
      </c>
      <c r="AB110" s="62">
        <f>SUMIFS(AB$12:AB$25,dataSummaryPLSections,$E110)-SUMIFS(Drivers!AX$10:AX$66,PLSections,$E110)</f>
        <v>0</v>
      </c>
      <c r="AC110" s="62">
        <f>SUMIFS(AC$12:AC$25,dataSummaryPLSections,$E110)-SUMIFS(Drivers!AY$10:AY$66,PLSections,$E110)</f>
        <v>0</v>
      </c>
      <c r="AD110" s="62">
        <f>SUMIFS(AD$12:AD$25,dataSummaryPLSections,$E110)-SUMIFS(Drivers!AZ$10:AZ$66,PLSections,$E110)</f>
        <v>0</v>
      </c>
      <c r="AE110" s="62">
        <f>SUMIFS(AE$12:AE$25,dataSummaryPLSections,$E110)-SUMIFS(Drivers!BA$10:BA$66,PLSections,$E110)</f>
        <v>0</v>
      </c>
      <c r="AF110" s="62">
        <f>SUMIFS(AF$12:AF$25,dataSummaryPLSections,$E110)-SUMIFS(Drivers!BB$10:BB$66,PLSections,$E110)</f>
        <v>0</v>
      </c>
      <c r="AG110" s="62">
        <f>SUMIFS(AG$12:AG$25,dataSummaryPLSections,$E110)-SUMIFS(Drivers!BC$10:BC$66,PLSections,$E110)</f>
        <v>0</v>
      </c>
      <c r="AH110" s="62">
        <f>SUMIFS(AH$12:AH$25,dataSummaryPLSections,$E110)-SUMIFS(Drivers!BD$10:BD$66,PLSections,$E110)</f>
        <v>0</v>
      </c>
      <c r="AI110" s="62">
        <f>SUMIFS(AI$12:AI$25,dataSummaryPLSections,$E110)-SUMIFS(Drivers!BE$10:BE$66,PLSections,$E110)</f>
        <v>0</v>
      </c>
      <c r="AJ110" s="62">
        <f>SUMIFS(AJ$12:AJ$25,dataSummaryPLSections,$E110)-SUMIFS(Drivers!BF$10:BF$66,PLSections,$E110)</f>
        <v>0</v>
      </c>
      <c r="AK110" s="62">
        <f>SUMIFS(AK$12:AK$25,dataSummaryPLSections,$E110)-SUMIFS(Drivers!BG$10:BG$66,PLSections,$E110)</f>
        <v>0</v>
      </c>
      <c r="AL110" s="62">
        <f>SUMIFS(AL$12:AL$25,dataSummaryPLSections,$E110)-SUMIFS(Drivers!BH$10:BH$66,PLSections,$E110)</f>
        <v>0</v>
      </c>
      <c r="AM110" s="62">
        <f>SUMIFS(AM$12:AM$25,dataSummaryPLSections,$E110)-SUMIFS(Drivers!BI$10:BI$66,PLSections,$E110)</f>
        <v>0</v>
      </c>
      <c r="AN110" s="62">
        <f>SUMIFS(AN$12:AN$25,dataSummaryPLSections,$E110)-SUMIFS(Drivers!BJ$10:BJ$66,PLSections,$E110)</f>
        <v>0</v>
      </c>
      <c r="AO110" s="62">
        <f>SUMIFS(AO$12:AO$25,dataSummaryPLSections,$E110)-SUMIFS(Drivers!BK$10:BK$66,PLSections,$E110)</f>
        <v>0</v>
      </c>
      <c r="AP110" s="62">
        <f>SUMIFS(AP$12:AP$25,dataSummaryPLSections,$E110)-SUMIFS(Drivers!BL$10:BL$66,PLSections,$E110)</f>
        <v>0</v>
      </c>
      <c r="AQ110" s="62">
        <f>SUMIFS(AQ$12:AQ$25,dataSummaryPLSections,$E110)-SUMIFS(Drivers!BM$10:BM$66,PLSections,$E110)</f>
        <v>0</v>
      </c>
      <c r="AR110" s="62">
        <f>SUMIFS(AR$12:AR$25,dataSummaryPLSections,$E110)-SUMIFS(Drivers!BN$10:BN$66,PLSections,$E110)</f>
        <v>0</v>
      </c>
      <c r="AS110" s="62">
        <f>SUMIFS(AS$12:AS$25,dataSummaryPLSections,$E110)-SUMIFS(Drivers!BO$10:BO$66,PLSections,$E110)</f>
        <v>0</v>
      </c>
      <c r="AT110" s="62">
        <f>SUMIFS(AT$12:AT$25,dataSummaryPLSections,$E110)-SUMIFS(Drivers!BP$10:BP$66,PLSections,$E110)</f>
        <v>0</v>
      </c>
      <c r="AU110" s="62">
        <f>SUMIFS(AU$12:AU$25,dataSummaryPLSections,$E110)-SUMIFS(Drivers!BQ$10:BQ$66,PLSections,$E110)</f>
        <v>0</v>
      </c>
      <c r="AV110" s="62">
        <f>SUMIFS(AV$12:AV$25,dataSummaryPLSections,$E110)-SUMIFS(Drivers!BR$10:BR$66,PLSections,$E110)</f>
        <v>0</v>
      </c>
      <c r="AW110" s="62">
        <f>SUMIFS(AW$12:AW$25,dataSummaryPLSections,$E110)-SUMIFS(Drivers!BS$10:BS$66,PLSections,$E110)</f>
        <v>0</v>
      </c>
    </row>
    <row r="111" spans="2:49" ht="18.75" customHeight="1" outlineLevel="2">
      <c r="C111" s="61"/>
      <c r="D111" s="61" t="s">
        <v>248</v>
      </c>
      <c r="E111" s="61" t="s">
        <v>46</v>
      </c>
      <c r="G111" s="13"/>
      <c r="H111" s="13"/>
      <c r="M111" s="62">
        <f>SUMIFS(M$12:M$25,dataSummaryPLSections,$E111)-SUMIFS(Drivers!AI$10:AI$66,PLSections,$E111)</f>
        <v>0</v>
      </c>
      <c r="N111" s="62">
        <f>SUMIFS(N$12:N$25,dataSummaryPLSections,$E111)-SUMIFS(Drivers!AJ$10:AJ$66,PLSections,$E111)</f>
        <v>0</v>
      </c>
      <c r="O111" s="62">
        <f>SUMIFS(O$12:O$25,dataSummaryPLSections,$E111)-SUMIFS(Drivers!AK$10:AK$66,PLSections,$E111)</f>
        <v>0</v>
      </c>
      <c r="P111" s="62">
        <f>SUMIFS(P$12:P$25,dataSummaryPLSections,$E111)-SUMIFS(Drivers!AL$10:AL$66,PLSections,$E111)</f>
        <v>0</v>
      </c>
      <c r="Q111" s="62">
        <f>SUMIFS(Q$12:Q$25,dataSummaryPLSections,$E111)-SUMIFS(Drivers!AM$10:AM$66,PLSections,$E111)</f>
        <v>0</v>
      </c>
      <c r="R111" s="62">
        <f>SUMIFS(R$12:R$25,dataSummaryPLSections,$E111)-SUMIFS(Drivers!AN$10:AN$66,PLSections,$E111)</f>
        <v>0</v>
      </c>
      <c r="S111" s="62">
        <f>SUMIFS(S$12:S$25,dataSummaryPLSections,$E111)-SUMIFS(Drivers!AO$10:AO$66,PLSections,$E111)</f>
        <v>0</v>
      </c>
      <c r="T111" s="62">
        <f>SUMIFS(T$12:T$25,dataSummaryPLSections,$E111)-SUMIFS(Drivers!AP$10:AP$66,PLSections,$E111)</f>
        <v>0</v>
      </c>
      <c r="U111" s="62">
        <f>SUMIFS(U$12:U$25,dataSummaryPLSections,$E111)-SUMIFS(Drivers!AQ$10:AQ$66,PLSections,$E111)</f>
        <v>0</v>
      </c>
      <c r="V111" s="62">
        <f>SUMIFS(V$12:V$25,dataSummaryPLSections,$E111)-SUMIFS(Drivers!AR$10:AR$66,PLSections,$E111)</f>
        <v>0</v>
      </c>
      <c r="W111" s="62">
        <f>SUMIFS(W$12:W$25,dataSummaryPLSections,$E111)-SUMIFS(Drivers!AS$10:AS$66,PLSections,$E111)</f>
        <v>0</v>
      </c>
      <c r="X111" s="62">
        <f>SUMIFS(X$12:X$25,dataSummaryPLSections,$E111)-SUMIFS(Drivers!AT$10:AT$66,PLSections,$E111)</f>
        <v>0</v>
      </c>
      <c r="Y111" s="62">
        <f>SUMIFS(Y$12:Y$25,dataSummaryPLSections,$E111)-SUMIFS(Drivers!AU$10:AU$66,PLSections,$E111)</f>
        <v>0</v>
      </c>
      <c r="Z111" s="62">
        <f>SUMIFS(Z$12:Z$25,dataSummaryPLSections,$E111)-SUMIFS(Drivers!AV$10:AV$66,PLSections,$E111)</f>
        <v>0</v>
      </c>
      <c r="AA111" s="62">
        <f>SUMIFS(AA$12:AA$25,dataSummaryPLSections,$E111)-SUMIFS(Drivers!AW$10:AW$66,PLSections,$E111)</f>
        <v>0</v>
      </c>
      <c r="AB111" s="62">
        <f>SUMIFS(AB$12:AB$25,dataSummaryPLSections,$E111)-SUMIFS(Drivers!AX$10:AX$66,PLSections,$E111)</f>
        <v>0</v>
      </c>
      <c r="AC111" s="62">
        <f>SUMIFS(AC$12:AC$25,dataSummaryPLSections,$E111)-SUMIFS(Drivers!AY$10:AY$66,PLSections,$E111)</f>
        <v>0</v>
      </c>
      <c r="AD111" s="62">
        <f>SUMIFS(AD$12:AD$25,dataSummaryPLSections,$E111)-SUMIFS(Drivers!AZ$10:AZ$66,PLSections,$E111)</f>
        <v>0</v>
      </c>
      <c r="AE111" s="62">
        <f>SUMIFS(AE$12:AE$25,dataSummaryPLSections,$E111)-SUMIFS(Drivers!BA$10:BA$66,PLSections,$E111)</f>
        <v>0</v>
      </c>
      <c r="AF111" s="62">
        <f>SUMIFS(AF$12:AF$25,dataSummaryPLSections,$E111)-SUMIFS(Drivers!BB$10:BB$66,PLSections,$E111)</f>
        <v>0</v>
      </c>
      <c r="AG111" s="62">
        <f>SUMIFS(AG$12:AG$25,dataSummaryPLSections,$E111)-SUMIFS(Drivers!BC$10:BC$66,PLSections,$E111)</f>
        <v>0</v>
      </c>
      <c r="AH111" s="62">
        <f>SUMIFS(AH$12:AH$25,dataSummaryPLSections,$E111)-SUMIFS(Drivers!BD$10:BD$66,PLSections,$E111)</f>
        <v>0</v>
      </c>
      <c r="AI111" s="62">
        <f>SUMIFS(AI$12:AI$25,dataSummaryPLSections,$E111)-SUMIFS(Drivers!BE$10:BE$66,PLSections,$E111)</f>
        <v>0</v>
      </c>
      <c r="AJ111" s="62">
        <f>SUMIFS(AJ$12:AJ$25,dataSummaryPLSections,$E111)-SUMIFS(Drivers!BF$10:BF$66,PLSections,$E111)</f>
        <v>0</v>
      </c>
      <c r="AK111" s="62">
        <f>SUMIFS(AK$12:AK$25,dataSummaryPLSections,$E111)-SUMIFS(Drivers!BG$10:BG$66,PLSections,$E111)</f>
        <v>0</v>
      </c>
      <c r="AL111" s="62">
        <f>SUMIFS(AL$12:AL$25,dataSummaryPLSections,$E111)-SUMIFS(Drivers!BH$10:BH$66,PLSections,$E111)</f>
        <v>0</v>
      </c>
      <c r="AM111" s="62">
        <f>SUMIFS(AM$12:AM$25,dataSummaryPLSections,$E111)-SUMIFS(Drivers!BI$10:BI$66,PLSections,$E111)</f>
        <v>0</v>
      </c>
      <c r="AN111" s="62">
        <f>SUMIFS(AN$12:AN$25,dataSummaryPLSections,$E111)-SUMIFS(Drivers!BJ$10:BJ$66,PLSections,$E111)</f>
        <v>0</v>
      </c>
      <c r="AO111" s="62">
        <f>SUMIFS(AO$12:AO$25,dataSummaryPLSections,$E111)-SUMIFS(Drivers!BK$10:BK$66,PLSections,$E111)</f>
        <v>0</v>
      </c>
      <c r="AP111" s="62">
        <f>SUMIFS(AP$12:AP$25,dataSummaryPLSections,$E111)-SUMIFS(Drivers!BL$10:BL$66,PLSections,$E111)</f>
        <v>0</v>
      </c>
      <c r="AQ111" s="62">
        <f>SUMIFS(AQ$12:AQ$25,dataSummaryPLSections,$E111)-SUMIFS(Drivers!BM$10:BM$66,PLSections,$E111)</f>
        <v>0</v>
      </c>
      <c r="AR111" s="62">
        <f>SUMIFS(AR$12:AR$25,dataSummaryPLSections,$E111)-SUMIFS(Drivers!BN$10:BN$66,PLSections,$E111)</f>
        <v>0</v>
      </c>
      <c r="AS111" s="62">
        <f>SUMIFS(AS$12:AS$25,dataSummaryPLSections,$E111)-SUMIFS(Drivers!BO$10:BO$66,PLSections,$E111)</f>
        <v>0</v>
      </c>
      <c r="AT111" s="62">
        <f>SUMIFS(AT$12:AT$25,dataSummaryPLSections,$E111)-SUMIFS(Drivers!BP$10:BP$66,PLSections,$E111)</f>
        <v>0</v>
      </c>
      <c r="AU111" s="62">
        <f>SUMIFS(AU$12:AU$25,dataSummaryPLSections,$E111)-SUMIFS(Drivers!BQ$10:BQ$66,PLSections,$E111)</f>
        <v>0</v>
      </c>
      <c r="AV111" s="62">
        <f>SUMIFS(AV$12:AV$25,dataSummaryPLSections,$E111)-SUMIFS(Drivers!BR$10:BR$66,PLSections,$E111)</f>
        <v>0</v>
      </c>
      <c r="AW111" s="62">
        <f>SUMIFS(AW$12:AW$25,dataSummaryPLSections,$E111)-SUMIFS(Drivers!BS$10:BS$66,PLSections,$E111)</f>
        <v>0</v>
      </c>
    </row>
    <row r="112" spans="2:49" ht="18.75" customHeight="1" outlineLevel="2">
      <c r="C112" s="61"/>
      <c r="D112" s="61" t="s">
        <v>249</v>
      </c>
      <c r="E112" s="61" t="s">
        <v>49</v>
      </c>
      <c r="G112" s="13"/>
      <c r="H112" s="13"/>
      <c r="M112" s="63">
        <f>SUMIFS(M$28:M$38,dataSummaryBSSections,$E112)-SUMIFS(Drivers!AI$68:AI$103,BSSections,$E112)</f>
        <v>0</v>
      </c>
      <c r="N112" s="63">
        <f>SUMIFS(N$28:N$38,dataSummaryBSSections,$E112)-SUMIFS(Drivers!AJ$68:AJ$103,BSSections,$E112)</f>
        <v>0</v>
      </c>
      <c r="O112" s="63">
        <f>SUMIFS(O$28:O$38,dataSummaryBSSections,$E112)-SUMIFS(Drivers!AK$68:AK$103,BSSections,$E112)</f>
        <v>0</v>
      </c>
      <c r="P112" s="63">
        <f>SUMIFS(P$28:P$38,dataSummaryBSSections,$E112)-SUMIFS(Drivers!AL$68:AL$103,BSSections,$E112)</f>
        <v>0</v>
      </c>
      <c r="Q112" s="63">
        <f>SUMIFS(Q$28:Q$38,dataSummaryBSSections,$E112)-SUMIFS(Drivers!AM$68:AM$103,BSSections,$E112)</f>
        <v>0</v>
      </c>
      <c r="R112" s="63">
        <f>SUMIFS(R$28:R$38,dataSummaryBSSections,$E112)-SUMIFS(Drivers!AN$68:AN$103,BSSections,$E112)</f>
        <v>0</v>
      </c>
      <c r="S112" s="63">
        <f>SUMIFS(S$28:S$38,dataSummaryBSSections,$E112)-SUMIFS(Drivers!AO$68:AO$103,BSSections,$E112)</f>
        <v>0</v>
      </c>
      <c r="T112" s="63">
        <f>SUMIFS(T$28:T$38,dataSummaryBSSections,$E112)-SUMIFS(Drivers!AP$68:AP$103,BSSections,$E112)</f>
        <v>0</v>
      </c>
      <c r="U112" s="63">
        <f>SUMIFS(U$28:U$38,dataSummaryBSSections,$E112)-SUMIFS(Drivers!AQ$68:AQ$103,BSSections,$E112)</f>
        <v>0</v>
      </c>
      <c r="V112" s="63">
        <f>SUMIFS(V$28:V$38,dataSummaryBSSections,$E112)-SUMIFS(Drivers!AR$68:AR$103,BSSections,$E112)</f>
        <v>0</v>
      </c>
      <c r="W112" s="63">
        <f>SUMIFS(W$28:W$38,dataSummaryBSSections,$E112)-SUMIFS(Drivers!AS$68:AS$103,BSSections,$E112)</f>
        <v>0</v>
      </c>
      <c r="X112" s="63">
        <f>SUMIFS(X$28:X$38,dataSummaryBSSections,$E112)-SUMIFS(Drivers!AT$68:AT$103,BSSections,$E112)</f>
        <v>0</v>
      </c>
      <c r="Y112" s="63">
        <f>SUMIFS(Y$28:Y$38,dataSummaryBSSections,$E112)-SUMIFS(Drivers!AU$68:AU$103,BSSections,$E112)</f>
        <v>0</v>
      </c>
      <c r="Z112" s="63">
        <f>SUMIFS(Z$28:Z$38,dataSummaryBSSections,$E112)-SUMIFS(Drivers!AV$68:AV$103,BSSections,$E112)</f>
        <v>0</v>
      </c>
      <c r="AA112" s="63">
        <f>SUMIFS(AA$28:AA$38,dataSummaryBSSections,$E112)-SUMIFS(Drivers!AW$68:AW$103,BSSections,$E112)</f>
        <v>0</v>
      </c>
      <c r="AB112" s="63">
        <f>SUMIFS(AB$28:AB$38,dataSummaryBSSections,$E112)-SUMIFS(Drivers!AX$68:AX$103,BSSections,$E112)</f>
        <v>0</v>
      </c>
      <c r="AC112" s="63">
        <f>SUMIFS(AC$28:AC$38,dataSummaryBSSections,$E112)-SUMIFS(Drivers!AY$68:AY$103,BSSections,$E112)</f>
        <v>0</v>
      </c>
      <c r="AD112" s="63">
        <f>SUMIFS(AD$28:AD$38,dataSummaryBSSections,$E112)-SUMIFS(Drivers!AZ$68:AZ$103,BSSections,$E112)</f>
        <v>0</v>
      </c>
      <c r="AE112" s="63">
        <f>SUMIFS(AE$28:AE$38,dataSummaryBSSections,$E112)-SUMIFS(Drivers!BA$68:BA$103,BSSections,$E112)</f>
        <v>0</v>
      </c>
      <c r="AF112" s="63">
        <f>SUMIFS(AF$28:AF$38,dataSummaryBSSections,$E112)-SUMIFS(Drivers!BB$68:BB$103,BSSections,$E112)</f>
        <v>0</v>
      </c>
      <c r="AG112" s="63">
        <f>SUMIFS(AG$28:AG$38,dataSummaryBSSections,$E112)-SUMIFS(Drivers!BC$68:BC$103,BSSections,$E112)</f>
        <v>0</v>
      </c>
      <c r="AH112" s="63">
        <f>SUMIFS(AH$28:AH$38,dataSummaryBSSections,$E112)-SUMIFS(Drivers!BD$68:BD$103,BSSections,$E112)</f>
        <v>0</v>
      </c>
      <c r="AI112" s="63">
        <f>SUMIFS(AI$28:AI$38,dataSummaryBSSections,$E112)-SUMIFS(Drivers!BE$68:BE$103,BSSections,$E112)</f>
        <v>0</v>
      </c>
      <c r="AJ112" s="63">
        <f>SUMIFS(AJ$28:AJ$38,dataSummaryBSSections,$E112)-SUMIFS(Drivers!BF$68:BF$103,BSSections,$E112)</f>
        <v>0</v>
      </c>
      <c r="AK112" s="63">
        <f>SUMIFS(AK$28:AK$38,dataSummaryBSSections,$E112)-SUMIFS(Drivers!BG$68:BG$103,BSSections,$E112)</f>
        <v>0</v>
      </c>
      <c r="AL112" s="63">
        <f>SUMIFS(AL$28:AL$38,dataSummaryBSSections,$E112)-SUMIFS(Drivers!BH$68:BH$103,BSSections,$E112)</f>
        <v>0</v>
      </c>
      <c r="AM112" s="63">
        <f>SUMIFS(AM$28:AM$38,dataSummaryBSSections,$E112)-SUMIFS(Drivers!BI$68:BI$103,BSSections,$E112)</f>
        <v>0</v>
      </c>
      <c r="AN112" s="63">
        <f>SUMIFS(AN$28:AN$38,dataSummaryBSSections,$E112)-SUMIFS(Drivers!BJ$68:BJ$103,BSSections,$E112)</f>
        <v>0</v>
      </c>
      <c r="AO112" s="63">
        <f>SUMIFS(AO$28:AO$38,dataSummaryBSSections,$E112)-SUMIFS(Drivers!BK$68:BK$103,BSSections,$E112)</f>
        <v>0</v>
      </c>
      <c r="AP112" s="63">
        <f>SUMIFS(AP$28:AP$38,dataSummaryBSSections,$E112)-SUMIFS(Drivers!BL$68:BL$103,BSSections,$E112)</f>
        <v>0</v>
      </c>
      <c r="AQ112" s="63">
        <f>SUMIFS(AQ$28:AQ$38,dataSummaryBSSections,$E112)-SUMIFS(Drivers!BM$68:BM$103,BSSections,$E112)</f>
        <v>0</v>
      </c>
      <c r="AR112" s="63">
        <f>SUMIFS(AR$28:AR$38,dataSummaryBSSections,$E112)-SUMIFS(Drivers!BN$68:BN$103,BSSections,$E112)</f>
        <v>0</v>
      </c>
      <c r="AS112" s="63">
        <f>SUMIFS(AS$28:AS$38,dataSummaryBSSections,$E112)-SUMIFS(Drivers!BO$68:BO$103,BSSections,$E112)</f>
        <v>0</v>
      </c>
      <c r="AT112" s="63">
        <f>SUMIFS(AT$28:AT$38,dataSummaryBSSections,$E112)-SUMIFS(Drivers!BP$68:BP$103,BSSections,$E112)</f>
        <v>0</v>
      </c>
      <c r="AU112" s="63">
        <f>SUMIFS(AU$28:AU$38,dataSummaryBSSections,$E112)-SUMIFS(Drivers!BQ$68:BQ$103,BSSections,$E112)</f>
        <v>0</v>
      </c>
      <c r="AV112" s="63">
        <f>SUMIFS(AV$28:AV$38,dataSummaryBSSections,$E112)-SUMIFS(Drivers!BR$68:BR$103,BSSections,$E112)</f>
        <v>0</v>
      </c>
      <c r="AW112" s="63">
        <f>SUMIFS(AW$28:AW$38,dataSummaryBSSections,$E112)-SUMIFS(Drivers!BS$68:BS$103,BSSections,$E112)</f>
        <v>0</v>
      </c>
    </row>
    <row r="113" spans="3:49" ht="18.75" customHeight="1" outlineLevel="2">
      <c r="C113" s="61"/>
      <c r="D113" s="61" t="s">
        <v>250</v>
      </c>
      <c r="E113" s="61" t="s">
        <v>56</v>
      </c>
      <c r="G113" s="13"/>
      <c r="H113" s="13"/>
      <c r="M113" s="63">
        <f>SUMIFS(M$28:M$38,dataSummaryBSSections,$E113)-SUMIFS(Drivers!AI$68:AI$103,BSSections,$E113)</f>
        <v>0</v>
      </c>
      <c r="N113" s="63">
        <f>SUMIFS(N$28:N$38,dataSummaryBSSections,$E113)-SUMIFS(Drivers!AJ$68:AJ$103,BSSections,$E113)</f>
        <v>0</v>
      </c>
      <c r="O113" s="63">
        <f>SUMIFS(O$28:O$38,dataSummaryBSSections,$E113)-SUMIFS(Drivers!AK$68:AK$103,BSSections,$E113)</f>
        <v>0</v>
      </c>
      <c r="P113" s="63">
        <f>SUMIFS(P$28:P$38,dataSummaryBSSections,$E113)-SUMIFS(Drivers!AL$68:AL$103,BSSections,$E113)</f>
        <v>0</v>
      </c>
      <c r="Q113" s="63">
        <f>SUMIFS(Q$28:Q$38,dataSummaryBSSections,$E113)-SUMIFS(Drivers!AM$68:AM$103,BSSections,$E113)</f>
        <v>0</v>
      </c>
      <c r="R113" s="63">
        <f>SUMIFS(R$28:R$38,dataSummaryBSSections,$E113)-SUMIFS(Drivers!AN$68:AN$103,BSSections,$E113)</f>
        <v>0</v>
      </c>
      <c r="S113" s="63">
        <f>SUMIFS(S$28:S$38,dataSummaryBSSections,$E113)-SUMIFS(Drivers!AO$68:AO$103,BSSections,$E113)</f>
        <v>0</v>
      </c>
      <c r="T113" s="63">
        <f>SUMIFS(T$28:T$38,dataSummaryBSSections,$E113)-SUMIFS(Drivers!AP$68:AP$103,BSSections,$E113)</f>
        <v>0</v>
      </c>
      <c r="U113" s="63">
        <f>SUMIFS(U$28:U$38,dataSummaryBSSections,$E113)-SUMIFS(Drivers!AQ$68:AQ$103,BSSections,$E113)</f>
        <v>0</v>
      </c>
      <c r="V113" s="63">
        <f>SUMIFS(V$28:V$38,dataSummaryBSSections,$E113)-SUMIFS(Drivers!AR$68:AR$103,BSSections,$E113)</f>
        <v>0</v>
      </c>
      <c r="W113" s="63">
        <f>SUMIFS(W$28:W$38,dataSummaryBSSections,$E113)-SUMIFS(Drivers!AS$68:AS$103,BSSections,$E113)</f>
        <v>0</v>
      </c>
      <c r="X113" s="63">
        <f>SUMIFS(X$28:X$38,dataSummaryBSSections,$E113)-SUMIFS(Drivers!AT$68:AT$103,BSSections,$E113)</f>
        <v>0</v>
      </c>
      <c r="Y113" s="63">
        <f>SUMIFS(Y$28:Y$38,dataSummaryBSSections,$E113)-SUMIFS(Drivers!AU$68:AU$103,BSSections,$E113)</f>
        <v>0</v>
      </c>
      <c r="Z113" s="63">
        <f>SUMIFS(Z$28:Z$38,dataSummaryBSSections,$E113)-SUMIFS(Drivers!AV$68:AV$103,BSSections,$E113)</f>
        <v>0</v>
      </c>
      <c r="AA113" s="63">
        <f>SUMIFS(AA$28:AA$38,dataSummaryBSSections,$E113)-SUMIFS(Drivers!AW$68:AW$103,BSSections,$E113)</f>
        <v>0</v>
      </c>
      <c r="AB113" s="63">
        <f>SUMIFS(AB$28:AB$38,dataSummaryBSSections,$E113)-SUMIFS(Drivers!AX$68:AX$103,BSSections,$E113)</f>
        <v>0</v>
      </c>
      <c r="AC113" s="63">
        <f>SUMIFS(AC$28:AC$38,dataSummaryBSSections,$E113)-SUMIFS(Drivers!AY$68:AY$103,BSSections,$E113)</f>
        <v>0</v>
      </c>
      <c r="AD113" s="63">
        <f>SUMIFS(AD$28:AD$38,dataSummaryBSSections,$E113)-SUMIFS(Drivers!AZ$68:AZ$103,BSSections,$E113)</f>
        <v>0</v>
      </c>
      <c r="AE113" s="63">
        <f>SUMIFS(AE$28:AE$38,dataSummaryBSSections,$E113)-SUMIFS(Drivers!BA$68:BA$103,BSSections,$E113)</f>
        <v>0</v>
      </c>
      <c r="AF113" s="63">
        <f>SUMIFS(AF$28:AF$38,dataSummaryBSSections,$E113)-SUMIFS(Drivers!BB$68:BB$103,BSSections,$E113)</f>
        <v>0</v>
      </c>
      <c r="AG113" s="63">
        <f>SUMIFS(AG$28:AG$38,dataSummaryBSSections,$E113)-SUMIFS(Drivers!BC$68:BC$103,BSSections,$E113)</f>
        <v>0</v>
      </c>
      <c r="AH113" s="63">
        <f>SUMIFS(AH$28:AH$38,dataSummaryBSSections,$E113)-SUMIFS(Drivers!BD$68:BD$103,BSSections,$E113)</f>
        <v>0</v>
      </c>
      <c r="AI113" s="63">
        <f>SUMIFS(AI$28:AI$38,dataSummaryBSSections,$E113)-SUMIFS(Drivers!BE$68:BE$103,BSSections,$E113)</f>
        <v>0</v>
      </c>
      <c r="AJ113" s="63">
        <f>SUMIFS(AJ$28:AJ$38,dataSummaryBSSections,$E113)-SUMIFS(Drivers!BF$68:BF$103,BSSections,$E113)</f>
        <v>0</v>
      </c>
      <c r="AK113" s="63">
        <f>SUMIFS(AK$28:AK$38,dataSummaryBSSections,$E113)-SUMIFS(Drivers!BG$68:BG$103,BSSections,$E113)</f>
        <v>0</v>
      </c>
      <c r="AL113" s="63">
        <f>SUMIFS(AL$28:AL$38,dataSummaryBSSections,$E113)-SUMIFS(Drivers!BH$68:BH$103,BSSections,$E113)</f>
        <v>0</v>
      </c>
      <c r="AM113" s="63">
        <f>SUMIFS(AM$28:AM$38,dataSummaryBSSections,$E113)-SUMIFS(Drivers!BI$68:BI$103,BSSections,$E113)</f>
        <v>0</v>
      </c>
      <c r="AN113" s="63">
        <f>SUMIFS(AN$28:AN$38,dataSummaryBSSections,$E113)-SUMIFS(Drivers!BJ$68:BJ$103,BSSections,$E113)</f>
        <v>0</v>
      </c>
      <c r="AO113" s="63">
        <f>SUMIFS(AO$28:AO$38,dataSummaryBSSections,$E113)-SUMIFS(Drivers!BK$68:BK$103,BSSections,$E113)</f>
        <v>0</v>
      </c>
      <c r="AP113" s="63">
        <f>SUMIFS(AP$28:AP$38,dataSummaryBSSections,$E113)-SUMIFS(Drivers!BL$68:BL$103,BSSections,$E113)</f>
        <v>0</v>
      </c>
      <c r="AQ113" s="63">
        <f>SUMIFS(AQ$28:AQ$38,dataSummaryBSSections,$E113)-SUMIFS(Drivers!BM$68:BM$103,BSSections,$E113)</f>
        <v>0</v>
      </c>
      <c r="AR113" s="63">
        <f>SUMIFS(AR$28:AR$38,dataSummaryBSSections,$E113)-SUMIFS(Drivers!BN$68:BN$103,BSSections,$E113)</f>
        <v>0</v>
      </c>
      <c r="AS113" s="63">
        <f>SUMIFS(AS$28:AS$38,dataSummaryBSSections,$E113)-SUMIFS(Drivers!BO$68:BO$103,BSSections,$E113)</f>
        <v>0</v>
      </c>
      <c r="AT113" s="63">
        <f>SUMIFS(AT$28:AT$38,dataSummaryBSSections,$E113)-SUMIFS(Drivers!BP$68:BP$103,BSSections,$E113)</f>
        <v>0</v>
      </c>
      <c r="AU113" s="63">
        <f>SUMIFS(AU$28:AU$38,dataSummaryBSSections,$E113)-SUMIFS(Drivers!BQ$68:BQ$103,BSSections,$E113)</f>
        <v>0</v>
      </c>
      <c r="AV113" s="63">
        <f>SUMIFS(AV$28:AV$38,dataSummaryBSSections,$E113)-SUMIFS(Drivers!BR$68:BR$103,BSSections,$E113)</f>
        <v>0</v>
      </c>
      <c r="AW113" s="63">
        <f>SUMIFS(AW$28:AW$38,dataSummaryBSSections,$E113)-SUMIFS(Drivers!BS$68:BS$103,BSSections,$E113)</f>
        <v>0</v>
      </c>
    </row>
    <row r="114" spans="3:49" ht="18.75" customHeight="1" outlineLevel="2">
      <c r="C114" s="61"/>
      <c r="D114" s="61" t="s">
        <v>251</v>
      </c>
      <c r="E114" s="61" t="s">
        <v>225</v>
      </c>
      <c r="G114" s="13"/>
      <c r="H114" s="13"/>
      <c r="M114" s="63">
        <f>SUMIFS(M$28:M$38,dataSummaryBSSections,$E114)-SUMIFS(Drivers!AI$68:AI$103,BSSections,$E114)</f>
        <v>0</v>
      </c>
      <c r="N114" s="63">
        <f>SUMIFS(N$28:N$38,dataSummaryBSSections,$E114)-SUMIFS(Drivers!AJ$68:AJ$103,BSSections,$E114)</f>
        <v>0</v>
      </c>
      <c r="O114" s="63">
        <f>SUMIFS(O$28:O$38,dataSummaryBSSections,$E114)-SUMIFS(Drivers!AK$68:AK$103,BSSections,$E114)</f>
        <v>0</v>
      </c>
      <c r="P114" s="63">
        <f>SUMIFS(P$28:P$38,dataSummaryBSSections,$E114)-SUMIFS(Drivers!AL$68:AL$103,BSSections,$E114)</f>
        <v>0</v>
      </c>
      <c r="Q114" s="63">
        <f>SUMIFS(Q$28:Q$38,dataSummaryBSSections,$E114)-SUMIFS(Drivers!AM$68:AM$103,BSSections,$E114)</f>
        <v>0</v>
      </c>
      <c r="R114" s="63">
        <f>SUMIFS(R$28:R$38,dataSummaryBSSections,$E114)-SUMIFS(Drivers!AN$68:AN$103,BSSections,$E114)</f>
        <v>0</v>
      </c>
      <c r="S114" s="63">
        <f>SUMIFS(S$28:S$38,dataSummaryBSSections,$E114)-SUMIFS(Drivers!AO$68:AO$103,BSSections,$E114)</f>
        <v>0</v>
      </c>
      <c r="T114" s="63">
        <f>SUMIFS(T$28:T$38,dataSummaryBSSections,$E114)-SUMIFS(Drivers!AP$68:AP$103,BSSections,$E114)</f>
        <v>0</v>
      </c>
      <c r="U114" s="63">
        <f>SUMIFS(U$28:U$38,dataSummaryBSSections,$E114)-SUMIFS(Drivers!AQ$68:AQ$103,BSSections,$E114)</f>
        <v>0</v>
      </c>
      <c r="V114" s="63">
        <f>SUMIFS(V$28:V$38,dataSummaryBSSections,$E114)-SUMIFS(Drivers!AR$68:AR$103,BSSections,$E114)</f>
        <v>0</v>
      </c>
      <c r="W114" s="63">
        <f>SUMIFS(W$28:W$38,dataSummaryBSSections,$E114)-SUMIFS(Drivers!AS$68:AS$103,BSSections,$E114)</f>
        <v>0</v>
      </c>
      <c r="X114" s="63">
        <f>SUMIFS(X$28:X$38,dataSummaryBSSections,$E114)-SUMIFS(Drivers!AT$68:AT$103,BSSections,$E114)</f>
        <v>0</v>
      </c>
      <c r="Y114" s="63">
        <f>SUMIFS(Y$28:Y$38,dataSummaryBSSections,$E114)-SUMIFS(Drivers!AU$68:AU$103,BSSections,$E114)</f>
        <v>0</v>
      </c>
      <c r="Z114" s="63">
        <f>SUMIFS(Z$28:Z$38,dataSummaryBSSections,$E114)-SUMIFS(Drivers!AV$68:AV$103,BSSections,$E114)</f>
        <v>0</v>
      </c>
      <c r="AA114" s="63">
        <f>SUMIFS(AA$28:AA$38,dataSummaryBSSections,$E114)-SUMIFS(Drivers!AW$68:AW$103,BSSections,$E114)</f>
        <v>0</v>
      </c>
      <c r="AB114" s="63">
        <f>SUMIFS(AB$28:AB$38,dataSummaryBSSections,$E114)-SUMIFS(Drivers!AX$68:AX$103,BSSections,$E114)</f>
        <v>0</v>
      </c>
      <c r="AC114" s="63">
        <f>SUMIFS(AC$28:AC$38,dataSummaryBSSections,$E114)-SUMIFS(Drivers!AY$68:AY$103,BSSections,$E114)</f>
        <v>0</v>
      </c>
      <c r="AD114" s="63">
        <f>SUMIFS(AD$28:AD$38,dataSummaryBSSections,$E114)-SUMIFS(Drivers!AZ$68:AZ$103,BSSections,$E114)</f>
        <v>0</v>
      </c>
      <c r="AE114" s="63">
        <f>SUMIFS(AE$28:AE$38,dataSummaryBSSections,$E114)-SUMIFS(Drivers!BA$68:BA$103,BSSections,$E114)</f>
        <v>2.3283064365386963E-10</v>
      </c>
      <c r="AF114" s="63">
        <f>SUMIFS(AF$28:AF$38,dataSummaryBSSections,$E114)-SUMIFS(Drivers!BB$68:BB$103,BSSections,$E114)</f>
        <v>0</v>
      </c>
      <c r="AG114" s="63">
        <f>SUMIFS(AG$28:AG$38,dataSummaryBSSections,$E114)-SUMIFS(Drivers!BC$68:BC$103,BSSections,$E114)</f>
        <v>0</v>
      </c>
      <c r="AH114" s="63">
        <f>SUMIFS(AH$28:AH$38,dataSummaryBSSections,$E114)-SUMIFS(Drivers!BD$68:BD$103,BSSections,$E114)</f>
        <v>0</v>
      </c>
      <c r="AI114" s="63">
        <f>SUMIFS(AI$28:AI$38,dataSummaryBSSections,$E114)-SUMIFS(Drivers!BE$68:BE$103,BSSections,$E114)</f>
        <v>-4.0745362639427185E-10</v>
      </c>
      <c r="AJ114" s="63">
        <f>SUMIFS(AJ$28:AJ$38,dataSummaryBSSections,$E114)-SUMIFS(Drivers!BF$68:BF$103,BSSections,$E114)</f>
        <v>1.4551915228366852E-10</v>
      </c>
      <c r="AK114" s="63">
        <f>SUMIFS(AK$28:AK$38,dataSummaryBSSections,$E114)-SUMIFS(Drivers!BG$68:BG$103,BSSections,$E114)</f>
        <v>0</v>
      </c>
      <c r="AL114" s="63">
        <f>SUMIFS(AL$28:AL$38,dataSummaryBSSections,$E114)-SUMIFS(Drivers!BH$68:BH$103,BSSections,$E114)</f>
        <v>0</v>
      </c>
      <c r="AM114" s="63">
        <f>SUMIFS(AM$28:AM$38,dataSummaryBSSections,$E114)-SUMIFS(Drivers!BI$68:BI$103,BSSections,$E114)</f>
        <v>0</v>
      </c>
      <c r="AN114" s="63">
        <f>SUMIFS(AN$28:AN$38,dataSummaryBSSections,$E114)-SUMIFS(Drivers!BJ$68:BJ$103,BSSections,$E114)</f>
        <v>0</v>
      </c>
      <c r="AO114" s="63">
        <f>SUMIFS(AO$28:AO$38,dataSummaryBSSections,$E114)-SUMIFS(Drivers!BK$68:BK$103,BSSections,$E114)</f>
        <v>0</v>
      </c>
      <c r="AP114" s="63">
        <f>SUMIFS(AP$28:AP$38,dataSummaryBSSections,$E114)-SUMIFS(Drivers!BL$68:BL$103,BSSections,$E114)</f>
        <v>0</v>
      </c>
      <c r="AQ114" s="63">
        <f>SUMIFS(AQ$28:AQ$38,dataSummaryBSSections,$E114)-SUMIFS(Drivers!BM$68:BM$103,BSSections,$E114)</f>
        <v>0</v>
      </c>
      <c r="AR114" s="63">
        <f>SUMIFS(AR$28:AR$38,dataSummaryBSSections,$E114)-SUMIFS(Drivers!BN$68:BN$103,BSSections,$E114)</f>
        <v>0</v>
      </c>
      <c r="AS114" s="63">
        <f>SUMIFS(AS$28:AS$38,dataSummaryBSSections,$E114)-SUMIFS(Drivers!BO$68:BO$103,BSSections,$E114)</f>
        <v>0</v>
      </c>
      <c r="AT114" s="63">
        <f>SUMIFS(AT$28:AT$38,dataSummaryBSSections,$E114)-SUMIFS(Drivers!BP$68:BP$103,BSSections,$E114)</f>
        <v>0</v>
      </c>
      <c r="AU114" s="63">
        <f>SUMIFS(AU$28:AU$38,dataSummaryBSSections,$E114)-SUMIFS(Drivers!BQ$68:BQ$103,BSSections,$E114)</f>
        <v>0</v>
      </c>
      <c r="AV114" s="63">
        <f>SUMIFS(AV$28:AV$38,dataSummaryBSSections,$E114)-SUMIFS(Drivers!BR$68:BR$103,BSSections,$E114)</f>
        <v>0</v>
      </c>
      <c r="AW114" s="63">
        <f>SUMIFS(AW$28:AW$38,dataSummaryBSSections,$E114)-SUMIFS(Drivers!BS$68:BS$103,BSSections,$E114)</f>
        <v>0</v>
      </c>
    </row>
    <row r="115" spans="3:49" ht="18.75" customHeight="1" outlineLevel="2">
      <c r="C115" s="61"/>
      <c r="D115" s="61" t="s">
        <v>252</v>
      </c>
      <c r="E115" s="61"/>
      <c r="G115" s="13"/>
      <c r="H115" s="13"/>
      <c r="M115" s="62">
        <f t="shared" ref="M115:AW115" si="6">SUMIFS(M$28:M$38,dataSummaryBSSections,"Assets")-SUMIFS(M$28:M$38,dataSummaryBSSections,"Liabilities")-SUMIFS(M$28:M$38,dataSummaryBSSections,"Owners Equity")</f>
        <v>0</v>
      </c>
      <c r="N115" s="62">
        <f t="shared" si="6"/>
        <v>0</v>
      </c>
      <c r="O115" s="62">
        <f t="shared" si="6"/>
        <v>0</v>
      </c>
      <c r="P115" s="62">
        <f t="shared" si="6"/>
        <v>0</v>
      </c>
      <c r="Q115" s="62">
        <f t="shared" si="6"/>
        <v>0</v>
      </c>
      <c r="R115" s="62">
        <f t="shared" si="6"/>
        <v>0</v>
      </c>
      <c r="S115" s="62">
        <f t="shared" si="6"/>
        <v>0</v>
      </c>
      <c r="T115" s="62">
        <f t="shared" si="6"/>
        <v>0</v>
      </c>
      <c r="U115" s="62">
        <f t="shared" si="6"/>
        <v>0</v>
      </c>
      <c r="V115" s="62">
        <f t="shared" si="6"/>
        <v>0</v>
      </c>
      <c r="W115" s="62">
        <f t="shared" si="6"/>
        <v>0</v>
      </c>
      <c r="X115" s="62">
        <f t="shared" si="6"/>
        <v>0</v>
      </c>
      <c r="Y115" s="62">
        <f t="shared" si="6"/>
        <v>0</v>
      </c>
      <c r="Z115" s="62">
        <f t="shared" si="6"/>
        <v>0</v>
      </c>
      <c r="AA115" s="62">
        <f t="shared" si="6"/>
        <v>0</v>
      </c>
      <c r="AB115" s="62">
        <f t="shared" si="6"/>
        <v>0</v>
      </c>
      <c r="AC115" s="62">
        <f t="shared" si="6"/>
        <v>0</v>
      </c>
      <c r="AD115" s="62">
        <f t="shared" si="6"/>
        <v>0</v>
      </c>
      <c r="AE115" s="62">
        <f t="shared" si="6"/>
        <v>-2.3283064365386963E-10</v>
      </c>
      <c r="AF115" s="62">
        <f t="shared" si="6"/>
        <v>0</v>
      </c>
      <c r="AG115" s="62">
        <f t="shared" si="6"/>
        <v>0</v>
      </c>
      <c r="AH115" s="62">
        <f t="shared" si="6"/>
        <v>0</v>
      </c>
      <c r="AI115" s="62">
        <f t="shared" si="6"/>
        <v>4.6566128730773926E-10</v>
      </c>
      <c r="AJ115" s="62">
        <f t="shared" si="6"/>
        <v>-2.3283064365386963E-10</v>
      </c>
      <c r="AK115" s="62">
        <f t="shared" si="6"/>
        <v>0</v>
      </c>
      <c r="AL115" s="62">
        <f t="shared" si="6"/>
        <v>0</v>
      </c>
      <c r="AM115" s="62">
        <f t="shared" si="6"/>
        <v>0</v>
      </c>
      <c r="AN115" s="62">
        <f t="shared" si="6"/>
        <v>0</v>
      </c>
      <c r="AO115" s="62">
        <f t="shared" si="6"/>
        <v>0</v>
      </c>
      <c r="AP115" s="62">
        <f t="shared" si="6"/>
        <v>0</v>
      </c>
      <c r="AQ115" s="62">
        <f t="shared" si="6"/>
        <v>0</v>
      </c>
      <c r="AR115" s="62">
        <f t="shared" si="6"/>
        <v>0</v>
      </c>
      <c r="AS115" s="62">
        <f t="shared" si="6"/>
        <v>0</v>
      </c>
      <c r="AT115" s="62">
        <f t="shared" si="6"/>
        <v>0</v>
      </c>
      <c r="AU115" s="62">
        <f t="shared" si="6"/>
        <v>0</v>
      </c>
      <c r="AV115" s="62">
        <f t="shared" si="6"/>
        <v>0</v>
      </c>
      <c r="AW115" s="62">
        <f t="shared" si="6"/>
        <v>0</v>
      </c>
    </row>
    <row r="116" spans="3:49" ht="18.75" customHeight="1" outlineLevel="2">
      <c r="C116" s="61"/>
      <c r="D116" s="61" t="s">
        <v>253</v>
      </c>
      <c r="E116" s="61" t="s">
        <v>33</v>
      </c>
      <c r="G116" s="13"/>
      <c r="H116" s="13"/>
      <c r="M116" s="62">
        <f>SUMIFS(M$42:M$74,dataGLPLSections,$E116)-SUMIFS(Drivers!AI$10:AI$66,PLSections,$E116)</f>
        <v>0</v>
      </c>
      <c r="N116" s="62">
        <f>SUMIFS(N$42:N$74,dataGLPLSections,$E116)-SUMIFS(Drivers!AJ$10:AJ$66,PLSections,$E116)</f>
        <v>0</v>
      </c>
      <c r="O116" s="62">
        <f>SUMIFS(O$42:O$74,dataGLPLSections,$E116)-SUMIFS(Drivers!AK$10:AK$66,PLSections,$E116)</f>
        <v>0</v>
      </c>
      <c r="P116" s="62">
        <f>SUMIFS(P$42:P$74,dataGLPLSections,$E116)-SUMIFS(Drivers!AL$10:AL$66,PLSections,$E116)</f>
        <v>0</v>
      </c>
      <c r="Q116" s="62">
        <f>SUMIFS(Q$42:Q$74,dataGLPLSections,$E116)-SUMIFS(Drivers!AM$10:AM$66,PLSections,$E116)</f>
        <v>0</v>
      </c>
      <c r="R116" s="62">
        <f>SUMIFS(R$42:R$74,dataGLPLSections,$E116)-SUMIFS(Drivers!AN$10:AN$66,PLSections,$E116)</f>
        <v>0</v>
      </c>
      <c r="S116" s="62">
        <f>SUMIFS(S$42:S$74,dataGLPLSections,$E116)-SUMIFS(Drivers!AO$10:AO$66,PLSections,$E116)</f>
        <v>0</v>
      </c>
      <c r="T116" s="62">
        <f>SUMIFS(T$42:T$74,dataGLPLSections,$E116)-SUMIFS(Drivers!AP$10:AP$66,PLSections,$E116)</f>
        <v>0</v>
      </c>
      <c r="U116" s="62">
        <f>SUMIFS(U$42:U$74,dataGLPLSections,$E116)-SUMIFS(Drivers!AQ$10:AQ$66,PLSections,$E116)</f>
        <v>0</v>
      </c>
      <c r="V116" s="62">
        <f>SUMIFS(V$42:V$74,dataGLPLSections,$E116)-SUMIFS(Drivers!AR$10:AR$66,PLSections,$E116)</f>
        <v>0</v>
      </c>
      <c r="W116" s="62">
        <f>SUMIFS(W$42:W$74,dataGLPLSections,$E116)-SUMIFS(Drivers!AS$10:AS$66,PLSections,$E116)</f>
        <v>0</v>
      </c>
      <c r="X116" s="62">
        <f>SUMIFS(X$42:X$74,dataGLPLSections,$E116)-SUMIFS(Drivers!AT$10:AT$66,PLSections,$E116)</f>
        <v>0</v>
      </c>
      <c r="Y116" s="62">
        <f>SUMIFS(Y$42:Y$74,dataGLPLSections,$E116)-SUMIFS(Drivers!AU$10:AU$66,PLSections,$E116)</f>
        <v>0</v>
      </c>
      <c r="Z116" s="62">
        <f>SUMIFS(Z$42:Z$74,dataGLPLSections,$E116)-SUMIFS(Drivers!AV$10:AV$66,PLSections,$E116)</f>
        <v>0</v>
      </c>
      <c r="AA116" s="62">
        <f>SUMIFS(AA$42:AA$74,dataGLPLSections,$E116)-SUMIFS(Drivers!AW$10:AW$66,PLSections,$E116)</f>
        <v>0</v>
      </c>
      <c r="AB116" s="62">
        <f>SUMIFS(AB$42:AB$74,dataGLPLSections,$E116)-SUMIFS(Drivers!AX$10:AX$66,PLSections,$E116)</f>
        <v>0</v>
      </c>
      <c r="AC116" s="62">
        <f>SUMIFS(AC$42:AC$74,dataGLPLSections,$E116)-SUMIFS(Drivers!AY$10:AY$66,PLSections,$E116)</f>
        <v>0</v>
      </c>
      <c r="AD116" s="62">
        <f>SUMIFS(AD$42:AD$74,dataGLPLSections,$E116)-SUMIFS(Drivers!AZ$10:AZ$66,PLSections,$E116)</f>
        <v>0</v>
      </c>
      <c r="AE116" s="62">
        <f>SUMIFS(AE$42:AE$74,dataGLPLSections,$E116)-SUMIFS(Drivers!BA$10:BA$66,PLSections,$E116)</f>
        <v>0</v>
      </c>
      <c r="AF116" s="62">
        <f>SUMIFS(AF$42:AF$74,dataGLPLSections,$E116)-SUMIFS(Drivers!BB$10:BB$66,PLSections,$E116)</f>
        <v>0</v>
      </c>
      <c r="AG116" s="62">
        <f>SUMIFS(AG$42:AG$74,dataGLPLSections,$E116)-SUMIFS(Drivers!BC$10:BC$66,PLSections,$E116)</f>
        <v>0</v>
      </c>
      <c r="AH116" s="62">
        <f>SUMIFS(AH$42:AH$74,dataGLPLSections,$E116)-SUMIFS(Drivers!BD$10:BD$66,PLSections,$E116)</f>
        <v>0</v>
      </c>
      <c r="AI116" s="62">
        <f>SUMIFS(AI$42:AI$74,dataGLPLSections,$E116)-SUMIFS(Drivers!BE$10:BE$66,PLSections,$E116)</f>
        <v>0</v>
      </c>
      <c r="AJ116" s="62">
        <f>SUMIFS(AJ$42:AJ$74,dataGLPLSections,$E116)-SUMIFS(Drivers!BF$10:BF$66,PLSections,$E116)</f>
        <v>0</v>
      </c>
      <c r="AK116" s="62">
        <f>SUMIFS(AK$42:AK$74,dataGLPLSections,$E116)-SUMIFS(Drivers!BG$10:BG$66,PLSections,$E116)</f>
        <v>0</v>
      </c>
      <c r="AL116" s="62">
        <f>SUMIFS(AL$42:AL$74,dataGLPLSections,$E116)-SUMIFS(Drivers!BH$10:BH$66,PLSections,$E116)</f>
        <v>0</v>
      </c>
      <c r="AM116" s="62">
        <f>SUMIFS(AM$42:AM$74,dataGLPLSections,$E116)-SUMIFS(Drivers!BI$10:BI$66,PLSections,$E116)</f>
        <v>0</v>
      </c>
      <c r="AN116" s="62">
        <f>SUMIFS(AN$42:AN$74,dataGLPLSections,$E116)-SUMIFS(Drivers!BJ$10:BJ$66,PLSections,$E116)</f>
        <v>0</v>
      </c>
      <c r="AO116" s="62">
        <f>SUMIFS(AO$42:AO$74,dataGLPLSections,$E116)-SUMIFS(Drivers!BK$10:BK$66,PLSections,$E116)</f>
        <v>0</v>
      </c>
      <c r="AP116" s="62">
        <f>SUMIFS(AP$42:AP$74,dataGLPLSections,$E116)-SUMIFS(Drivers!BL$10:BL$66,PLSections,$E116)</f>
        <v>0</v>
      </c>
      <c r="AQ116" s="62">
        <f>SUMIFS(AQ$42:AQ$74,dataGLPLSections,$E116)-SUMIFS(Drivers!BM$10:BM$66,PLSections,$E116)</f>
        <v>0</v>
      </c>
      <c r="AR116" s="62">
        <f>SUMIFS(AR$42:AR$74,dataGLPLSections,$E116)-SUMIFS(Drivers!BN$10:BN$66,PLSections,$E116)</f>
        <v>0</v>
      </c>
      <c r="AS116" s="62">
        <f>SUMIFS(AS$42:AS$74,dataGLPLSections,$E116)-SUMIFS(Drivers!BO$10:BO$66,PLSections,$E116)</f>
        <v>0</v>
      </c>
      <c r="AT116" s="62">
        <f>SUMIFS(AT$42:AT$74,dataGLPLSections,$E116)-SUMIFS(Drivers!BP$10:BP$66,PLSections,$E116)</f>
        <v>0</v>
      </c>
      <c r="AU116" s="62">
        <f>SUMIFS(AU$42:AU$74,dataGLPLSections,$E116)-SUMIFS(Drivers!BQ$10:BQ$66,PLSections,$E116)</f>
        <v>0</v>
      </c>
      <c r="AV116" s="62">
        <f>SUMIFS(AV$42:AV$74,dataGLPLSections,$E116)-SUMIFS(Drivers!BR$10:BR$66,PLSections,$E116)</f>
        <v>0</v>
      </c>
      <c r="AW116" s="62">
        <f>SUMIFS(AW$42:AW$74,dataGLPLSections,$E116)-SUMIFS(Drivers!BS$10:BS$66,PLSections,$E116)</f>
        <v>0</v>
      </c>
    </row>
    <row r="117" spans="3:49" ht="18.75" customHeight="1" outlineLevel="2">
      <c r="C117" s="61"/>
      <c r="D117" s="61" t="s">
        <v>254</v>
      </c>
      <c r="E117" s="61" t="s">
        <v>143</v>
      </c>
      <c r="G117" s="13"/>
      <c r="H117" s="13"/>
      <c r="M117" s="62">
        <f>SUMIFS(M$42:M$74,dataGLPLSections,$E117)-SUMIFS(Drivers!AI$10:AI$66,PLSections,$E117)</f>
        <v>0</v>
      </c>
      <c r="N117" s="62">
        <f>SUMIFS(N$42:N$74,dataGLPLSections,$E117)-SUMIFS(Drivers!AJ$10:AJ$66,PLSections,$E117)</f>
        <v>0</v>
      </c>
      <c r="O117" s="62">
        <f>SUMIFS(O$42:O$74,dataGLPLSections,$E117)-SUMIFS(Drivers!AK$10:AK$66,PLSections,$E117)</f>
        <v>0</v>
      </c>
      <c r="P117" s="62">
        <f>SUMIFS(P$42:P$74,dataGLPLSections,$E117)-SUMIFS(Drivers!AL$10:AL$66,PLSections,$E117)</f>
        <v>0</v>
      </c>
      <c r="Q117" s="62">
        <f>SUMIFS(Q$42:Q$74,dataGLPLSections,$E117)-SUMIFS(Drivers!AM$10:AM$66,PLSections,$E117)</f>
        <v>0</v>
      </c>
      <c r="R117" s="62">
        <f>SUMIFS(R$42:R$74,dataGLPLSections,$E117)-SUMIFS(Drivers!AN$10:AN$66,PLSections,$E117)</f>
        <v>0</v>
      </c>
      <c r="S117" s="62">
        <f>SUMIFS(S$42:S$74,dataGLPLSections,$E117)-SUMIFS(Drivers!AO$10:AO$66,PLSections,$E117)</f>
        <v>0</v>
      </c>
      <c r="T117" s="62">
        <f>SUMIFS(T$42:T$74,dataGLPLSections,$E117)-SUMIFS(Drivers!AP$10:AP$66,PLSections,$E117)</f>
        <v>0</v>
      </c>
      <c r="U117" s="62">
        <f>SUMIFS(U$42:U$74,dataGLPLSections,$E117)-SUMIFS(Drivers!AQ$10:AQ$66,PLSections,$E117)</f>
        <v>0</v>
      </c>
      <c r="V117" s="62">
        <f>SUMIFS(V$42:V$74,dataGLPLSections,$E117)-SUMIFS(Drivers!AR$10:AR$66,PLSections,$E117)</f>
        <v>0</v>
      </c>
      <c r="W117" s="62">
        <f>SUMIFS(W$42:W$74,dataGLPLSections,$E117)-SUMIFS(Drivers!AS$10:AS$66,PLSections,$E117)</f>
        <v>0</v>
      </c>
      <c r="X117" s="62">
        <f>SUMIFS(X$42:X$74,dataGLPLSections,$E117)-SUMIFS(Drivers!AT$10:AT$66,PLSections,$E117)</f>
        <v>0</v>
      </c>
      <c r="Y117" s="62">
        <f>SUMIFS(Y$42:Y$74,dataGLPLSections,$E117)-SUMIFS(Drivers!AU$10:AU$66,PLSections,$E117)</f>
        <v>0</v>
      </c>
      <c r="Z117" s="62">
        <f>SUMIFS(Z$42:Z$74,dataGLPLSections,$E117)-SUMIFS(Drivers!AV$10:AV$66,PLSections,$E117)</f>
        <v>0</v>
      </c>
      <c r="AA117" s="62">
        <f>SUMIFS(AA$42:AA$74,dataGLPLSections,$E117)-SUMIFS(Drivers!AW$10:AW$66,PLSections,$E117)</f>
        <v>0</v>
      </c>
      <c r="AB117" s="62">
        <f>SUMIFS(AB$42:AB$74,dataGLPLSections,$E117)-SUMIFS(Drivers!AX$10:AX$66,PLSections,$E117)</f>
        <v>0</v>
      </c>
      <c r="AC117" s="62">
        <f>SUMIFS(AC$42:AC$74,dataGLPLSections,$E117)-SUMIFS(Drivers!AY$10:AY$66,PLSections,$E117)</f>
        <v>0</v>
      </c>
      <c r="AD117" s="62">
        <f>SUMIFS(AD$42:AD$74,dataGLPLSections,$E117)-SUMIFS(Drivers!AZ$10:AZ$66,PLSections,$E117)</f>
        <v>0</v>
      </c>
      <c r="AE117" s="62">
        <f>SUMIFS(AE$42:AE$74,dataGLPLSections,$E117)-SUMIFS(Drivers!BA$10:BA$66,PLSections,$E117)</f>
        <v>0</v>
      </c>
      <c r="AF117" s="62">
        <f>SUMIFS(AF$42:AF$74,dataGLPLSections,$E117)-SUMIFS(Drivers!BB$10:BB$66,PLSections,$E117)</f>
        <v>0</v>
      </c>
      <c r="AG117" s="62">
        <f>SUMIFS(AG$42:AG$74,dataGLPLSections,$E117)-SUMIFS(Drivers!BC$10:BC$66,PLSections,$E117)</f>
        <v>0</v>
      </c>
      <c r="AH117" s="62">
        <f>SUMIFS(AH$42:AH$74,dataGLPLSections,$E117)-SUMIFS(Drivers!BD$10:BD$66,PLSections,$E117)</f>
        <v>0</v>
      </c>
      <c r="AI117" s="62">
        <f>SUMIFS(AI$42:AI$74,dataGLPLSections,$E117)-SUMIFS(Drivers!BE$10:BE$66,PLSections,$E117)</f>
        <v>0</v>
      </c>
      <c r="AJ117" s="62">
        <f>SUMIFS(AJ$42:AJ$74,dataGLPLSections,$E117)-SUMIFS(Drivers!BF$10:BF$66,PLSections,$E117)</f>
        <v>0</v>
      </c>
      <c r="AK117" s="62">
        <f>SUMIFS(AK$42:AK$74,dataGLPLSections,$E117)-SUMIFS(Drivers!BG$10:BG$66,PLSections,$E117)</f>
        <v>0</v>
      </c>
      <c r="AL117" s="62">
        <f>SUMIFS(AL$42:AL$74,dataGLPLSections,$E117)-SUMIFS(Drivers!BH$10:BH$66,PLSections,$E117)</f>
        <v>0</v>
      </c>
      <c r="AM117" s="62">
        <f>SUMIFS(AM$42:AM$74,dataGLPLSections,$E117)-SUMIFS(Drivers!BI$10:BI$66,PLSections,$E117)</f>
        <v>0</v>
      </c>
      <c r="AN117" s="62">
        <f>SUMIFS(AN$42:AN$74,dataGLPLSections,$E117)-SUMIFS(Drivers!BJ$10:BJ$66,PLSections,$E117)</f>
        <v>0</v>
      </c>
      <c r="AO117" s="62">
        <f>SUMIFS(AO$42:AO$74,dataGLPLSections,$E117)-SUMIFS(Drivers!BK$10:BK$66,PLSections,$E117)</f>
        <v>0</v>
      </c>
      <c r="AP117" s="62">
        <f>SUMIFS(AP$42:AP$74,dataGLPLSections,$E117)-SUMIFS(Drivers!BL$10:BL$66,PLSections,$E117)</f>
        <v>0</v>
      </c>
      <c r="AQ117" s="62">
        <f>SUMIFS(AQ$42:AQ$74,dataGLPLSections,$E117)-SUMIFS(Drivers!BM$10:BM$66,PLSections,$E117)</f>
        <v>0</v>
      </c>
      <c r="AR117" s="62">
        <f>SUMIFS(AR$42:AR$74,dataGLPLSections,$E117)-SUMIFS(Drivers!BN$10:BN$66,PLSections,$E117)</f>
        <v>0</v>
      </c>
      <c r="AS117" s="62">
        <f>SUMIFS(AS$42:AS$74,dataGLPLSections,$E117)-SUMIFS(Drivers!BO$10:BO$66,PLSections,$E117)</f>
        <v>0</v>
      </c>
      <c r="AT117" s="62">
        <f>SUMIFS(AT$42:AT$74,dataGLPLSections,$E117)-SUMIFS(Drivers!BP$10:BP$66,PLSections,$E117)</f>
        <v>0</v>
      </c>
      <c r="AU117" s="62">
        <f>SUMIFS(AU$42:AU$74,dataGLPLSections,$E117)-SUMIFS(Drivers!BQ$10:BQ$66,PLSections,$E117)</f>
        <v>0</v>
      </c>
      <c r="AV117" s="62">
        <f>SUMIFS(AV$42:AV$74,dataGLPLSections,$E117)-SUMIFS(Drivers!BR$10:BR$66,PLSections,$E117)</f>
        <v>0</v>
      </c>
      <c r="AW117" s="62">
        <f>SUMIFS(AW$42:AW$74,dataGLPLSections,$E117)-SUMIFS(Drivers!BS$10:BS$66,PLSections,$E117)</f>
        <v>0</v>
      </c>
    </row>
    <row r="118" spans="3:49" ht="18.75" customHeight="1" outlineLevel="2">
      <c r="C118" s="61"/>
      <c r="D118" s="61" t="s">
        <v>255</v>
      </c>
      <c r="E118" s="61" t="s">
        <v>167</v>
      </c>
      <c r="G118" s="13"/>
      <c r="H118" s="13"/>
      <c r="M118" s="62">
        <f>SUMIFS(M$42:M$74,dataGLPLSections,$E118)-SUMIFS(Drivers!AI$10:AI$66,PLSections,$E118)</f>
        <v>0</v>
      </c>
      <c r="N118" s="62">
        <f>SUMIFS(N$42:N$74,dataGLPLSections,$E118)-SUMIFS(Drivers!AJ$10:AJ$66,PLSections,$E118)</f>
        <v>0</v>
      </c>
      <c r="O118" s="62">
        <f>SUMIFS(O$42:O$74,dataGLPLSections,$E118)-SUMIFS(Drivers!AK$10:AK$66,PLSections,$E118)</f>
        <v>0</v>
      </c>
      <c r="P118" s="62">
        <f>SUMIFS(P$42:P$74,dataGLPLSections,$E118)-SUMIFS(Drivers!AL$10:AL$66,PLSections,$E118)</f>
        <v>0</v>
      </c>
      <c r="Q118" s="62">
        <f>SUMIFS(Q$42:Q$74,dataGLPLSections,$E118)-SUMIFS(Drivers!AM$10:AM$66,PLSections,$E118)</f>
        <v>0</v>
      </c>
      <c r="R118" s="62">
        <f>SUMIFS(R$42:R$74,dataGLPLSections,$E118)-SUMIFS(Drivers!AN$10:AN$66,PLSections,$E118)</f>
        <v>0</v>
      </c>
      <c r="S118" s="62">
        <f>SUMIFS(S$42:S$74,dataGLPLSections,$E118)-SUMIFS(Drivers!AO$10:AO$66,PLSections,$E118)</f>
        <v>0</v>
      </c>
      <c r="T118" s="62">
        <f>SUMIFS(T$42:T$74,dataGLPLSections,$E118)-SUMIFS(Drivers!AP$10:AP$66,PLSections,$E118)</f>
        <v>0</v>
      </c>
      <c r="U118" s="62">
        <f>SUMIFS(U$42:U$74,dataGLPLSections,$E118)-SUMIFS(Drivers!AQ$10:AQ$66,PLSections,$E118)</f>
        <v>0</v>
      </c>
      <c r="V118" s="62">
        <f>SUMIFS(V$42:V$74,dataGLPLSections,$E118)-SUMIFS(Drivers!AR$10:AR$66,PLSections,$E118)</f>
        <v>0</v>
      </c>
      <c r="W118" s="62">
        <f>SUMIFS(W$42:W$74,dataGLPLSections,$E118)-SUMIFS(Drivers!AS$10:AS$66,PLSections,$E118)</f>
        <v>0</v>
      </c>
      <c r="X118" s="62">
        <f>SUMIFS(X$42:X$74,dataGLPLSections,$E118)-SUMIFS(Drivers!AT$10:AT$66,PLSections,$E118)</f>
        <v>0</v>
      </c>
      <c r="Y118" s="62">
        <f>SUMIFS(Y$42:Y$74,dataGLPLSections,$E118)-SUMIFS(Drivers!AU$10:AU$66,PLSections,$E118)</f>
        <v>0</v>
      </c>
      <c r="Z118" s="62">
        <f>SUMIFS(Z$42:Z$74,dataGLPLSections,$E118)-SUMIFS(Drivers!AV$10:AV$66,PLSections,$E118)</f>
        <v>0</v>
      </c>
      <c r="AA118" s="62">
        <f>SUMIFS(AA$42:AA$74,dataGLPLSections,$E118)-SUMIFS(Drivers!AW$10:AW$66,PLSections,$E118)</f>
        <v>0</v>
      </c>
      <c r="AB118" s="62">
        <f>SUMIFS(AB$42:AB$74,dataGLPLSections,$E118)-SUMIFS(Drivers!AX$10:AX$66,PLSections,$E118)</f>
        <v>0</v>
      </c>
      <c r="AC118" s="62">
        <f>SUMIFS(AC$42:AC$74,dataGLPLSections,$E118)-SUMIFS(Drivers!AY$10:AY$66,PLSections,$E118)</f>
        <v>0</v>
      </c>
      <c r="AD118" s="62">
        <f>SUMIFS(AD$42:AD$74,dataGLPLSections,$E118)-SUMIFS(Drivers!AZ$10:AZ$66,PLSections,$E118)</f>
        <v>0</v>
      </c>
      <c r="AE118" s="62">
        <f>SUMIFS(AE$42:AE$74,dataGLPLSections,$E118)-SUMIFS(Drivers!BA$10:BA$66,PLSections,$E118)</f>
        <v>0</v>
      </c>
      <c r="AF118" s="62">
        <f>SUMIFS(AF$42:AF$74,dataGLPLSections,$E118)-SUMIFS(Drivers!BB$10:BB$66,PLSections,$E118)</f>
        <v>0</v>
      </c>
      <c r="AG118" s="62">
        <f>SUMIFS(AG$42:AG$74,dataGLPLSections,$E118)-SUMIFS(Drivers!BC$10:BC$66,PLSections,$E118)</f>
        <v>0</v>
      </c>
      <c r="AH118" s="62">
        <f>SUMIFS(AH$42:AH$74,dataGLPLSections,$E118)-SUMIFS(Drivers!BD$10:BD$66,PLSections,$E118)</f>
        <v>0</v>
      </c>
      <c r="AI118" s="62">
        <f>SUMIFS(AI$42:AI$74,dataGLPLSections,$E118)-SUMIFS(Drivers!BE$10:BE$66,PLSections,$E118)</f>
        <v>0</v>
      </c>
      <c r="AJ118" s="62">
        <f>SUMIFS(AJ$42:AJ$74,dataGLPLSections,$E118)-SUMIFS(Drivers!BF$10:BF$66,PLSections,$E118)</f>
        <v>0</v>
      </c>
      <c r="AK118" s="62">
        <f>SUMIFS(AK$42:AK$74,dataGLPLSections,$E118)-SUMIFS(Drivers!BG$10:BG$66,PLSections,$E118)</f>
        <v>0</v>
      </c>
      <c r="AL118" s="62">
        <f>SUMIFS(AL$42:AL$74,dataGLPLSections,$E118)-SUMIFS(Drivers!BH$10:BH$66,PLSections,$E118)</f>
        <v>0</v>
      </c>
      <c r="AM118" s="62">
        <f>SUMIFS(AM$42:AM$74,dataGLPLSections,$E118)-SUMIFS(Drivers!BI$10:BI$66,PLSections,$E118)</f>
        <v>0</v>
      </c>
      <c r="AN118" s="62">
        <f>SUMIFS(AN$42:AN$74,dataGLPLSections,$E118)-SUMIFS(Drivers!BJ$10:BJ$66,PLSections,$E118)</f>
        <v>0</v>
      </c>
      <c r="AO118" s="62">
        <f>SUMIFS(AO$42:AO$74,dataGLPLSections,$E118)-SUMIFS(Drivers!BK$10:BK$66,PLSections,$E118)</f>
        <v>0</v>
      </c>
      <c r="AP118" s="62">
        <f>SUMIFS(AP$42:AP$74,dataGLPLSections,$E118)-SUMIFS(Drivers!BL$10:BL$66,PLSections,$E118)</f>
        <v>0</v>
      </c>
      <c r="AQ118" s="62">
        <f>SUMIFS(AQ$42:AQ$74,dataGLPLSections,$E118)-SUMIFS(Drivers!BM$10:BM$66,PLSections,$E118)</f>
        <v>0</v>
      </c>
      <c r="AR118" s="62">
        <f>SUMIFS(AR$42:AR$74,dataGLPLSections,$E118)-SUMIFS(Drivers!BN$10:BN$66,PLSections,$E118)</f>
        <v>0</v>
      </c>
      <c r="AS118" s="62">
        <f>SUMIFS(AS$42:AS$74,dataGLPLSections,$E118)-SUMIFS(Drivers!BO$10:BO$66,PLSections,$E118)</f>
        <v>0</v>
      </c>
      <c r="AT118" s="62">
        <f>SUMIFS(AT$42:AT$74,dataGLPLSections,$E118)-SUMIFS(Drivers!BP$10:BP$66,PLSections,$E118)</f>
        <v>0</v>
      </c>
      <c r="AU118" s="62">
        <f>SUMIFS(AU$42:AU$74,dataGLPLSections,$E118)-SUMIFS(Drivers!BQ$10:BQ$66,PLSections,$E118)</f>
        <v>0</v>
      </c>
      <c r="AV118" s="62">
        <f>SUMIFS(AV$42:AV$74,dataGLPLSections,$E118)-SUMIFS(Drivers!BR$10:BR$66,PLSections,$E118)</f>
        <v>0</v>
      </c>
      <c r="AW118" s="62">
        <f>SUMIFS(AW$42:AW$74,dataGLPLSections,$E118)-SUMIFS(Drivers!BS$10:BS$66,PLSections,$E118)</f>
        <v>0</v>
      </c>
    </row>
    <row r="119" spans="3:49" ht="18.75" customHeight="1" outlineLevel="2">
      <c r="C119" s="61"/>
      <c r="D119" s="61" t="s">
        <v>256</v>
      </c>
      <c r="E119" s="61" t="s">
        <v>44</v>
      </c>
      <c r="G119" s="13"/>
      <c r="H119" s="13"/>
      <c r="M119" s="62">
        <f>SUMIFS(M$42:M$74,dataGLPLSections,$E119)-SUMIFS(Drivers!AI$10:AI$66,PLSections,$E119)</f>
        <v>0</v>
      </c>
      <c r="N119" s="62">
        <f>SUMIFS(N$42:N$74,dataGLPLSections,$E119)-SUMIFS(Drivers!AJ$10:AJ$66,PLSections,$E119)</f>
        <v>0</v>
      </c>
      <c r="O119" s="62">
        <f>SUMIFS(O$42:O$74,dataGLPLSections,$E119)-SUMIFS(Drivers!AK$10:AK$66,PLSections,$E119)</f>
        <v>0</v>
      </c>
      <c r="P119" s="62">
        <f>SUMIFS(P$42:P$74,dataGLPLSections,$E119)-SUMIFS(Drivers!AL$10:AL$66,PLSections,$E119)</f>
        <v>0</v>
      </c>
      <c r="Q119" s="62">
        <f>SUMIFS(Q$42:Q$74,dataGLPLSections,$E119)-SUMIFS(Drivers!AM$10:AM$66,PLSections,$E119)</f>
        <v>0</v>
      </c>
      <c r="R119" s="62">
        <f>SUMIFS(R$42:R$74,dataGLPLSections,$E119)-SUMIFS(Drivers!AN$10:AN$66,PLSections,$E119)</f>
        <v>0</v>
      </c>
      <c r="S119" s="62">
        <f>SUMIFS(S$42:S$74,dataGLPLSections,$E119)-SUMIFS(Drivers!AO$10:AO$66,PLSections,$E119)</f>
        <v>0</v>
      </c>
      <c r="T119" s="62">
        <f>SUMIFS(T$42:T$74,dataGLPLSections,$E119)-SUMIFS(Drivers!AP$10:AP$66,PLSections,$E119)</f>
        <v>0</v>
      </c>
      <c r="U119" s="62">
        <f>SUMIFS(U$42:U$74,dataGLPLSections,$E119)-SUMIFS(Drivers!AQ$10:AQ$66,PLSections,$E119)</f>
        <v>0</v>
      </c>
      <c r="V119" s="62">
        <f>SUMIFS(V$42:V$74,dataGLPLSections,$E119)-SUMIFS(Drivers!AR$10:AR$66,PLSections,$E119)</f>
        <v>0</v>
      </c>
      <c r="W119" s="62">
        <f>SUMIFS(W$42:W$74,dataGLPLSections,$E119)-SUMIFS(Drivers!AS$10:AS$66,PLSections,$E119)</f>
        <v>0</v>
      </c>
      <c r="X119" s="62">
        <f>SUMIFS(X$42:X$74,dataGLPLSections,$E119)-SUMIFS(Drivers!AT$10:AT$66,PLSections,$E119)</f>
        <v>0</v>
      </c>
      <c r="Y119" s="62">
        <f>SUMIFS(Y$42:Y$74,dataGLPLSections,$E119)-SUMIFS(Drivers!AU$10:AU$66,PLSections,$E119)</f>
        <v>0</v>
      </c>
      <c r="Z119" s="62">
        <f>SUMIFS(Z$42:Z$74,dataGLPLSections,$E119)-SUMIFS(Drivers!AV$10:AV$66,PLSections,$E119)</f>
        <v>0</v>
      </c>
      <c r="AA119" s="62">
        <f>SUMIFS(AA$42:AA$74,dataGLPLSections,$E119)-SUMIFS(Drivers!AW$10:AW$66,PLSections,$E119)</f>
        <v>0</v>
      </c>
      <c r="AB119" s="62">
        <f>SUMIFS(AB$42:AB$74,dataGLPLSections,$E119)-SUMIFS(Drivers!AX$10:AX$66,PLSections,$E119)</f>
        <v>0</v>
      </c>
      <c r="AC119" s="62">
        <f>SUMIFS(AC$42:AC$74,dataGLPLSections,$E119)-SUMIFS(Drivers!AY$10:AY$66,PLSections,$E119)</f>
        <v>0</v>
      </c>
      <c r="AD119" s="62">
        <f>SUMIFS(AD$42:AD$74,dataGLPLSections,$E119)-SUMIFS(Drivers!AZ$10:AZ$66,PLSections,$E119)</f>
        <v>0</v>
      </c>
      <c r="AE119" s="62">
        <f>SUMIFS(AE$42:AE$74,dataGLPLSections,$E119)-SUMIFS(Drivers!BA$10:BA$66,PLSections,$E119)</f>
        <v>0</v>
      </c>
      <c r="AF119" s="62">
        <f>SUMIFS(AF$42:AF$74,dataGLPLSections,$E119)-SUMIFS(Drivers!BB$10:BB$66,PLSections,$E119)</f>
        <v>0</v>
      </c>
      <c r="AG119" s="62">
        <f>SUMIFS(AG$42:AG$74,dataGLPLSections,$E119)-SUMIFS(Drivers!BC$10:BC$66,PLSections,$E119)</f>
        <v>0</v>
      </c>
      <c r="AH119" s="62">
        <f>SUMIFS(AH$42:AH$74,dataGLPLSections,$E119)-SUMIFS(Drivers!BD$10:BD$66,PLSections,$E119)</f>
        <v>0</v>
      </c>
      <c r="AI119" s="62">
        <f>SUMIFS(AI$42:AI$74,dataGLPLSections,$E119)-SUMIFS(Drivers!BE$10:BE$66,PLSections,$E119)</f>
        <v>0</v>
      </c>
      <c r="AJ119" s="62">
        <f>SUMIFS(AJ$42:AJ$74,dataGLPLSections,$E119)-SUMIFS(Drivers!BF$10:BF$66,PLSections,$E119)</f>
        <v>0</v>
      </c>
      <c r="AK119" s="62">
        <f>SUMIFS(AK$42:AK$74,dataGLPLSections,$E119)-SUMIFS(Drivers!BG$10:BG$66,PLSections,$E119)</f>
        <v>0</v>
      </c>
      <c r="AL119" s="62">
        <f>SUMIFS(AL$42:AL$74,dataGLPLSections,$E119)-SUMIFS(Drivers!BH$10:BH$66,PLSections,$E119)</f>
        <v>0</v>
      </c>
      <c r="AM119" s="62">
        <f>SUMIFS(AM$42:AM$74,dataGLPLSections,$E119)-SUMIFS(Drivers!BI$10:BI$66,PLSections,$E119)</f>
        <v>0</v>
      </c>
      <c r="AN119" s="62">
        <f>SUMIFS(AN$42:AN$74,dataGLPLSections,$E119)-SUMIFS(Drivers!BJ$10:BJ$66,PLSections,$E119)</f>
        <v>0</v>
      </c>
      <c r="AO119" s="62">
        <f>SUMIFS(AO$42:AO$74,dataGLPLSections,$E119)-SUMIFS(Drivers!BK$10:BK$66,PLSections,$E119)</f>
        <v>0</v>
      </c>
      <c r="AP119" s="62">
        <f>SUMIFS(AP$42:AP$74,dataGLPLSections,$E119)-SUMIFS(Drivers!BL$10:BL$66,PLSections,$E119)</f>
        <v>0</v>
      </c>
      <c r="AQ119" s="62">
        <f>SUMIFS(AQ$42:AQ$74,dataGLPLSections,$E119)-SUMIFS(Drivers!BM$10:BM$66,PLSections,$E119)</f>
        <v>0</v>
      </c>
      <c r="AR119" s="62">
        <f>SUMIFS(AR$42:AR$74,dataGLPLSections,$E119)-SUMIFS(Drivers!BN$10:BN$66,PLSections,$E119)</f>
        <v>0</v>
      </c>
      <c r="AS119" s="62">
        <f>SUMIFS(AS$42:AS$74,dataGLPLSections,$E119)-SUMIFS(Drivers!BO$10:BO$66,PLSections,$E119)</f>
        <v>0</v>
      </c>
      <c r="AT119" s="62">
        <f>SUMIFS(AT$42:AT$74,dataGLPLSections,$E119)-SUMIFS(Drivers!BP$10:BP$66,PLSections,$E119)</f>
        <v>0</v>
      </c>
      <c r="AU119" s="62">
        <f>SUMIFS(AU$42:AU$74,dataGLPLSections,$E119)-SUMIFS(Drivers!BQ$10:BQ$66,PLSections,$E119)</f>
        <v>0</v>
      </c>
      <c r="AV119" s="62">
        <f>SUMIFS(AV$42:AV$74,dataGLPLSections,$E119)-SUMIFS(Drivers!BR$10:BR$66,PLSections,$E119)</f>
        <v>0</v>
      </c>
      <c r="AW119" s="62">
        <f>SUMIFS(AW$42:AW$74,dataGLPLSections,$E119)-SUMIFS(Drivers!BS$10:BS$66,PLSections,$E119)</f>
        <v>0</v>
      </c>
    </row>
    <row r="120" spans="3:49" ht="18.75" customHeight="1" outlineLevel="2">
      <c r="C120" s="61"/>
      <c r="D120" s="61" t="s">
        <v>257</v>
      </c>
      <c r="E120" s="61" t="s">
        <v>46</v>
      </c>
      <c r="G120" s="13"/>
      <c r="H120" s="13"/>
      <c r="M120" s="62">
        <f>SUMIFS(M$42:M$74,dataGLPLSections,$E120)-SUMIFS(Drivers!AI$10:AI$66,PLSections,$E120)</f>
        <v>0</v>
      </c>
      <c r="N120" s="62">
        <f>SUMIFS(N$42:N$74,dataGLPLSections,$E120)-SUMIFS(Drivers!AJ$10:AJ$66,PLSections,$E120)</f>
        <v>0</v>
      </c>
      <c r="O120" s="62">
        <f>SUMIFS(O$42:O$74,dataGLPLSections,$E120)-SUMIFS(Drivers!AK$10:AK$66,PLSections,$E120)</f>
        <v>0</v>
      </c>
      <c r="P120" s="62">
        <f>SUMIFS(P$42:P$74,dataGLPLSections,$E120)-SUMIFS(Drivers!AL$10:AL$66,PLSections,$E120)</f>
        <v>0</v>
      </c>
      <c r="Q120" s="62">
        <f>SUMIFS(Q$42:Q$74,dataGLPLSections,$E120)-SUMIFS(Drivers!AM$10:AM$66,PLSections,$E120)</f>
        <v>0</v>
      </c>
      <c r="R120" s="62">
        <f>SUMIFS(R$42:R$74,dataGLPLSections,$E120)-SUMIFS(Drivers!AN$10:AN$66,PLSections,$E120)</f>
        <v>0</v>
      </c>
      <c r="S120" s="62">
        <f>SUMIFS(S$42:S$74,dataGLPLSections,$E120)-SUMIFS(Drivers!AO$10:AO$66,PLSections,$E120)</f>
        <v>0</v>
      </c>
      <c r="T120" s="62">
        <f>SUMIFS(T$42:T$74,dataGLPLSections,$E120)-SUMIFS(Drivers!AP$10:AP$66,PLSections,$E120)</f>
        <v>0</v>
      </c>
      <c r="U120" s="62">
        <f>SUMIFS(U$42:U$74,dataGLPLSections,$E120)-SUMIFS(Drivers!AQ$10:AQ$66,PLSections,$E120)</f>
        <v>0</v>
      </c>
      <c r="V120" s="62">
        <f>SUMIFS(V$42:V$74,dataGLPLSections,$E120)-SUMIFS(Drivers!AR$10:AR$66,PLSections,$E120)</f>
        <v>0</v>
      </c>
      <c r="W120" s="62">
        <f>SUMIFS(W$42:W$74,dataGLPLSections,$E120)-SUMIFS(Drivers!AS$10:AS$66,PLSections,$E120)</f>
        <v>0</v>
      </c>
      <c r="X120" s="62">
        <f>SUMIFS(X$42:X$74,dataGLPLSections,$E120)-SUMIFS(Drivers!AT$10:AT$66,PLSections,$E120)</f>
        <v>0</v>
      </c>
      <c r="Y120" s="62">
        <f>SUMIFS(Y$42:Y$74,dataGLPLSections,$E120)-SUMIFS(Drivers!AU$10:AU$66,PLSections,$E120)</f>
        <v>0</v>
      </c>
      <c r="Z120" s="62">
        <f>SUMIFS(Z$42:Z$74,dataGLPLSections,$E120)-SUMIFS(Drivers!AV$10:AV$66,PLSections,$E120)</f>
        <v>0</v>
      </c>
      <c r="AA120" s="62">
        <f>SUMIFS(AA$42:AA$74,dataGLPLSections,$E120)-SUMIFS(Drivers!AW$10:AW$66,PLSections,$E120)</f>
        <v>0</v>
      </c>
      <c r="AB120" s="62">
        <f>SUMIFS(AB$42:AB$74,dataGLPLSections,$E120)-SUMIFS(Drivers!AX$10:AX$66,PLSections,$E120)</f>
        <v>0</v>
      </c>
      <c r="AC120" s="62">
        <f>SUMIFS(AC$42:AC$74,dataGLPLSections,$E120)-SUMIFS(Drivers!AY$10:AY$66,PLSections,$E120)</f>
        <v>0</v>
      </c>
      <c r="AD120" s="62">
        <f>SUMIFS(AD$42:AD$74,dataGLPLSections,$E120)-SUMIFS(Drivers!AZ$10:AZ$66,PLSections,$E120)</f>
        <v>0</v>
      </c>
      <c r="AE120" s="62">
        <f>SUMIFS(AE$42:AE$74,dataGLPLSections,$E120)-SUMIFS(Drivers!BA$10:BA$66,PLSections,$E120)</f>
        <v>0</v>
      </c>
      <c r="AF120" s="62">
        <f>SUMIFS(AF$42:AF$74,dataGLPLSections,$E120)-SUMIFS(Drivers!BB$10:BB$66,PLSections,$E120)</f>
        <v>0</v>
      </c>
      <c r="AG120" s="62">
        <f>SUMIFS(AG$42:AG$74,dataGLPLSections,$E120)-SUMIFS(Drivers!BC$10:BC$66,PLSections,$E120)</f>
        <v>0</v>
      </c>
      <c r="AH120" s="62">
        <f>SUMIFS(AH$42:AH$74,dataGLPLSections,$E120)-SUMIFS(Drivers!BD$10:BD$66,PLSections,$E120)</f>
        <v>0</v>
      </c>
      <c r="AI120" s="62">
        <f>SUMIFS(AI$42:AI$74,dataGLPLSections,$E120)-SUMIFS(Drivers!BE$10:BE$66,PLSections,$E120)</f>
        <v>0</v>
      </c>
      <c r="AJ120" s="62">
        <f>SUMIFS(AJ$42:AJ$74,dataGLPLSections,$E120)-SUMIFS(Drivers!BF$10:BF$66,PLSections,$E120)</f>
        <v>0</v>
      </c>
      <c r="AK120" s="62">
        <f>SUMIFS(AK$42:AK$74,dataGLPLSections,$E120)-SUMIFS(Drivers!BG$10:BG$66,PLSections,$E120)</f>
        <v>0</v>
      </c>
      <c r="AL120" s="62">
        <f>SUMIFS(AL$42:AL$74,dataGLPLSections,$E120)-SUMIFS(Drivers!BH$10:BH$66,PLSections,$E120)</f>
        <v>0</v>
      </c>
      <c r="AM120" s="62">
        <f>SUMIFS(AM$42:AM$74,dataGLPLSections,$E120)-SUMIFS(Drivers!BI$10:BI$66,PLSections,$E120)</f>
        <v>0</v>
      </c>
      <c r="AN120" s="62">
        <f>SUMIFS(AN$42:AN$74,dataGLPLSections,$E120)-SUMIFS(Drivers!BJ$10:BJ$66,PLSections,$E120)</f>
        <v>0</v>
      </c>
      <c r="AO120" s="62">
        <f>SUMIFS(AO$42:AO$74,dataGLPLSections,$E120)-SUMIFS(Drivers!BK$10:BK$66,PLSections,$E120)</f>
        <v>0</v>
      </c>
      <c r="AP120" s="62">
        <f>SUMIFS(AP$42:AP$74,dataGLPLSections,$E120)-SUMIFS(Drivers!BL$10:BL$66,PLSections,$E120)</f>
        <v>0</v>
      </c>
      <c r="AQ120" s="62">
        <f>SUMIFS(AQ$42:AQ$74,dataGLPLSections,$E120)-SUMIFS(Drivers!BM$10:BM$66,PLSections,$E120)</f>
        <v>0</v>
      </c>
      <c r="AR120" s="62">
        <f>SUMIFS(AR$42:AR$74,dataGLPLSections,$E120)-SUMIFS(Drivers!BN$10:BN$66,PLSections,$E120)</f>
        <v>0</v>
      </c>
      <c r="AS120" s="62">
        <f>SUMIFS(AS$42:AS$74,dataGLPLSections,$E120)-SUMIFS(Drivers!BO$10:BO$66,PLSections,$E120)</f>
        <v>0</v>
      </c>
      <c r="AT120" s="62">
        <f>SUMIFS(AT$42:AT$74,dataGLPLSections,$E120)-SUMIFS(Drivers!BP$10:BP$66,PLSections,$E120)</f>
        <v>0</v>
      </c>
      <c r="AU120" s="62">
        <f>SUMIFS(AU$42:AU$74,dataGLPLSections,$E120)-SUMIFS(Drivers!BQ$10:BQ$66,PLSections,$E120)</f>
        <v>0</v>
      </c>
      <c r="AV120" s="62">
        <f>SUMIFS(AV$42:AV$74,dataGLPLSections,$E120)-SUMIFS(Drivers!BR$10:BR$66,PLSections,$E120)</f>
        <v>0</v>
      </c>
      <c r="AW120" s="62">
        <f>SUMIFS(AW$42:AW$74,dataGLPLSections,$E120)-SUMIFS(Drivers!BS$10:BS$66,PLSections,$E120)</f>
        <v>0</v>
      </c>
    </row>
    <row r="121" spans="3:49" ht="18.75" customHeight="1" outlineLevel="2">
      <c r="C121" s="61"/>
      <c r="D121" s="61" t="s">
        <v>258</v>
      </c>
      <c r="E121" s="61" t="s">
        <v>49</v>
      </c>
      <c r="G121" s="13"/>
      <c r="H121" s="13"/>
      <c r="M121" s="62">
        <f>SUMIFS(M$77:M$104,dataGLBSSections,$E121)-SUMIFS(Drivers!AI$68:AI$103,BSSections,$E121)</f>
        <v>0</v>
      </c>
      <c r="N121" s="62">
        <f>SUMIFS(N$77:N$104,dataGLBSSections,$E121)-SUMIFS(Drivers!AJ$68:AJ$103,BSSections,$E121)</f>
        <v>0</v>
      </c>
      <c r="O121" s="62">
        <f>SUMIFS(O$77:O$104,dataGLBSSections,$E121)-SUMIFS(Drivers!AK$68:AK$103,BSSections,$E121)</f>
        <v>0</v>
      </c>
      <c r="P121" s="62">
        <f>SUMIFS(P$77:P$104,dataGLBSSections,$E121)-SUMIFS(Drivers!AL$68:AL$103,BSSections,$E121)</f>
        <v>0</v>
      </c>
      <c r="Q121" s="62">
        <f>SUMIFS(Q$77:Q$104,dataGLBSSections,$E121)-SUMIFS(Drivers!AM$68:AM$103,BSSections,$E121)</f>
        <v>0</v>
      </c>
      <c r="R121" s="62">
        <f>SUMIFS(R$77:R$104,dataGLBSSections,$E121)-SUMIFS(Drivers!AN$68:AN$103,BSSections,$E121)</f>
        <v>0</v>
      </c>
      <c r="S121" s="62">
        <f>SUMIFS(S$77:S$104,dataGLBSSections,$E121)-SUMIFS(Drivers!AO$68:AO$103,BSSections,$E121)</f>
        <v>0</v>
      </c>
      <c r="T121" s="62">
        <f>SUMIFS(T$77:T$104,dataGLBSSections,$E121)-SUMIFS(Drivers!AP$68:AP$103,BSSections,$E121)</f>
        <v>0</v>
      </c>
      <c r="U121" s="62">
        <f>SUMIFS(U$77:U$104,dataGLBSSections,$E121)-SUMIFS(Drivers!AQ$68:AQ$103,BSSections,$E121)</f>
        <v>0</v>
      </c>
      <c r="V121" s="62">
        <f>SUMIFS(V$77:V$104,dataGLBSSections,$E121)-SUMIFS(Drivers!AR$68:AR$103,BSSections,$E121)</f>
        <v>0</v>
      </c>
      <c r="W121" s="62">
        <f>SUMIFS(W$77:W$104,dataGLBSSections,$E121)-SUMIFS(Drivers!AS$68:AS$103,BSSections,$E121)</f>
        <v>0</v>
      </c>
      <c r="X121" s="62">
        <f>SUMIFS(X$77:X$104,dataGLBSSections,$E121)-SUMIFS(Drivers!AT$68:AT$103,BSSections,$E121)</f>
        <v>0</v>
      </c>
      <c r="Y121" s="62">
        <f>SUMIFS(Y$77:Y$104,dataGLBSSections,$E121)-SUMIFS(Drivers!AU$68:AU$103,BSSections,$E121)</f>
        <v>0</v>
      </c>
      <c r="Z121" s="62">
        <f>SUMIFS(Z$77:Z$104,dataGLBSSections,$E121)-SUMIFS(Drivers!AV$68:AV$103,BSSections,$E121)</f>
        <v>0</v>
      </c>
      <c r="AA121" s="62">
        <f>SUMIFS(AA$77:AA$104,dataGLBSSections,$E121)-SUMIFS(Drivers!AW$68:AW$103,BSSections,$E121)</f>
        <v>0</v>
      </c>
      <c r="AB121" s="62">
        <f>SUMIFS(AB$77:AB$104,dataGLBSSections,$E121)-SUMIFS(Drivers!AX$68:AX$103,BSSections,$E121)</f>
        <v>0</v>
      </c>
      <c r="AC121" s="62">
        <f>SUMIFS(AC$77:AC$104,dataGLBSSections,$E121)-SUMIFS(Drivers!AY$68:AY$103,BSSections,$E121)</f>
        <v>0</v>
      </c>
      <c r="AD121" s="62">
        <f>SUMIFS(AD$77:AD$104,dataGLBSSections,$E121)-SUMIFS(Drivers!AZ$68:AZ$103,BSSections,$E121)</f>
        <v>0</v>
      </c>
      <c r="AE121" s="62">
        <f>SUMIFS(AE$77:AE$104,dataGLBSSections,$E121)-SUMIFS(Drivers!BA$68:BA$103,BSSections,$E121)</f>
        <v>0</v>
      </c>
      <c r="AF121" s="62">
        <f>SUMIFS(AF$77:AF$104,dataGLBSSections,$E121)-SUMIFS(Drivers!BB$68:BB$103,BSSections,$E121)</f>
        <v>0</v>
      </c>
      <c r="AG121" s="62">
        <f>SUMIFS(AG$77:AG$104,dataGLBSSections,$E121)-SUMIFS(Drivers!BC$68:BC$103,BSSections,$E121)</f>
        <v>0</v>
      </c>
      <c r="AH121" s="62">
        <f>SUMIFS(AH$77:AH$104,dataGLBSSections,$E121)-SUMIFS(Drivers!BD$68:BD$103,BSSections,$E121)</f>
        <v>0</v>
      </c>
      <c r="AI121" s="62">
        <f>SUMIFS(AI$77:AI$104,dataGLBSSections,$E121)-SUMIFS(Drivers!BE$68:BE$103,BSSections,$E121)</f>
        <v>0</v>
      </c>
      <c r="AJ121" s="62">
        <f>SUMIFS(AJ$77:AJ$104,dataGLBSSections,$E121)-SUMIFS(Drivers!BF$68:BF$103,BSSections,$E121)</f>
        <v>0</v>
      </c>
      <c r="AK121" s="62">
        <f>SUMIFS(AK$77:AK$104,dataGLBSSections,$E121)-SUMIFS(Drivers!BG$68:BG$103,BSSections,$E121)</f>
        <v>0</v>
      </c>
      <c r="AL121" s="62">
        <f>SUMIFS(AL$77:AL$104,dataGLBSSections,$E121)-SUMIFS(Drivers!BH$68:BH$103,BSSections,$E121)</f>
        <v>0</v>
      </c>
      <c r="AM121" s="62">
        <f>SUMIFS(AM$77:AM$104,dataGLBSSections,$E121)-SUMIFS(Drivers!BI$68:BI$103,BSSections,$E121)</f>
        <v>0</v>
      </c>
      <c r="AN121" s="62">
        <f>SUMIFS(AN$77:AN$104,dataGLBSSections,$E121)-SUMIFS(Drivers!BJ$68:BJ$103,BSSections,$E121)</f>
        <v>0</v>
      </c>
      <c r="AO121" s="62">
        <f>SUMIFS(AO$77:AO$104,dataGLBSSections,$E121)-SUMIFS(Drivers!BK$68:BK$103,BSSections,$E121)</f>
        <v>0</v>
      </c>
      <c r="AP121" s="62">
        <f>SUMIFS(AP$77:AP$104,dataGLBSSections,$E121)-SUMIFS(Drivers!BL$68:BL$103,BSSections,$E121)</f>
        <v>0</v>
      </c>
      <c r="AQ121" s="62">
        <f>SUMIFS(AQ$77:AQ$104,dataGLBSSections,$E121)-SUMIFS(Drivers!BM$68:BM$103,BSSections,$E121)</f>
        <v>0</v>
      </c>
      <c r="AR121" s="62">
        <f>SUMIFS(AR$77:AR$104,dataGLBSSections,$E121)-SUMIFS(Drivers!BN$68:BN$103,BSSections,$E121)</f>
        <v>0</v>
      </c>
      <c r="AS121" s="62">
        <f>SUMIFS(AS$77:AS$104,dataGLBSSections,$E121)-SUMIFS(Drivers!BO$68:BO$103,BSSections,$E121)</f>
        <v>0</v>
      </c>
      <c r="AT121" s="62">
        <f>SUMIFS(AT$77:AT$104,dataGLBSSections,$E121)-SUMIFS(Drivers!BP$68:BP$103,BSSections,$E121)</f>
        <v>0</v>
      </c>
      <c r="AU121" s="62">
        <f>SUMIFS(AU$77:AU$104,dataGLBSSections,$E121)-SUMIFS(Drivers!BQ$68:BQ$103,BSSections,$E121)</f>
        <v>0</v>
      </c>
      <c r="AV121" s="62">
        <f>SUMIFS(AV$77:AV$104,dataGLBSSections,$E121)-SUMIFS(Drivers!BR$68:BR$103,BSSections,$E121)</f>
        <v>0</v>
      </c>
      <c r="AW121" s="62">
        <f>SUMIFS(AW$77:AW$104,dataGLBSSections,$E121)-SUMIFS(Drivers!BS$68:BS$103,BSSections,$E121)</f>
        <v>0</v>
      </c>
    </row>
    <row r="122" spans="3:49" ht="18.75" customHeight="1" outlineLevel="2">
      <c r="C122" s="61"/>
      <c r="D122" s="61" t="s">
        <v>259</v>
      </c>
      <c r="E122" s="61" t="s">
        <v>56</v>
      </c>
      <c r="G122" s="13"/>
      <c r="H122" s="13"/>
      <c r="M122" s="62">
        <f>SUMIFS(M$77:M$104,dataGLBSSections,$E122)-SUMIFS(Drivers!AI$68:AI$103,BSSections,$E122)</f>
        <v>0</v>
      </c>
      <c r="N122" s="62">
        <f>SUMIFS(N$77:N$104,dataGLBSSections,$E122)-SUMIFS(Drivers!AJ$68:AJ$103,BSSections,$E122)</f>
        <v>0</v>
      </c>
      <c r="O122" s="62">
        <f>SUMIFS(O$77:O$104,dataGLBSSections,$E122)-SUMIFS(Drivers!AK$68:AK$103,BSSections,$E122)</f>
        <v>0</v>
      </c>
      <c r="P122" s="62">
        <f>SUMIFS(P$77:P$104,dataGLBSSections,$E122)-SUMIFS(Drivers!AL$68:AL$103,BSSections,$E122)</f>
        <v>0</v>
      </c>
      <c r="Q122" s="62">
        <f>SUMIFS(Q$77:Q$104,dataGLBSSections,$E122)-SUMIFS(Drivers!AM$68:AM$103,BSSections,$E122)</f>
        <v>0</v>
      </c>
      <c r="R122" s="62">
        <f>SUMIFS(R$77:R$104,dataGLBSSections,$E122)-SUMIFS(Drivers!AN$68:AN$103,BSSections,$E122)</f>
        <v>0</v>
      </c>
      <c r="S122" s="62">
        <f>SUMIFS(S$77:S$104,dataGLBSSections,$E122)-SUMIFS(Drivers!AO$68:AO$103,BSSections,$E122)</f>
        <v>0</v>
      </c>
      <c r="T122" s="62">
        <f>SUMIFS(T$77:T$104,dataGLBSSections,$E122)-SUMIFS(Drivers!AP$68:AP$103,BSSections,$E122)</f>
        <v>0</v>
      </c>
      <c r="U122" s="62">
        <f>SUMIFS(U$77:U$104,dataGLBSSections,$E122)-SUMIFS(Drivers!AQ$68:AQ$103,BSSections,$E122)</f>
        <v>0</v>
      </c>
      <c r="V122" s="62">
        <f>SUMIFS(V$77:V$104,dataGLBSSections,$E122)-SUMIFS(Drivers!AR$68:AR$103,BSSections,$E122)</f>
        <v>0</v>
      </c>
      <c r="W122" s="62">
        <f>SUMIFS(W$77:W$104,dataGLBSSections,$E122)-SUMIFS(Drivers!AS$68:AS$103,BSSections,$E122)</f>
        <v>0</v>
      </c>
      <c r="X122" s="62">
        <f>SUMIFS(X$77:X$104,dataGLBSSections,$E122)-SUMIFS(Drivers!AT$68:AT$103,BSSections,$E122)</f>
        <v>0</v>
      </c>
      <c r="Y122" s="62">
        <f>SUMIFS(Y$77:Y$104,dataGLBSSections,$E122)-SUMIFS(Drivers!AU$68:AU$103,BSSections,$E122)</f>
        <v>0</v>
      </c>
      <c r="Z122" s="62">
        <f>SUMIFS(Z$77:Z$104,dataGLBSSections,$E122)-SUMIFS(Drivers!AV$68:AV$103,BSSections,$E122)</f>
        <v>0</v>
      </c>
      <c r="AA122" s="62">
        <f>SUMIFS(AA$77:AA$104,dataGLBSSections,$E122)-SUMIFS(Drivers!AW$68:AW$103,BSSections,$E122)</f>
        <v>0</v>
      </c>
      <c r="AB122" s="62">
        <f>SUMIFS(AB$77:AB$104,dataGLBSSections,$E122)-SUMIFS(Drivers!AX$68:AX$103,BSSections,$E122)</f>
        <v>0</v>
      </c>
      <c r="AC122" s="62">
        <f>SUMIFS(AC$77:AC$104,dataGLBSSections,$E122)-SUMIFS(Drivers!AY$68:AY$103,BSSections,$E122)</f>
        <v>0</v>
      </c>
      <c r="AD122" s="62">
        <f>SUMIFS(AD$77:AD$104,dataGLBSSections,$E122)-SUMIFS(Drivers!AZ$68:AZ$103,BSSections,$E122)</f>
        <v>0</v>
      </c>
      <c r="AE122" s="62">
        <f>SUMIFS(AE$77:AE$104,dataGLBSSections,$E122)-SUMIFS(Drivers!BA$68:BA$103,BSSections,$E122)</f>
        <v>0</v>
      </c>
      <c r="AF122" s="62">
        <f>SUMIFS(AF$77:AF$104,dataGLBSSections,$E122)-SUMIFS(Drivers!BB$68:BB$103,BSSections,$E122)</f>
        <v>0</v>
      </c>
      <c r="AG122" s="62">
        <f>SUMIFS(AG$77:AG$104,dataGLBSSections,$E122)-SUMIFS(Drivers!BC$68:BC$103,BSSections,$E122)</f>
        <v>0</v>
      </c>
      <c r="AH122" s="62">
        <f>SUMIFS(AH$77:AH$104,dataGLBSSections,$E122)-SUMIFS(Drivers!BD$68:BD$103,BSSections,$E122)</f>
        <v>0</v>
      </c>
      <c r="AI122" s="62">
        <f>SUMIFS(AI$77:AI$104,dataGLBSSections,$E122)-SUMIFS(Drivers!BE$68:BE$103,BSSections,$E122)</f>
        <v>0</v>
      </c>
      <c r="AJ122" s="62">
        <f>SUMIFS(AJ$77:AJ$104,dataGLBSSections,$E122)-SUMIFS(Drivers!BF$68:BF$103,BSSections,$E122)</f>
        <v>0</v>
      </c>
      <c r="AK122" s="62">
        <f>SUMIFS(AK$77:AK$104,dataGLBSSections,$E122)-SUMIFS(Drivers!BG$68:BG$103,BSSections,$E122)</f>
        <v>0</v>
      </c>
      <c r="AL122" s="62">
        <f>SUMIFS(AL$77:AL$104,dataGLBSSections,$E122)-SUMIFS(Drivers!BH$68:BH$103,BSSections,$E122)</f>
        <v>0</v>
      </c>
      <c r="AM122" s="62">
        <f>SUMIFS(AM$77:AM$104,dataGLBSSections,$E122)-SUMIFS(Drivers!BI$68:BI$103,BSSections,$E122)</f>
        <v>0</v>
      </c>
      <c r="AN122" s="62">
        <f>SUMIFS(AN$77:AN$104,dataGLBSSections,$E122)-SUMIFS(Drivers!BJ$68:BJ$103,BSSections,$E122)</f>
        <v>0</v>
      </c>
      <c r="AO122" s="62">
        <f>SUMIFS(AO$77:AO$104,dataGLBSSections,$E122)-SUMIFS(Drivers!BK$68:BK$103,BSSections,$E122)</f>
        <v>0</v>
      </c>
      <c r="AP122" s="62">
        <f>SUMIFS(AP$77:AP$104,dataGLBSSections,$E122)-SUMIFS(Drivers!BL$68:BL$103,BSSections,$E122)</f>
        <v>0</v>
      </c>
      <c r="AQ122" s="62">
        <f>SUMIFS(AQ$77:AQ$104,dataGLBSSections,$E122)-SUMIFS(Drivers!BM$68:BM$103,BSSections,$E122)</f>
        <v>0</v>
      </c>
      <c r="AR122" s="62">
        <f>SUMIFS(AR$77:AR$104,dataGLBSSections,$E122)-SUMIFS(Drivers!BN$68:BN$103,BSSections,$E122)</f>
        <v>0</v>
      </c>
      <c r="AS122" s="62">
        <f>SUMIFS(AS$77:AS$104,dataGLBSSections,$E122)-SUMIFS(Drivers!BO$68:BO$103,BSSections,$E122)</f>
        <v>0</v>
      </c>
      <c r="AT122" s="62">
        <f>SUMIFS(AT$77:AT$104,dataGLBSSections,$E122)-SUMIFS(Drivers!BP$68:BP$103,BSSections,$E122)</f>
        <v>0</v>
      </c>
      <c r="AU122" s="62">
        <f>SUMIFS(AU$77:AU$104,dataGLBSSections,$E122)-SUMIFS(Drivers!BQ$68:BQ$103,BSSections,$E122)</f>
        <v>0</v>
      </c>
      <c r="AV122" s="62">
        <f>SUMIFS(AV$77:AV$104,dataGLBSSections,$E122)-SUMIFS(Drivers!BR$68:BR$103,BSSections,$E122)</f>
        <v>0</v>
      </c>
      <c r="AW122" s="62">
        <f>SUMIFS(AW$77:AW$104,dataGLBSSections,$E122)-SUMIFS(Drivers!BS$68:BS$103,BSSections,$E122)</f>
        <v>0</v>
      </c>
    </row>
    <row r="123" spans="3:49" ht="18.75" customHeight="1" outlineLevel="2">
      <c r="C123" s="61"/>
      <c r="D123" s="61" t="s">
        <v>260</v>
      </c>
      <c r="E123" s="61" t="s">
        <v>225</v>
      </c>
      <c r="G123" s="13"/>
      <c r="H123" s="13"/>
      <c r="M123" s="62">
        <f>SUMIFS(M$77:M$104,dataGLBSSections,$E123)-SUMIFS(Drivers!AI$68:AI$103,BSSections,$E123)</f>
        <v>0</v>
      </c>
      <c r="N123" s="62">
        <f>SUMIFS(N$77:N$104,dataGLBSSections,$E123)-SUMIFS(Drivers!AJ$68:AJ$103,BSSections,$E123)</f>
        <v>0</v>
      </c>
      <c r="O123" s="62">
        <f>SUMIFS(O$77:O$104,dataGLBSSections,$E123)-SUMIFS(Drivers!AK$68:AK$103,BSSections,$E123)</f>
        <v>0</v>
      </c>
      <c r="P123" s="62">
        <f>SUMIFS(P$77:P$104,dataGLBSSections,$E123)-SUMIFS(Drivers!AL$68:AL$103,BSSections,$E123)</f>
        <v>0</v>
      </c>
      <c r="Q123" s="62">
        <f>SUMIFS(Q$77:Q$104,dataGLBSSections,$E123)-SUMIFS(Drivers!AM$68:AM$103,BSSections,$E123)</f>
        <v>0</v>
      </c>
      <c r="R123" s="62">
        <f>SUMIFS(R$77:R$104,dataGLBSSections,$E123)-SUMIFS(Drivers!AN$68:AN$103,BSSections,$E123)</f>
        <v>0</v>
      </c>
      <c r="S123" s="62">
        <f>SUMIFS(S$77:S$104,dataGLBSSections,$E123)-SUMIFS(Drivers!AO$68:AO$103,BSSections,$E123)</f>
        <v>0</v>
      </c>
      <c r="T123" s="62">
        <f>SUMIFS(T$77:T$104,dataGLBSSections,$E123)-SUMIFS(Drivers!AP$68:AP$103,BSSections,$E123)</f>
        <v>0</v>
      </c>
      <c r="U123" s="62">
        <f>SUMIFS(U$77:U$104,dataGLBSSections,$E123)-SUMIFS(Drivers!AQ$68:AQ$103,BSSections,$E123)</f>
        <v>0</v>
      </c>
      <c r="V123" s="62">
        <f>SUMIFS(V$77:V$104,dataGLBSSections,$E123)-SUMIFS(Drivers!AR$68:AR$103,BSSections,$E123)</f>
        <v>0</v>
      </c>
      <c r="W123" s="62">
        <f>SUMIFS(W$77:W$104,dataGLBSSections,$E123)-SUMIFS(Drivers!AS$68:AS$103,BSSections,$E123)</f>
        <v>0</v>
      </c>
      <c r="X123" s="62">
        <f>SUMIFS(X$77:X$104,dataGLBSSections,$E123)-SUMIFS(Drivers!AT$68:AT$103,BSSections,$E123)</f>
        <v>0</v>
      </c>
      <c r="Y123" s="62">
        <f>SUMIFS(Y$77:Y$104,dataGLBSSections,$E123)-SUMIFS(Drivers!AU$68:AU$103,BSSections,$E123)</f>
        <v>0</v>
      </c>
      <c r="Z123" s="62">
        <f>SUMIFS(Z$77:Z$104,dataGLBSSections,$E123)-SUMIFS(Drivers!AV$68:AV$103,BSSections,$E123)</f>
        <v>0</v>
      </c>
      <c r="AA123" s="62">
        <f>SUMIFS(AA$77:AA$104,dataGLBSSections,$E123)-SUMIFS(Drivers!AW$68:AW$103,BSSections,$E123)</f>
        <v>0</v>
      </c>
      <c r="AB123" s="62">
        <f>SUMIFS(AB$77:AB$104,dataGLBSSections,$E123)-SUMIFS(Drivers!AX$68:AX$103,BSSections,$E123)</f>
        <v>0</v>
      </c>
      <c r="AC123" s="62">
        <f>SUMIFS(AC$77:AC$104,dataGLBSSections,$E123)-SUMIFS(Drivers!AY$68:AY$103,BSSections,$E123)</f>
        <v>0</v>
      </c>
      <c r="AD123" s="62">
        <f>SUMIFS(AD$77:AD$104,dataGLBSSections,$E123)-SUMIFS(Drivers!AZ$68:AZ$103,BSSections,$E123)</f>
        <v>0</v>
      </c>
      <c r="AE123" s="62">
        <f>SUMIFS(AE$77:AE$104,dataGLBSSections,$E123)-SUMIFS(Drivers!BA$68:BA$103,BSSections,$E123)</f>
        <v>0</v>
      </c>
      <c r="AF123" s="62">
        <f>SUMIFS(AF$77:AF$104,dataGLBSSections,$E123)-SUMIFS(Drivers!BB$68:BB$103,BSSections,$E123)</f>
        <v>0</v>
      </c>
      <c r="AG123" s="62">
        <f>SUMIFS(AG$77:AG$104,dataGLBSSections,$E123)-SUMIFS(Drivers!BC$68:BC$103,BSSections,$E123)</f>
        <v>0</v>
      </c>
      <c r="AH123" s="62">
        <f>SUMIFS(AH$77:AH$104,dataGLBSSections,$E123)-SUMIFS(Drivers!BD$68:BD$103,BSSections,$E123)</f>
        <v>0</v>
      </c>
      <c r="AI123" s="62">
        <f>SUMIFS(AI$77:AI$104,dataGLBSSections,$E123)-SUMIFS(Drivers!BE$68:BE$103,BSSections,$E123)</f>
        <v>0</v>
      </c>
      <c r="AJ123" s="62">
        <f>SUMIFS(AJ$77:AJ$104,dataGLBSSections,$E123)-SUMIFS(Drivers!BF$68:BF$103,BSSections,$E123)</f>
        <v>0</v>
      </c>
      <c r="AK123" s="62">
        <f>SUMIFS(AK$77:AK$104,dataGLBSSections,$E123)-SUMIFS(Drivers!BG$68:BG$103,BSSections,$E123)</f>
        <v>0</v>
      </c>
      <c r="AL123" s="62">
        <f>SUMIFS(AL$77:AL$104,dataGLBSSections,$E123)-SUMIFS(Drivers!BH$68:BH$103,BSSections,$E123)</f>
        <v>0</v>
      </c>
      <c r="AM123" s="62">
        <f>SUMIFS(AM$77:AM$104,dataGLBSSections,$E123)-SUMIFS(Drivers!BI$68:BI$103,BSSections,$E123)</f>
        <v>0</v>
      </c>
      <c r="AN123" s="62">
        <f>SUMIFS(AN$77:AN$104,dataGLBSSections,$E123)-SUMIFS(Drivers!BJ$68:BJ$103,BSSections,$E123)</f>
        <v>0</v>
      </c>
      <c r="AO123" s="62">
        <f>SUMIFS(AO$77:AO$104,dataGLBSSections,$E123)-SUMIFS(Drivers!BK$68:BK$103,BSSections,$E123)</f>
        <v>0</v>
      </c>
      <c r="AP123" s="62">
        <f>SUMIFS(AP$77:AP$104,dataGLBSSections,$E123)-SUMIFS(Drivers!BL$68:BL$103,BSSections,$E123)</f>
        <v>0</v>
      </c>
      <c r="AQ123" s="62">
        <f>SUMIFS(AQ$77:AQ$104,dataGLBSSections,$E123)-SUMIFS(Drivers!BM$68:BM$103,BSSections,$E123)</f>
        <v>0</v>
      </c>
      <c r="AR123" s="62">
        <f>SUMIFS(AR$77:AR$104,dataGLBSSections,$E123)-SUMIFS(Drivers!BN$68:BN$103,BSSections,$E123)</f>
        <v>0</v>
      </c>
      <c r="AS123" s="62">
        <f>SUMIFS(AS$77:AS$104,dataGLBSSections,$E123)-SUMIFS(Drivers!BO$68:BO$103,BSSections,$E123)</f>
        <v>0</v>
      </c>
      <c r="AT123" s="62">
        <f>SUMIFS(AT$77:AT$104,dataGLBSSections,$E123)-SUMIFS(Drivers!BP$68:BP$103,BSSections,$E123)</f>
        <v>0</v>
      </c>
      <c r="AU123" s="62">
        <f>SUMIFS(AU$77:AU$104,dataGLBSSections,$E123)-SUMIFS(Drivers!BQ$68:BQ$103,BSSections,$E123)</f>
        <v>0</v>
      </c>
      <c r="AV123" s="62">
        <f>SUMIFS(AV$77:AV$104,dataGLBSSections,$E123)-SUMIFS(Drivers!BR$68:BR$103,BSSections,$E123)</f>
        <v>0</v>
      </c>
      <c r="AW123" s="62">
        <f>SUMIFS(AW$77:AW$104,dataGLBSSections,$E123)-SUMIFS(Drivers!BS$68:BS$103,BSSections,$E123)</f>
        <v>0</v>
      </c>
    </row>
    <row r="124" spans="3:49" ht="18.75" customHeight="1" outlineLevel="2">
      <c r="C124" s="61"/>
      <c r="D124" s="61" t="s">
        <v>261</v>
      </c>
      <c r="E124" s="61"/>
      <c r="G124" s="13"/>
      <c r="H124" s="13"/>
      <c r="M124" s="62">
        <f t="shared" ref="M124:AW124" si="7">SUMIFS(M$77:M$104,dataGLBSSections,"Assets")-SUMIFS(M$77:M$104,dataGLBSSections,"Liabilities")-SUMIFS(M$77:M$104,dataGLBSSections,"Owners Equity")</f>
        <v>0</v>
      </c>
      <c r="N124" s="62">
        <f t="shared" si="7"/>
        <v>0</v>
      </c>
      <c r="O124" s="62">
        <f t="shared" si="7"/>
        <v>0</v>
      </c>
      <c r="P124" s="62">
        <f t="shared" si="7"/>
        <v>0</v>
      </c>
      <c r="Q124" s="62">
        <f t="shared" si="7"/>
        <v>0</v>
      </c>
      <c r="R124" s="62">
        <f t="shared" si="7"/>
        <v>0</v>
      </c>
      <c r="S124" s="62">
        <f t="shared" si="7"/>
        <v>0</v>
      </c>
      <c r="T124" s="62">
        <f t="shared" si="7"/>
        <v>0</v>
      </c>
      <c r="U124" s="62">
        <f t="shared" si="7"/>
        <v>0</v>
      </c>
      <c r="V124" s="62">
        <f t="shared" si="7"/>
        <v>0</v>
      </c>
      <c r="W124" s="62">
        <f t="shared" si="7"/>
        <v>0</v>
      </c>
      <c r="X124" s="62">
        <f t="shared" si="7"/>
        <v>0</v>
      </c>
      <c r="Y124" s="62">
        <f t="shared" si="7"/>
        <v>0</v>
      </c>
      <c r="Z124" s="62">
        <f t="shared" si="7"/>
        <v>0</v>
      </c>
      <c r="AA124" s="62">
        <f t="shared" si="7"/>
        <v>0</v>
      </c>
      <c r="AB124" s="62">
        <f t="shared" si="7"/>
        <v>0</v>
      </c>
      <c r="AC124" s="62">
        <f t="shared" si="7"/>
        <v>0</v>
      </c>
      <c r="AD124" s="62">
        <f t="shared" si="7"/>
        <v>0</v>
      </c>
      <c r="AE124" s="62">
        <f t="shared" si="7"/>
        <v>0</v>
      </c>
      <c r="AF124" s="62">
        <f t="shared" si="7"/>
        <v>0</v>
      </c>
      <c r="AG124" s="62">
        <f t="shared" si="7"/>
        <v>0</v>
      </c>
      <c r="AH124" s="62">
        <f t="shared" si="7"/>
        <v>0</v>
      </c>
      <c r="AI124" s="62">
        <f t="shared" si="7"/>
        <v>0</v>
      </c>
      <c r="AJ124" s="62">
        <f t="shared" si="7"/>
        <v>-8.7311491370201111E-11</v>
      </c>
      <c r="AK124" s="62">
        <f t="shared" si="7"/>
        <v>0</v>
      </c>
      <c r="AL124" s="62">
        <f t="shared" si="7"/>
        <v>0</v>
      </c>
      <c r="AM124" s="62">
        <f t="shared" si="7"/>
        <v>0</v>
      </c>
      <c r="AN124" s="62">
        <f t="shared" si="7"/>
        <v>0</v>
      </c>
      <c r="AO124" s="62">
        <f t="shared" si="7"/>
        <v>0</v>
      </c>
      <c r="AP124" s="62">
        <f t="shared" si="7"/>
        <v>0</v>
      </c>
      <c r="AQ124" s="62">
        <f t="shared" si="7"/>
        <v>0</v>
      </c>
      <c r="AR124" s="62">
        <f t="shared" si="7"/>
        <v>0</v>
      </c>
      <c r="AS124" s="62">
        <f t="shared" si="7"/>
        <v>0</v>
      </c>
      <c r="AT124" s="62">
        <f t="shared" si="7"/>
        <v>0</v>
      </c>
      <c r="AU124" s="62">
        <f t="shared" si="7"/>
        <v>0</v>
      </c>
      <c r="AV124" s="62">
        <f t="shared" si="7"/>
        <v>0</v>
      </c>
      <c r="AW124" s="62">
        <f t="shared" si="7"/>
        <v>0</v>
      </c>
    </row>
    <row r="125" spans="3:49" ht="18.75" customHeight="1">
      <c r="C125" s="61"/>
    </row>
  </sheetData>
  <mergeCells count="1">
    <mergeCell ref="L2:L8"/>
  </mergeCells>
  <pageMargins left="0.7" right="0.7" top="0.75" bottom="0.75" header="0.3" footer="0.3"/>
  <pageSetup orientation="portrait" r:id="rId1"/>
  <customProperties>
    <customPr name="data-inserted" r:id="rId2"/>
    <customPr name="sheetName" r:id="rId3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F8F0-30A9-4515-B70D-C845D5A0A553}">
  <sheetPr>
    <outlinePr summaryBelow="0" summaryRight="0"/>
  </sheetPr>
  <dimension ref="B1:H104"/>
  <sheetViews>
    <sheetView showGridLines="0" workbookViewId="0">
      <selection activeCell="B20" sqref="B20"/>
    </sheetView>
  </sheetViews>
  <sheetFormatPr defaultColWidth="10.28515625" defaultRowHeight="15" outlineLevelRow="1"/>
  <cols>
    <col min="1" max="1" width="2.42578125" style="75" customWidth="1"/>
    <col min="2" max="2" width="27.85546875" style="75" customWidth="1"/>
    <col min="3" max="3" width="12.42578125" style="76" bestFit="1" customWidth="1"/>
    <col min="4" max="4" width="67" style="75" customWidth="1"/>
    <col min="5" max="5" width="4.42578125" style="75" customWidth="1"/>
    <col min="6" max="6" width="3.28515625" style="75" customWidth="1"/>
    <col min="7" max="7" width="1.140625" style="75" bestFit="1" customWidth="1"/>
    <col min="8" max="8" width="9.42578125" style="75" bestFit="1" customWidth="1"/>
    <col min="9" max="9" width="12.42578125" style="75" bestFit="1" customWidth="1"/>
    <col min="10" max="10" width="18" style="75" bestFit="1" customWidth="1"/>
    <col min="11" max="11" width="19.28515625" style="75" customWidth="1"/>
    <col min="12" max="13" width="10.28515625" style="75" customWidth="1"/>
    <col min="14" max="14" width="10.42578125" style="75" bestFit="1" customWidth="1"/>
    <col min="15" max="16384" width="10.28515625" style="75"/>
  </cols>
  <sheetData>
    <row r="1" spans="2:8" ht="24">
      <c r="B1" s="101" t="s">
        <v>262</v>
      </c>
      <c r="C1" s="100"/>
      <c r="D1" s="99"/>
      <c r="E1" s="98"/>
    </row>
    <row r="2" spans="2:8" ht="15.75">
      <c r="B2" s="89" t="s">
        <v>263</v>
      </c>
      <c r="C2" s="97"/>
      <c r="D2" s="96"/>
      <c r="E2" s="95"/>
    </row>
    <row r="3" spans="2:8" outlineLevel="1">
      <c r="B3" s="93" t="s">
        <v>264</v>
      </c>
      <c r="C3" s="94"/>
      <c r="D3" s="275" t="s">
        <v>265</v>
      </c>
      <c r="E3" s="276"/>
    </row>
    <row r="4" spans="2:8" outlineLevel="1">
      <c r="B4" s="93" t="s">
        <v>266</v>
      </c>
      <c r="C4" s="92"/>
      <c r="D4" s="277" t="s">
        <v>267</v>
      </c>
      <c r="E4" s="278"/>
      <c r="G4" s="91" t="e" vm="1">
        <v>#VALUE!</v>
      </c>
      <c r="H4" s="90" t="s">
        <v>268</v>
      </c>
    </row>
    <row r="5" spans="2:8" outlineLevel="1">
      <c r="B5" s="93" t="s">
        <v>269</v>
      </c>
      <c r="C5" s="92"/>
      <c r="D5" s="279" t="s">
        <v>270</v>
      </c>
      <c r="E5" s="280"/>
      <c r="G5" s="91" t="e" vm="2">
        <v>#VALUE!</v>
      </c>
      <c r="H5" s="90" t="s">
        <v>271</v>
      </c>
    </row>
    <row r="7" spans="2:8" ht="15.75">
      <c r="B7" s="89" t="s">
        <v>262</v>
      </c>
      <c r="C7" s="88"/>
      <c r="D7" s="88"/>
      <c r="E7" s="87"/>
    </row>
    <row r="8" spans="2:8">
      <c r="B8" s="86" t="s">
        <v>272</v>
      </c>
      <c r="C8" s="86" t="s">
        <v>231</v>
      </c>
      <c r="D8" s="86" t="s">
        <v>273</v>
      </c>
      <c r="E8" s="86"/>
    </row>
    <row r="9" spans="2:8">
      <c r="B9" s="85" t="s">
        <v>274</v>
      </c>
      <c r="C9" s="84" cm="1">
        <f t="array" ref="C9">COUNTIF(Drivers!P106:BS116,"&gt;= 1") + COUNTIF(Drivers!P106:BS116,"&lt;= -1") + SUM(--ISERROR(Drivers!P106:BS116))</f>
        <v>0</v>
      </c>
      <c r="D9" s="83" t="str">
        <f>IF(OR($C9&gt;0.5,$C9&lt;-0.5),"See Check at the bottom of " &amp;  B9,"No Errors")</f>
        <v>No Errors</v>
      </c>
      <c r="E9" s="82" t="e" vm="3">
        <f>IF($D9="No Errors",$G$5,$G$4)</f>
        <v>#VALUE!</v>
      </c>
    </row>
    <row r="10" spans="2:8" ht="15.75" customHeight="1">
      <c r="B10" s="85" t="s">
        <v>275</v>
      </c>
      <c r="C10" s="84" cm="1">
        <f t="array" ref="C10">COUNTIF('Data Summary'!M107:AW124,"&gt;= 1") + COUNTIF('Data Summary'!M107:AW124,"&lt;= -1") + SUM(--ISERROR('Data Summary'!M107:AW124))</f>
        <v>0</v>
      </c>
      <c r="D10" s="83" t="str">
        <f>IF(OR($C10&gt;0.5,$C10&lt;-0.5),"See Check at the bottom of " &amp;  B10,"No Errors")</f>
        <v>No Errors</v>
      </c>
      <c r="E10" s="82" t="e" vm="3">
        <f>IF($D10="No Errors",$G$5,$G$4)</f>
        <v>#VALUE!</v>
      </c>
    </row>
    <row r="11" spans="2:8">
      <c r="B11" s="85"/>
      <c r="C11" s="84"/>
      <c r="D11" s="83"/>
      <c r="E11" s="82"/>
    </row>
    <row r="12" spans="2:8">
      <c r="B12" s="81" t="s">
        <v>276</v>
      </c>
      <c r="C12" s="80">
        <f>IFERROR(SUM(C9:C9),100)</f>
        <v>0</v>
      </c>
      <c r="D12" s="79" t="str">
        <f>IF(D3 = "On",IF(COUNTIF($D$9:$D$11,"No Errors")=COUNTA($B$9:$B$11),D4,D5),"")</f>
        <v>Model Functioning Properly</v>
      </c>
      <c r="E12" s="78"/>
    </row>
    <row r="104" spans="4:4">
      <c r="D104" s="77" t="s">
        <v>241</v>
      </c>
    </row>
  </sheetData>
  <mergeCells count="3">
    <mergeCell ref="D3:E3"/>
    <mergeCell ref="D4:E4"/>
    <mergeCell ref="D5:E5"/>
  </mergeCells>
  <dataValidations count="1">
    <dataValidation type="list" allowBlank="1" showInputMessage="1" showErrorMessage="1" sqref="D3" xr:uid="{60FCAB38-ABE7-4AA2-8F5D-61EA1D876E86}">
      <formula1>"On, Off"</formula1>
    </dataValidation>
  </dataValidations>
  <pageMargins left="0.7" right="0.7" top="0.75" bottom="0.75" header="0.3" footer="0.3"/>
  <customProperties>
    <customPr name="sheetName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054F-26F8-4BB1-B026-5D1A73231F5F}">
  <dimension ref="A1:R65"/>
  <sheetViews>
    <sheetView zoomScaleNormal="100" workbookViewId="0">
      <selection activeCell="B5" sqref="B5"/>
    </sheetView>
  </sheetViews>
  <sheetFormatPr defaultColWidth="8.85546875" defaultRowHeight="15"/>
  <cols>
    <col min="1" max="1" width="1.42578125" customWidth="1"/>
    <col min="2" max="3" width="16.85546875" customWidth="1"/>
    <col min="4" max="4" width="1.42578125" customWidth="1"/>
    <col min="5" max="5" width="17.42578125" bestFit="1" customWidth="1"/>
    <col min="6" max="6" width="12" bestFit="1" customWidth="1"/>
    <col min="7" max="7" width="11.140625" bestFit="1" customWidth="1"/>
    <col min="8" max="8" width="22.42578125" bestFit="1" customWidth="1"/>
    <col min="9" max="9" width="10.140625" bestFit="1" customWidth="1"/>
    <col min="10" max="10" width="18.42578125" bestFit="1" customWidth="1"/>
    <col min="11" max="11" width="17.85546875" bestFit="1" customWidth="1"/>
    <col min="12" max="12" width="25.42578125" bestFit="1" customWidth="1"/>
    <col min="13" max="13" width="16.85546875" bestFit="1" customWidth="1"/>
    <col min="14" max="14" width="16" bestFit="1" customWidth="1"/>
    <col min="15" max="15" width="23.85546875" bestFit="1" customWidth="1"/>
    <col min="16" max="16" width="1.42578125" customWidth="1"/>
    <col min="17" max="17" width="14.28515625" customWidth="1"/>
    <col min="18" max="18" width="19.42578125" bestFit="1" customWidth="1"/>
    <col min="19" max="19" width="22.28515625" customWidth="1"/>
    <col min="20" max="20" width="9.140625" bestFit="1" customWidth="1"/>
    <col min="21" max="21" width="19.42578125" bestFit="1" customWidth="1"/>
    <col min="22" max="22" width="24" customWidth="1"/>
    <col min="23" max="23" width="14.28515625" customWidth="1"/>
    <col min="24" max="24" width="20.140625" customWidth="1"/>
    <col min="25" max="25" width="9.140625" bestFit="1" customWidth="1"/>
  </cols>
  <sheetData>
    <row r="1" spans="1:18" s="106" customFormat="1">
      <c r="A1" t="s">
        <v>536</v>
      </c>
    </row>
    <row r="2" spans="1:18" s="52" customFormat="1">
      <c r="A2" t="str">
        <f ca="1">MID(CELL("filename",A1),FIND("]",CELL("filename",A1))+1,255)</f>
        <v>Lists</v>
      </c>
    </row>
    <row r="3" spans="1:18">
      <c r="A3" t="e" cm="1">
        <f t="array" ref="A3">errorCheck</f>
        <v>#NAME?</v>
      </c>
    </row>
    <row r="5" spans="1:18" s="107" customFormat="1">
      <c r="B5" s="109" t="s">
        <v>278</v>
      </c>
      <c r="C5" s="109" t="s">
        <v>277</v>
      </c>
      <c r="E5" s="108" t="s">
        <v>278</v>
      </c>
      <c r="F5" s="108" t="s">
        <v>279</v>
      </c>
      <c r="G5" s="108" t="s">
        <v>280</v>
      </c>
      <c r="H5" s="108" t="s">
        <v>281</v>
      </c>
      <c r="I5" s="108" t="s">
        <v>91</v>
      </c>
      <c r="J5" s="108" t="s">
        <v>282</v>
      </c>
      <c r="K5" s="108" t="s">
        <v>283</v>
      </c>
      <c r="L5" s="108" t="s">
        <v>284</v>
      </c>
      <c r="M5" s="108" t="s">
        <v>285</v>
      </c>
      <c r="N5" s="108" t="s">
        <v>286</v>
      </c>
      <c r="O5" s="108" t="s">
        <v>287</v>
      </c>
      <c r="Q5" s="107" t="s">
        <v>288</v>
      </c>
      <c r="R5" s="107" t="s">
        <v>289</v>
      </c>
    </row>
    <row r="6" spans="1:18">
      <c r="B6" s="102" t="str" cm="1">
        <f t="array" ref="B6:B21">{"This Month";"Last Month";"Next Month";"This Quarter";"Last Quarter";"Next Quarter";"This Year";"Last Year";"Next Year";"YTD";"Forecast";"Quarter to Date";"Trailing 3 Months";"Trailing 6 Months";"Trailing 12 Months";"Custom"}</f>
        <v>This Month</v>
      </c>
      <c r="C6" t="str" cm="1">
        <f t="array" ref="C6:C16">{"Comma";"Comma Var";"Millions";"Millions Var";"Thousands";"Thousands Var";"%";"% Var";"2 Decimal";"2 Decimal Var";"Months"}</f>
        <v>Comma</v>
      </c>
      <c r="E6" t="s">
        <v>290</v>
      </c>
      <c r="F6" s="1">
        <f>EOMONTH(LatestMonthOfActuals,-1)+1</f>
        <v>45901</v>
      </c>
      <c r="G6" s="1">
        <f>LatestMonthOfActuals</f>
        <v>45930</v>
      </c>
      <c r="H6" s="103" t="str">
        <f>TEXT(G6,"MMMM YYY")</f>
        <v>September 2025</v>
      </c>
      <c r="I6">
        <f>(YEAR(PeriodTable[[#This Row],[End date]])-YEAR(PeriodTable[[#This Row],[Start date]]))*12+(MONTH(PeriodTable[[#This Row],[End date]])-MONTH(PeriodTable[[#This Row],[Start date]]))+1</f>
        <v>1</v>
      </c>
      <c r="J6" s="1">
        <f>EOMONTH(PeriodTable[[#This Row],[Start date]],-PeriodTable[[#This Row],[Periods]]-1)+1</f>
        <v>45870</v>
      </c>
      <c r="K6" s="1">
        <f>EOMONTH(PeriodTable[[#This Row],[Prior Period Start]],PeriodTable[[#This Row],[Periods]]-1)</f>
        <v>45900</v>
      </c>
      <c r="L6" s="103" t="str">
        <f>TEXT(K6,"MMMM YYY")</f>
        <v>August 2025</v>
      </c>
      <c r="M6" s="1">
        <f>EOMONTH(PeriodTable[[#This Row],[Start date]],-13)+1</f>
        <v>45536</v>
      </c>
      <c r="N6" s="1">
        <f>EOMONTH(PeriodTable[[#This Row],[Prior Year Start]],PeriodTable[[#This Row],[Periods]]-1)</f>
        <v>45565</v>
      </c>
      <c r="O6" t="str">
        <f>TEXT(N6,"MMMM YYY")</f>
        <v>September 2024</v>
      </c>
      <c r="Q6" t="s">
        <v>291</v>
      </c>
      <c r="R6" s="104" t="s">
        <v>292</v>
      </c>
    </row>
    <row r="7" spans="1:18">
      <c r="B7" s="102" t="str">
        <v>Last Month</v>
      </c>
      <c r="C7" t="str">
        <v>Comma Var</v>
      </c>
      <c r="E7" t="s">
        <v>293</v>
      </c>
      <c r="F7" s="1">
        <f>EOMONTH(LatestMonthOfActuals,-2)+1</f>
        <v>45870</v>
      </c>
      <c r="G7" s="1">
        <f>EOMONTH(LatestMonthOfActuals,-1)</f>
        <v>45900</v>
      </c>
      <c r="H7" s="103" t="str">
        <f>TEXT(G7,"MMMM YYY")</f>
        <v>August 2025</v>
      </c>
      <c r="I7">
        <f>(YEAR(PeriodTable[[#This Row],[End date]])-YEAR(PeriodTable[[#This Row],[Start date]]))*12+(MONTH(PeriodTable[[#This Row],[End date]])-MONTH(PeriodTable[[#This Row],[Start date]]))+1</f>
        <v>1</v>
      </c>
      <c r="J7" s="1">
        <f>EOMONTH(PeriodTable[[#This Row],[Start date]],-PeriodTable[[#This Row],[Periods]]-1)+1</f>
        <v>45839</v>
      </c>
      <c r="K7" s="1">
        <f>EOMONTH(PeriodTable[[#This Row],[Prior Period Start]],PeriodTable[[#This Row],[Periods]]-1)</f>
        <v>45869</v>
      </c>
      <c r="L7" s="103" t="str">
        <f>TEXT(K7,"MMMM YYY")</f>
        <v>July 2025</v>
      </c>
      <c r="M7" s="1">
        <f>EOMONTH(PeriodTable[[#This Row],[Start date]],-13)+1</f>
        <v>45505</v>
      </c>
      <c r="N7" s="1">
        <f>EOMONTH(PeriodTable[[#This Row],[Prior Year Start]],PeriodTable[[#This Row],[Periods]]-1)</f>
        <v>45535</v>
      </c>
      <c r="O7" t="str">
        <f>TEXT(N7,"MMMM YYY")</f>
        <v>August 2024</v>
      </c>
      <c r="Q7" t="s">
        <v>294</v>
      </c>
      <c r="R7" s="104" t="s">
        <v>295</v>
      </c>
    </row>
    <row r="8" spans="1:18">
      <c r="B8" s="102" t="str">
        <v>Next Month</v>
      </c>
      <c r="C8" t="str">
        <v>Millions</v>
      </c>
      <c r="E8" t="s">
        <v>296</v>
      </c>
      <c r="F8" s="1">
        <f>LatestMonthOfActuals+1</f>
        <v>45931</v>
      </c>
      <c r="G8" s="1">
        <f>EOMONTH(LatestMonthOfActuals,1)</f>
        <v>45961</v>
      </c>
      <c r="H8" s="103" t="str">
        <f>TEXT(G8,"MMMM YYY")</f>
        <v>October 2025</v>
      </c>
      <c r="I8">
        <f>(YEAR(PeriodTable[[#This Row],[End date]])-YEAR(PeriodTable[[#This Row],[Start date]]))*12+(MONTH(PeriodTable[[#This Row],[End date]])-MONTH(PeriodTable[[#This Row],[Start date]]))+1</f>
        <v>1</v>
      </c>
      <c r="J8" s="1">
        <f>EOMONTH(PeriodTable[[#This Row],[Start date]],-PeriodTable[[#This Row],[Periods]]-1)+1</f>
        <v>45901</v>
      </c>
      <c r="K8" s="1">
        <f>EOMONTH(PeriodTable[[#This Row],[Prior Period Start]],PeriodTable[[#This Row],[Periods]]-1)</f>
        <v>45930</v>
      </c>
      <c r="L8" s="103" t="str">
        <f>TEXT(K8,"MMMM YYY")</f>
        <v>September 2025</v>
      </c>
      <c r="M8" s="1">
        <f>EOMONTH(PeriodTable[[#This Row],[Start date]],-13)+1</f>
        <v>45566</v>
      </c>
      <c r="N8" s="1">
        <f>EOMONTH(PeriodTable[[#This Row],[Prior Year Start]],PeriodTable[[#This Row],[Periods]]-1)</f>
        <v>45596</v>
      </c>
      <c r="O8" t="str">
        <f>TEXT(N8,"MMMM YYY")</f>
        <v>October 2024</v>
      </c>
      <c r="Q8" t="s">
        <v>297</v>
      </c>
      <c r="R8" s="104" t="s">
        <v>298</v>
      </c>
    </row>
    <row r="9" spans="1:18">
      <c r="B9" s="102" t="str">
        <v>This Quarter</v>
      </c>
      <c r="C9" t="str">
        <v>Millions Var</v>
      </c>
      <c r="E9" t="s">
        <v>299</v>
      </c>
      <c r="F9" s="1">
        <f>EOMONTH(DATE(YEAR(LatestMonthOfActuals),ROUNDUP((MONTH(LatestMonthOfActuals)-Fiscal_Offset+12)/3,0)*3-2+Fiscal_Offset-12,1),-1)+1</f>
        <v>45839</v>
      </c>
      <c r="G9" s="1">
        <f>EOMONTH(DATE(YEAR(LatestMonthOfActuals),ROUNDUP((MONTH(LatestMonthOfActuals)-Fiscal_Offset+12)/3,0)*3+Fiscal_Offset-12,1),0)</f>
        <v>45930</v>
      </c>
      <c r="H9" s="103" t="str">
        <f>"Q"&amp;ROUNDUP((MOD(MONTH(LatestMonthOfActuals)-Fiscal_Offset+11,12)+1)/3,0)&amp;" "&amp;(YEAR(LatestMonthOfActuals)-IF(MONTH(LatestMonthOfActuals)&lt;=Fiscal_Offset,1,0))</f>
        <v>Q3 2025</v>
      </c>
      <c r="I9">
        <f>(YEAR(PeriodTable[[#This Row],[End date]])-YEAR(PeriodTable[[#This Row],[Start date]]))*12+(MONTH(PeriodTable[[#This Row],[End date]])-MONTH(PeriodTable[[#This Row],[Start date]]))+1</f>
        <v>3</v>
      </c>
      <c r="J9" s="1">
        <f>EOMONTH(PeriodTable[[#This Row],[Start date]],-PeriodTable[[#This Row],[Periods]]-1)+1</f>
        <v>45748</v>
      </c>
      <c r="K9" s="1">
        <f>EOMONTH(PeriodTable[[#This Row],[Prior Period Start]],PeriodTable[[#This Row],[Periods]]-1)</f>
        <v>45838</v>
      </c>
      <c r="L9" s="103" t="str">
        <f>"Q"&amp;ROUNDUP((MOD(MONTH(K9)-Fiscal_Offset+11,12)+1)/3,0)&amp;" "&amp;(YEAR(K9)-IF(MONTH(K9)&lt;=Fiscal_Offset,1,0))</f>
        <v>Q2 2025</v>
      </c>
      <c r="M9" s="1">
        <f>EOMONTH(PeriodTable[[#This Row],[Start date]],-13)+1</f>
        <v>45474</v>
      </c>
      <c r="N9" s="1">
        <f>EOMONTH(PeriodTable[[#This Row],[Prior Year Start]],PeriodTable[[#This Row],[Periods]]-1)</f>
        <v>45565</v>
      </c>
      <c r="O9" t="str">
        <f>"Q"&amp;ROUNDUP((MOD(MONTH(N9)-Fiscal_Offset+11,12)+1)/3,0)&amp;" "&amp;(YEAR(N9)-IF(MONTH(N9)&lt;=Fiscal_Offset,1,0))</f>
        <v>Q3 2024</v>
      </c>
      <c r="Q9" t="s">
        <v>300</v>
      </c>
      <c r="R9" s="104" t="s">
        <v>301</v>
      </c>
    </row>
    <row r="10" spans="1:18">
      <c r="B10" s="102" t="str">
        <v>Last Quarter</v>
      </c>
      <c r="C10" t="str">
        <v>Thousands</v>
      </c>
      <c r="E10" t="s">
        <v>302</v>
      </c>
      <c r="F10" s="1">
        <f>EDATE(F9,-3)</f>
        <v>45748</v>
      </c>
      <c r="G10" s="1">
        <f>EOMONTH(G9,-3)</f>
        <v>45838</v>
      </c>
      <c r="H10" s="103" t="str">
        <f>"Q"&amp;ROUNDUP((MOD(MONTH(F10)-Fiscal_Offset+11,12)+1)/3,0)&amp;" "&amp;(YEAR(F10)-IF(MONTH(F10)&lt;=Fiscal_Offset,1,0))</f>
        <v>Q2 2025</v>
      </c>
      <c r="I10">
        <f>(YEAR(PeriodTable[[#This Row],[End date]])-YEAR(PeriodTable[[#This Row],[Start date]]))*12+(MONTH(PeriodTable[[#This Row],[End date]])-MONTH(PeriodTable[[#This Row],[Start date]]))+1</f>
        <v>3</v>
      </c>
      <c r="J10" s="1">
        <f>EOMONTH(PeriodTable[[#This Row],[Start date]],-PeriodTable[[#This Row],[Periods]]-1)+1</f>
        <v>45658</v>
      </c>
      <c r="K10" s="1">
        <f>EOMONTH(PeriodTable[[#This Row],[Prior Period Start]],PeriodTable[[#This Row],[Periods]]-1)</f>
        <v>45747</v>
      </c>
      <c r="L10" s="103" t="str">
        <f>"Q"&amp;ROUNDUP((MOD(MONTH(J10)-Fiscal_Offset+11,12)+1)/3,0)&amp;" "&amp;(YEAR(J10)-IF(MONTH(J10)&lt;=Fiscal_Offset,1,0))</f>
        <v>Q1 2025</v>
      </c>
      <c r="M10" s="1">
        <f>EOMONTH(PeriodTable[[#This Row],[Start date]],-13)+1</f>
        <v>45383</v>
      </c>
      <c r="N10" s="1">
        <f>EOMONTH(PeriodTable[[#This Row],[Prior Year Start]],PeriodTable[[#This Row],[Periods]]-1)</f>
        <v>45473</v>
      </c>
      <c r="O10" s="103" t="str">
        <f>"Q"&amp;ROUNDUP((MOD(MONTH(M10)-Fiscal_Offset+11,12)+1)/3,0)&amp;" "&amp;(YEAR(M10)-IF(MONTH(M10)&lt;=Fiscal_Offset,1,0))</f>
        <v>Q2 2024</v>
      </c>
      <c r="Q10" t="s">
        <v>303</v>
      </c>
      <c r="R10" t="s">
        <v>304</v>
      </c>
    </row>
    <row r="11" spans="1:18" s="106" customFormat="1" ht="30">
      <c r="B11" s="102" t="str">
        <v>Next Quarter</v>
      </c>
      <c r="C11" s="106" t="str">
        <v>Thousands Var</v>
      </c>
      <c r="E11" t="s">
        <v>305</v>
      </c>
      <c r="F11" s="1">
        <f>EDATE(F9,3)</f>
        <v>45931</v>
      </c>
      <c r="G11" s="1">
        <f>EOMONTH(G9,3)</f>
        <v>46022</v>
      </c>
      <c r="H11" s="103" t="str">
        <f>"Q"&amp;ROUNDUP((MOD(MONTH(F11)-Fiscal_Offset+11,12)+1)/3,0)&amp;" "&amp;(YEAR(F11)-IF(MONTH(F11)&lt;=Fiscal_Offset,1,0))</f>
        <v>Q4 2025</v>
      </c>
      <c r="I11">
        <f>(YEAR(PeriodTable[[#This Row],[End date]])-YEAR(PeriodTable[[#This Row],[Start date]]))*12+(MONTH(PeriodTable[[#This Row],[End date]])-MONTH(PeriodTable[[#This Row],[Start date]]))+1</f>
        <v>3</v>
      </c>
      <c r="J11" s="1">
        <f>EOMONTH(PeriodTable[[#This Row],[Start date]],-PeriodTable[[#This Row],[Periods]]-1)+1</f>
        <v>45839</v>
      </c>
      <c r="K11" s="1">
        <f>EOMONTH(PeriodTable[[#This Row],[Prior Period Start]],PeriodTable[[#This Row],[Periods]]-1)</f>
        <v>45930</v>
      </c>
      <c r="L11" s="103" t="str">
        <f>"Q"&amp;ROUNDUP((MOD(MONTH(J11)-Fiscal_Offset+11,12)+1)/3,0)&amp;" "&amp;(YEAR(J11)-IF(MONTH(J11)&lt;=Fiscal_Offset,1,0))</f>
        <v>Q3 2025</v>
      </c>
      <c r="M11" s="1">
        <f>EOMONTH(PeriodTable[[#This Row],[Start date]],-13)+1</f>
        <v>45566</v>
      </c>
      <c r="N11" s="1">
        <f>EOMONTH(PeriodTable[[#This Row],[Prior Year Start]],PeriodTable[[#This Row],[Periods]]-1)</f>
        <v>45657</v>
      </c>
      <c r="O11" s="103" t="str">
        <f>"Q"&amp;ROUNDUP((MOD(MONTH(M11)-Fiscal_Offset+11,12)+1)/3,0)&amp;" "&amp;(YEAR(M11)-IF(MONTH(M11)&lt;=Fiscal_Offset,1,0))</f>
        <v>Q4 2024</v>
      </c>
      <c r="Q11" s="106" t="s">
        <v>306</v>
      </c>
      <c r="R11" s="104" t="s">
        <v>307</v>
      </c>
    </row>
    <row r="12" spans="1:18">
      <c r="B12" s="102" t="str">
        <v>This Year</v>
      </c>
      <c r="C12" t="str">
        <v>%</v>
      </c>
      <c r="E12" t="s">
        <v>308</v>
      </c>
      <c r="F12" s="1">
        <f>DATE(YEAR(LatestMonthOfActuals)-IF(MONTH(LatestMonthOfActuals)&lt;=Fiscal_Offset,1,0),Fiscal_Offset+1,1)</f>
        <v>45658</v>
      </c>
      <c r="G12" s="1">
        <f>EOMONTH(PeriodTable[[#This Row],[Start date]],11)</f>
        <v>46022</v>
      </c>
      <c r="H12" s="103">
        <f>YEAR(PeriodTable[[#This Row],[Start date]])</f>
        <v>2025</v>
      </c>
      <c r="I12">
        <f>(YEAR(PeriodTable[[#This Row],[End date]])-YEAR(PeriodTable[[#This Row],[Start date]]))*12+(MONTH(PeriodTable[[#This Row],[End date]])-MONTH(PeriodTable[[#This Row],[Start date]]))+1</f>
        <v>12</v>
      </c>
      <c r="J12" s="1">
        <f>EOMONTH(PeriodTable[[#This Row],[Start date]],-PeriodTable[[#This Row],[Periods]]-1)+1</f>
        <v>45292</v>
      </c>
      <c r="K12" s="1">
        <f>EOMONTH(PeriodTable[[#This Row],[Prior Period Start]],PeriodTable[[#This Row],[Periods]]-1)</f>
        <v>45657</v>
      </c>
      <c r="L12" s="103">
        <f>YEAR(PeriodTable[[#This Row],[Prior Period Start]])</f>
        <v>2024</v>
      </c>
      <c r="M12" s="1">
        <f>EOMONTH(PeriodTable[[#This Row],[Start date]],-13)+1</f>
        <v>45292</v>
      </c>
      <c r="N12" s="1">
        <f>EOMONTH(PeriodTable[[#This Row],[Prior Year Start]],PeriodTable[[#This Row],[Periods]]-1)</f>
        <v>45657</v>
      </c>
      <c r="O12">
        <f>YEAR(PeriodTable[[#This Row],[Prior Year Start]])</f>
        <v>2024</v>
      </c>
      <c r="Q12" t="s">
        <v>309</v>
      </c>
      <c r="R12" s="105" t="s">
        <v>310</v>
      </c>
    </row>
    <row r="13" spans="1:18">
      <c r="B13" s="102" t="str">
        <v>Last Year</v>
      </c>
      <c r="C13" t="str">
        <v>% Var</v>
      </c>
      <c r="E13" t="s">
        <v>311</v>
      </c>
      <c r="F13" s="1">
        <f>EDATE(F12,-12)</f>
        <v>45292</v>
      </c>
      <c r="G13" s="1">
        <f>EOMONTH(PeriodTable[[#This Row],[Start date]],11)</f>
        <v>45657</v>
      </c>
      <c r="H13" s="103">
        <f>YEAR(PeriodTable[[#This Row],[Start date]])</f>
        <v>2024</v>
      </c>
      <c r="I13">
        <f>(YEAR(PeriodTable[[#This Row],[End date]])-YEAR(PeriodTable[[#This Row],[Start date]]))*12+(MONTH(PeriodTable[[#This Row],[End date]])-MONTH(PeriodTable[[#This Row],[Start date]]))+1</f>
        <v>12</v>
      </c>
      <c r="J13" s="1">
        <f>EOMONTH(PeriodTable[[#This Row],[Start date]],-PeriodTable[[#This Row],[Periods]]-1)+1</f>
        <v>44927</v>
      </c>
      <c r="K13" s="1">
        <f>EOMONTH(PeriodTable[[#This Row],[Prior Period Start]],PeriodTable[[#This Row],[Periods]]-1)</f>
        <v>45291</v>
      </c>
      <c r="L13" s="103">
        <f>YEAR(PeriodTable[[#This Row],[Prior Period Start]])</f>
        <v>2023</v>
      </c>
      <c r="M13" s="1">
        <f>EOMONTH(PeriodTable[[#This Row],[Start date]],-13)+1</f>
        <v>44927</v>
      </c>
      <c r="N13" s="1">
        <f>EOMONTH(PeriodTable[[#This Row],[Prior Year Start]],PeriodTable[[#This Row],[Periods]]-1)</f>
        <v>45291</v>
      </c>
      <c r="O13">
        <f>YEAR(PeriodTable[[#This Row],[Prior Year Start]])</f>
        <v>2023</v>
      </c>
      <c r="Q13" t="s">
        <v>30</v>
      </c>
      <c r="R13" s="105" t="s">
        <v>312</v>
      </c>
    </row>
    <row r="14" spans="1:18">
      <c r="B14" s="102" t="str">
        <v>Next Year</v>
      </c>
      <c r="C14" t="str">
        <v>2 Decimal</v>
      </c>
      <c r="E14" t="s">
        <v>313</v>
      </c>
      <c r="F14" s="1">
        <f>EDATE(F12,12)</f>
        <v>46023</v>
      </c>
      <c r="G14" s="1">
        <f>EOMONTH(PeriodTable[[#This Row],[Start date]],11)</f>
        <v>46387</v>
      </c>
      <c r="H14" s="103">
        <f>YEAR(PeriodTable[[#This Row],[Start date]])</f>
        <v>2026</v>
      </c>
      <c r="I14">
        <f>(YEAR(PeriodTable[[#This Row],[End date]])-YEAR(PeriodTable[[#This Row],[Start date]]))*12+(MONTH(PeriodTable[[#This Row],[End date]])-MONTH(PeriodTable[[#This Row],[Start date]]))+1</f>
        <v>12</v>
      </c>
      <c r="J14" s="1">
        <f>EOMONTH(PeriodTable[[#This Row],[Start date]],-PeriodTable[[#This Row],[Periods]]-1)+1</f>
        <v>45658</v>
      </c>
      <c r="K14" s="1">
        <f>EOMONTH(PeriodTable[[#This Row],[Prior Period Start]],PeriodTable[[#This Row],[Periods]]-1)</f>
        <v>46022</v>
      </c>
      <c r="L14" s="103">
        <f>YEAR(PeriodTable[[#This Row],[Prior Period Start]])</f>
        <v>2025</v>
      </c>
      <c r="M14" s="1">
        <f>EOMONTH(PeriodTable[[#This Row],[Start date]],-13)+1</f>
        <v>45658</v>
      </c>
      <c r="N14" s="1">
        <f>EOMONTH(PeriodTable[[#This Row],[Prior Year Start]],PeriodTable[[#This Row],[Periods]]-1)</f>
        <v>46022</v>
      </c>
      <c r="O14">
        <f>YEAR(PeriodTable[[#This Row],[Prior Year Start]])</f>
        <v>2025</v>
      </c>
      <c r="Q14" t="s">
        <v>314</v>
      </c>
      <c r="R14" t="s">
        <v>315</v>
      </c>
    </row>
    <row r="15" spans="1:18">
      <c r="B15" s="102" t="str">
        <v>YTD</v>
      </c>
      <c r="C15" t="str">
        <v>2 Decimal Var</v>
      </c>
      <c r="E15" t="s">
        <v>26</v>
      </c>
      <c r="F15" s="1">
        <f>DATE(YEAR(LatestMonthOfActuals)-IF(MONTH(LatestMonthOfActuals)&lt;=Fiscal_Offset,1,0),Fiscal_Offset+1,1)</f>
        <v>45658</v>
      </c>
      <c r="G15" s="1">
        <f>LatestMonthOfActuals</f>
        <v>45930</v>
      </c>
      <c r="H15" s="103" t="str">
        <f>TEXT(F15,"MMMM YYYY")&amp;IF(EOMONTH(PeriodTable[[#This Row],[Start date]],0)=PeriodTable[[#This Row],[End date]],""," - "&amp;TEXT(G15,"MMMM YYYY"))</f>
        <v>January 2025 - September 2025</v>
      </c>
      <c r="I15">
        <f>(YEAR(PeriodTable[[#This Row],[End date]])-YEAR(PeriodTable[[#This Row],[Start date]]))*12+(MONTH(PeriodTable[[#This Row],[End date]])-MONTH(PeriodTable[[#This Row],[Start date]]))+1</f>
        <v>9</v>
      </c>
      <c r="J15" s="1">
        <f>EOMONTH(PeriodTable[[#This Row],[Start date]],-PeriodTable[[#This Row],[Periods]]-1)+1</f>
        <v>45383</v>
      </c>
      <c r="K15" s="1">
        <f>EOMONTH(PeriodTable[[#This Row],[Prior Period Start]],PeriodTable[[#This Row],[Periods]]-1)</f>
        <v>45657</v>
      </c>
      <c r="L15" s="103" t="str">
        <f>TEXT(J15,"MMM-YY")&amp;IF(EOMONTH(J15,0)=PeriodTable[[#This Row],[Prior Period End]],""," - "&amp;TEXT(K15,"MMM-YY"))</f>
        <v>Apr-24 - Dec-24</v>
      </c>
      <c r="M15" s="1">
        <f>EOMONTH(PeriodTable[[#This Row],[Start date]],-13)+1</f>
        <v>45292</v>
      </c>
      <c r="N15" s="1">
        <f>EOMONTH(PeriodTable[[#This Row],[Prior Year Start]],PeriodTable[[#This Row],[Periods]]-1)</f>
        <v>45565</v>
      </c>
      <c r="O15" t="str">
        <f>TEXT(M15,"MMM-YY")&amp;" - "&amp;TEXT(N15,"MMM-YY")</f>
        <v>Jan-24 - Sep-24</v>
      </c>
      <c r="Q15" t="s">
        <v>316</v>
      </c>
      <c r="R15" s="104" t="s">
        <v>317</v>
      </c>
    </row>
    <row r="16" spans="1:18">
      <c r="B16" s="102" t="str">
        <v>Forecast</v>
      </c>
      <c r="C16" t="str">
        <v>Months</v>
      </c>
      <c r="E16" t="s">
        <v>318</v>
      </c>
      <c r="F16" s="1">
        <f>LatestMonthOfActuals+1</f>
        <v>45931</v>
      </c>
      <c r="G16" s="1">
        <f>EOMONTH(DATE(YEAR(LatestMonthOfActuals)-IF(MONTH(LatestMonthOfActuals)&lt;=Fiscal_Offset,1,0),12+Fiscal_Offset,1),0)</f>
        <v>46022</v>
      </c>
      <c r="H16" s="103" t="str">
        <f>TEXT(F16,"MMMM YYYY")&amp;IF(EOMONTH(PeriodTable[[#This Row],[Start date]],0)=PeriodTable[[#This Row],[End date]],""," - "&amp;TEXT(G16,"MMMM YYYY"))</f>
        <v>October 2025 - December 2025</v>
      </c>
      <c r="I16">
        <f>(YEAR(PeriodTable[[#This Row],[End date]])-YEAR(PeriodTable[[#This Row],[Start date]]))*12+(MONTH(PeriodTable[[#This Row],[End date]])-MONTH(PeriodTable[[#This Row],[Start date]]))+1</f>
        <v>3</v>
      </c>
      <c r="J16" s="1">
        <f>EOMONTH(PeriodTable[[#This Row],[Start date]],-PeriodTable[[#This Row],[Periods]]-1)+1</f>
        <v>45839</v>
      </c>
      <c r="K16" s="1">
        <f>EOMONTH(PeriodTable[[#This Row],[Prior Period Start]],PeriodTable[[#This Row],[Periods]]-1)</f>
        <v>45930</v>
      </c>
      <c r="L16" s="103" t="str">
        <f>TEXT(J16,"MMM-YY")&amp;IF(EOMONTH(J16,0)=PeriodTable[[#This Row],[Prior Period End]],""," - "&amp;TEXT(K16,"MMM-YY"))</f>
        <v>Jul-25 - Sep-25</v>
      </c>
      <c r="M16" s="1">
        <f>EOMONTH(PeriodTable[[#This Row],[Start date]],-13)+1</f>
        <v>45566</v>
      </c>
      <c r="N16" s="1">
        <f>EOMONTH(PeriodTable[[#This Row],[Prior Year Start]],PeriodTable[[#This Row],[Periods]]-1)</f>
        <v>45657</v>
      </c>
      <c r="O16" t="str">
        <f>TEXT(M16,"MMM-YY")&amp;" - "&amp;TEXT(N16,"MMM-YY")</f>
        <v>Oct-24 - Dec-24</v>
      </c>
      <c r="Q16" t="s">
        <v>319</v>
      </c>
      <c r="R16" t="s">
        <v>320</v>
      </c>
    </row>
    <row r="17" spans="2:15">
      <c r="B17" s="102" t="str">
        <v>Quarter to Date</v>
      </c>
      <c r="C17" s="102"/>
      <c r="E17" t="s">
        <v>321</v>
      </c>
      <c r="F17" s="1">
        <f>EOMONTH(DATE(YEAR(LatestMonthOfActuals),ROUNDUP((MONTH(LatestMonthOfActuals)-Fiscal_Offset+12)/3,0)*3-2+Fiscal_Offset-12,1),-1)+1</f>
        <v>45839</v>
      </c>
      <c r="G17" s="1">
        <f>LatestMonthOfActuals</f>
        <v>45930</v>
      </c>
      <c r="H17" s="103" t="str">
        <f>TEXT(F17,"MMMM YYYY")&amp;IF(EOMONTH(PeriodTable[[#This Row],[Start date]],0)=PeriodTable[[#This Row],[End date]],""," - "&amp;TEXT(G17,"MMMM YYYY"))</f>
        <v>July 2025 - September 2025</v>
      </c>
      <c r="I17">
        <f>(YEAR(PeriodTable[[#This Row],[End date]])-YEAR(PeriodTable[[#This Row],[Start date]]))*12+(MONTH(PeriodTable[[#This Row],[End date]])-MONTH(PeriodTable[[#This Row],[Start date]]))+1</f>
        <v>3</v>
      </c>
      <c r="J17" s="1">
        <f>EOMONTH(PeriodTable[[#This Row],[Start date]],-PeriodTable[[#This Row],[Periods]]-1)+1</f>
        <v>45748</v>
      </c>
      <c r="K17" s="1">
        <f>EOMONTH(PeriodTable[[#This Row],[Prior Period Start]],PeriodTable[[#This Row],[Periods]]-1)</f>
        <v>45838</v>
      </c>
      <c r="L17" s="103" t="str">
        <f>TEXT(J17,"MMM-YY")&amp;IF(EOMONTH(J17,0)=PeriodTable[[#This Row],[Prior Period End]],""," - "&amp;TEXT(K17,"MMM-YY"))</f>
        <v>Apr-25 - Jun-25</v>
      </c>
      <c r="M17" s="1">
        <f>EOMONTH(PeriodTable[[#This Row],[Start date]],-13)+1</f>
        <v>45474</v>
      </c>
      <c r="N17" s="1">
        <f>EOMONTH(PeriodTable[[#This Row],[Prior Year Start]],PeriodTable[[#This Row],[Periods]]-1)</f>
        <v>45565</v>
      </c>
      <c r="O17" t="str">
        <f>TEXT(M17,"MMM-YY")&amp;IF(N17=EOMONTH(M17,0),""," - "&amp;TEXT(N17,"MMM-YY"))</f>
        <v>Jul-24 - Sep-24</v>
      </c>
    </row>
    <row r="18" spans="2:15">
      <c r="B18" s="102" t="str">
        <v>Trailing 3 Months</v>
      </c>
      <c r="C18" s="102"/>
      <c r="E18" t="s">
        <v>322</v>
      </c>
      <c r="F18" s="1">
        <f>EOMONTH(LatestMonthOfActuals,-3)+1</f>
        <v>45839</v>
      </c>
      <c r="G18" s="1">
        <f>LatestMonthOfActuals</f>
        <v>45930</v>
      </c>
      <c r="H18" s="103" t="str">
        <f>TEXT(F18,"MMMM YYYY")&amp;" - "&amp;TEXT(G18,"MMMM YYYY")</f>
        <v>July 2025 - September 2025</v>
      </c>
      <c r="I18">
        <f>(YEAR(PeriodTable[[#This Row],[End date]])-YEAR(PeriodTable[[#This Row],[Start date]]))*12+(MONTH(PeriodTable[[#This Row],[End date]])-MONTH(PeriodTable[[#This Row],[Start date]]))+1</f>
        <v>3</v>
      </c>
      <c r="J18" s="1">
        <f>EOMONTH(PeriodTable[[#This Row],[Start date]],-PeriodTable[[#This Row],[Periods]]-1)+1</f>
        <v>45748</v>
      </c>
      <c r="K18" s="1">
        <f>EOMONTH(PeriodTable[[#This Row],[Prior Period Start]],PeriodTable[[#This Row],[Periods]]-1)</f>
        <v>45838</v>
      </c>
      <c r="L18" s="103" t="str">
        <f>TEXT(J18,"MMM-YY")&amp;IF(EOMONTH(J18,0)=PeriodTable[[#This Row],[Prior Period End]],""," - "&amp;TEXT(K18,"MMM-YY"))</f>
        <v>Apr-25 - Jun-25</v>
      </c>
      <c r="M18" s="1">
        <f>EOMONTH(PeriodTable[[#This Row],[Start date]],-13)+1</f>
        <v>45474</v>
      </c>
      <c r="N18" s="1">
        <f>EOMONTH(PeriodTable[[#This Row],[Prior Year Start]],PeriodTable[[#This Row],[Periods]]-1)</f>
        <v>45565</v>
      </c>
      <c r="O18" t="str">
        <f>TEXT(M18,"MMM-YY")&amp;" - "&amp;TEXT(N18,"MMM-YY")</f>
        <v>Jul-24 - Sep-24</v>
      </c>
    </row>
    <row r="19" spans="2:15">
      <c r="B19" s="102" t="str">
        <v>Trailing 6 Months</v>
      </c>
      <c r="C19" s="102"/>
      <c r="E19" t="s">
        <v>323</v>
      </c>
      <c r="F19" s="1">
        <f>EOMONTH(LatestMonthOfActuals,-6)+1</f>
        <v>45748</v>
      </c>
      <c r="G19" s="1">
        <f>LatestMonthOfActuals</f>
        <v>45930</v>
      </c>
      <c r="H19" s="103" t="str">
        <f>TEXT(F19,"MMMM YYYY")&amp;" - "&amp;TEXT(G19,"MMMM YYYY")</f>
        <v>April 2025 - September 2025</v>
      </c>
      <c r="I19">
        <f>(YEAR(PeriodTable[[#This Row],[End date]])-YEAR(PeriodTable[[#This Row],[Start date]]))*12+(MONTH(PeriodTable[[#This Row],[End date]])-MONTH(PeriodTable[[#This Row],[Start date]]))+1</f>
        <v>6</v>
      </c>
      <c r="J19" s="1">
        <f>EOMONTH(PeriodTable[[#This Row],[Start date]],-PeriodTable[[#This Row],[Periods]]-1)+1</f>
        <v>45566</v>
      </c>
      <c r="K19" s="1">
        <f>EOMONTH(PeriodTable[[#This Row],[Prior Period Start]],PeriodTable[[#This Row],[Periods]]-1)</f>
        <v>45747</v>
      </c>
      <c r="L19" s="103" t="str">
        <f>TEXT(J19,"MMM-YY")&amp;IF(EOMONTH(J19,0)=PeriodTable[[#This Row],[Prior Period End]],""," - "&amp;TEXT(K19,"MMM-YY"))</f>
        <v>Oct-24 - Mar-25</v>
      </c>
      <c r="M19" s="1">
        <f>EOMONTH(PeriodTable[[#This Row],[Start date]],-13)+1</f>
        <v>45383</v>
      </c>
      <c r="N19" s="1">
        <f>EOMONTH(PeriodTable[[#This Row],[Prior Year Start]],PeriodTable[[#This Row],[Periods]]-1)</f>
        <v>45565</v>
      </c>
      <c r="O19" t="str">
        <f>TEXT(M19,"MMM-YY")&amp;" - "&amp;TEXT(N19,"MMM-YY")</f>
        <v>Apr-24 - Sep-24</v>
      </c>
    </row>
    <row r="20" spans="2:15" ht="30">
      <c r="B20" s="102" t="str">
        <v>Trailing 12 Months</v>
      </c>
      <c r="C20" s="102"/>
      <c r="E20" t="s">
        <v>324</v>
      </c>
      <c r="F20" s="1">
        <f>EOMONTH(LatestMonthOfActuals,-12)+1</f>
        <v>45566</v>
      </c>
      <c r="G20" s="1">
        <f>LatestMonthOfActuals</f>
        <v>45930</v>
      </c>
      <c r="H20" s="103" t="str">
        <f>TEXT(F20,"MMMM YYYY")&amp;" - "&amp;TEXT(G20,"MMMM YYYY")</f>
        <v>October 2024 - September 2025</v>
      </c>
      <c r="I20">
        <f>(YEAR(PeriodTable[[#This Row],[End date]])-YEAR(PeriodTable[[#This Row],[Start date]]))*12+(MONTH(PeriodTable[[#This Row],[End date]])-MONTH(PeriodTable[[#This Row],[Start date]]))+1</f>
        <v>12</v>
      </c>
      <c r="J20" s="1">
        <f>EOMONTH(PeriodTable[[#This Row],[Start date]],-PeriodTable[[#This Row],[Periods]]-1)+1</f>
        <v>45200</v>
      </c>
      <c r="K20" s="1">
        <f>EOMONTH(PeriodTable[[#This Row],[Prior Period Start]],PeriodTable[[#This Row],[Periods]]-1)</f>
        <v>45565</v>
      </c>
      <c r="L20" s="103" t="str">
        <f>TEXT(J20,"MMM-YY")&amp;IF(EOMONTH(J20,0)=PeriodTable[[#This Row],[Prior Period End]],""," - "&amp;TEXT(K20,"MMM-YY"))</f>
        <v>Oct-23 - Sep-24</v>
      </c>
      <c r="M20" s="1">
        <f>EOMONTH(PeriodTable[[#This Row],[Start date]],-13)+1</f>
        <v>45200</v>
      </c>
      <c r="N20" s="1">
        <f>EOMONTH(PeriodTable[[#This Row],[Prior Year Start]],PeriodTable[[#This Row],[Periods]]-1)</f>
        <v>45565</v>
      </c>
      <c r="O20" t="str">
        <f>TEXT(M20,"MMM-YY")&amp;" - "&amp;TEXT(N20,"MMM-YY")</f>
        <v>Oct-23 - Sep-24</v>
      </c>
    </row>
    <row r="21" spans="2:15">
      <c r="B21" s="102" t="str">
        <v>Custom</v>
      </c>
      <c r="C21" s="102"/>
      <c r="F21" s="1"/>
      <c r="G21" s="1"/>
      <c r="J21" s="1"/>
      <c r="K21" s="1"/>
      <c r="M21" s="1"/>
      <c r="N21" s="1"/>
    </row>
    <row r="22" spans="2:15">
      <c r="B22" s="102"/>
      <c r="C22" s="102"/>
    </row>
    <row r="23" spans="2:15">
      <c r="B23" s="102"/>
      <c r="C23" s="102"/>
    </row>
    <row r="24" spans="2:15">
      <c r="B24" s="102"/>
      <c r="C24" s="102"/>
    </row>
    <row r="25" spans="2:15">
      <c r="B25" s="102"/>
      <c r="C25" s="102"/>
    </row>
    <row r="26" spans="2:15">
      <c r="B26" s="102"/>
      <c r="C26" s="102"/>
    </row>
    <row r="27" spans="2:15">
      <c r="B27" s="102"/>
      <c r="C27" s="102"/>
      <c r="E27" s="1"/>
      <c r="H27" s="55"/>
    </row>
    <row r="28" spans="2:15">
      <c r="B28" s="102"/>
      <c r="C28" s="102"/>
      <c r="E28" s="1"/>
    </row>
    <row r="29" spans="2:15">
      <c r="B29" s="102"/>
      <c r="C29" s="102"/>
      <c r="E29" s="1"/>
    </row>
    <row r="30" spans="2:15">
      <c r="B30" s="102"/>
      <c r="C30" s="102"/>
      <c r="E30" s="1"/>
    </row>
    <row r="31" spans="2:15">
      <c r="B31" s="102"/>
      <c r="C31" s="102"/>
      <c r="E31" s="1"/>
    </row>
    <row r="32" spans="2:15">
      <c r="B32" s="102"/>
      <c r="C32" s="102"/>
      <c r="E32" s="1"/>
    </row>
    <row r="33" spans="2:5">
      <c r="B33" s="102"/>
      <c r="C33" s="102"/>
      <c r="E33" s="1"/>
    </row>
    <row r="34" spans="2:5">
      <c r="B34" s="102"/>
      <c r="C34" s="102"/>
      <c r="E34" s="1"/>
    </row>
    <row r="35" spans="2:5">
      <c r="B35" s="102"/>
      <c r="C35" s="102"/>
      <c r="E35" s="1"/>
    </row>
    <row r="36" spans="2:5">
      <c r="B36" s="102"/>
      <c r="C36" s="102"/>
      <c r="E36" s="1"/>
    </row>
    <row r="37" spans="2:5">
      <c r="B37" s="102"/>
      <c r="C37" s="102"/>
      <c r="E37" s="1"/>
    </row>
    <row r="38" spans="2:5">
      <c r="B38" s="102"/>
      <c r="C38" s="102"/>
      <c r="E38" s="1"/>
    </row>
    <row r="39" spans="2:5">
      <c r="B39" s="102"/>
      <c r="C39" s="102"/>
      <c r="E39" s="1"/>
    </row>
    <row r="40" spans="2:5">
      <c r="B40" s="102"/>
      <c r="C40" s="102"/>
      <c r="E40" s="1"/>
    </row>
    <row r="41" spans="2:5">
      <c r="B41" s="102"/>
      <c r="C41" s="102"/>
    </row>
    <row r="42" spans="2:5">
      <c r="B42" s="102"/>
      <c r="C42" s="102"/>
    </row>
    <row r="43" spans="2:5">
      <c r="B43" s="102"/>
      <c r="C43" s="102"/>
    </row>
    <row r="44" spans="2:5">
      <c r="B44" s="102"/>
      <c r="C44" s="102"/>
    </row>
    <row r="45" spans="2:5">
      <c r="B45" s="102"/>
      <c r="C45" s="102"/>
    </row>
    <row r="46" spans="2:5">
      <c r="B46" s="102"/>
      <c r="C46" s="102"/>
    </row>
    <row r="47" spans="2:5">
      <c r="B47" s="102"/>
      <c r="C47" s="102"/>
    </row>
    <row r="48" spans="2:5">
      <c r="B48" s="102"/>
      <c r="C48" s="102"/>
    </row>
    <row r="49" spans="2:3">
      <c r="B49" s="102"/>
      <c r="C49" s="102"/>
    </row>
    <row r="50" spans="2:3">
      <c r="B50" s="102"/>
      <c r="C50" s="102"/>
    </row>
    <row r="51" spans="2:3">
      <c r="B51" s="102"/>
      <c r="C51" s="102"/>
    </row>
    <row r="52" spans="2:3">
      <c r="B52" s="102"/>
      <c r="C52" s="102"/>
    </row>
    <row r="53" spans="2:3">
      <c r="B53" s="102"/>
      <c r="C53" s="102"/>
    </row>
    <row r="54" spans="2:3">
      <c r="B54" s="102"/>
      <c r="C54" s="102"/>
    </row>
    <row r="55" spans="2:3">
      <c r="B55" s="102"/>
      <c r="C55" s="102"/>
    </row>
    <row r="56" spans="2:3">
      <c r="B56" s="102"/>
      <c r="C56" s="102"/>
    </row>
    <row r="57" spans="2:3">
      <c r="B57" s="102"/>
      <c r="C57" s="102"/>
    </row>
    <row r="58" spans="2:3">
      <c r="B58" s="102"/>
      <c r="C58" s="102"/>
    </row>
    <row r="59" spans="2:3">
      <c r="B59" s="102"/>
      <c r="C59" s="102"/>
    </row>
    <row r="60" spans="2:3">
      <c r="B60" s="102"/>
      <c r="C60" s="102"/>
    </row>
    <row r="61" spans="2:3">
      <c r="B61" s="102"/>
      <c r="C61" s="102"/>
    </row>
    <row r="62" spans="2:3">
      <c r="B62" s="102"/>
      <c r="C62" s="102"/>
    </row>
    <row r="63" spans="2:3">
      <c r="B63" s="102"/>
      <c r="C63" s="102"/>
    </row>
    <row r="64" spans="2:3">
      <c r="B64" s="102"/>
      <c r="C64" s="102"/>
    </row>
    <row r="65" spans="2:3">
      <c r="B65" s="102"/>
      <c r="C65" s="102"/>
    </row>
  </sheetData>
  <pageMargins left="0.7" right="0.7" top="0.75" bottom="0.75" header="0.3" footer="0.3"/>
  <pageSetup orientation="portrait" r:id="rId1"/>
  <customProperties>
    <customPr name="sheetName" r:id="rId2"/>
  </customProperties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15A3-A0D1-41C3-B134-F56E2CD3807E}">
  <dimension ref="A1:Y1113"/>
  <sheetViews>
    <sheetView workbookViewId="0">
      <selection activeCell="V4" sqref="V4"/>
    </sheetView>
  </sheetViews>
  <sheetFormatPr defaultColWidth="8.85546875" defaultRowHeight="15"/>
  <cols>
    <col min="1" max="5" width="11.28515625" customWidth="1"/>
    <col min="7" max="11" width="11.28515625" customWidth="1"/>
    <col min="13" max="13" width="11.28515625" customWidth="1"/>
    <col min="14" max="14" width="27.42578125" bestFit="1" customWidth="1"/>
    <col min="15" max="21" width="11.28515625" customWidth="1"/>
    <col min="22" max="25" width="12.28515625" customWidth="1"/>
  </cols>
  <sheetData>
    <row r="1" spans="1:25">
      <c r="A1" t="s">
        <v>159</v>
      </c>
      <c r="B1" t="s">
        <v>325</v>
      </c>
      <c r="C1" t="s">
        <v>1</v>
      </c>
      <c r="D1" t="s">
        <v>326</v>
      </c>
      <c r="E1" t="s">
        <v>327</v>
      </c>
      <c r="G1" t="s">
        <v>159</v>
      </c>
      <c r="H1" t="s">
        <v>325</v>
      </c>
      <c r="I1" t="s">
        <v>1</v>
      </c>
      <c r="J1" t="s">
        <v>326</v>
      </c>
      <c r="K1" t="s">
        <v>327</v>
      </c>
      <c r="M1" t="s">
        <v>325</v>
      </c>
      <c r="N1" t="s">
        <v>328</v>
      </c>
      <c r="O1" t="s">
        <v>329</v>
      </c>
      <c r="P1" t="s">
        <v>330</v>
      </c>
      <c r="Q1" t="s">
        <v>331</v>
      </c>
      <c r="R1" t="s">
        <v>332</v>
      </c>
      <c r="S1" t="s">
        <v>333</v>
      </c>
      <c r="T1" t="s">
        <v>153</v>
      </c>
      <c r="U1" t="s">
        <v>334</v>
      </c>
      <c r="V1" t="s">
        <v>335</v>
      </c>
      <c r="W1" t="s">
        <v>150</v>
      </c>
      <c r="X1" t="s">
        <v>336</v>
      </c>
      <c r="Y1" t="s">
        <v>151</v>
      </c>
    </row>
    <row r="2" spans="1:25">
      <c r="A2" t="s">
        <v>157</v>
      </c>
      <c r="B2">
        <v>199</v>
      </c>
      <c r="C2" s="1">
        <v>45291</v>
      </c>
      <c r="D2">
        <v>40000</v>
      </c>
      <c r="G2" t="s">
        <v>199</v>
      </c>
      <c r="H2">
        <v>1150040000</v>
      </c>
      <c r="I2" s="1">
        <v>45291</v>
      </c>
      <c r="J2">
        <v>4285000.5</v>
      </c>
      <c r="M2">
        <v>4</v>
      </c>
      <c r="N2" t="s">
        <v>64</v>
      </c>
      <c r="O2" t="b">
        <v>0</v>
      </c>
      <c r="Q2" t="s">
        <v>62</v>
      </c>
      <c r="R2" t="s">
        <v>62</v>
      </c>
      <c r="S2" t="s">
        <v>337</v>
      </c>
      <c r="W2" t="s">
        <v>225</v>
      </c>
      <c r="X2">
        <v>10</v>
      </c>
      <c r="Y2" t="s">
        <v>64</v>
      </c>
    </row>
    <row r="3" spans="1:25">
      <c r="A3" t="s">
        <v>157</v>
      </c>
      <c r="B3">
        <v>199</v>
      </c>
      <c r="C3" s="1">
        <v>45322</v>
      </c>
      <c r="D3">
        <v>48456.5</v>
      </c>
      <c r="G3" t="s">
        <v>199</v>
      </c>
      <c r="H3">
        <v>1150040000</v>
      </c>
      <c r="I3" s="1">
        <v>45322</v>
      </c>
      <c r="J3">
        <v>4191288.5</v>
      </c>
      <c r="M3">
        <v>7</v>
      </c>
      <c r="N3" t="s">
        <v>221</v>
      </c>
      <c r="O3" t="b">
        <v>0</v>
      </c>
      <c r="Q3" t="s">
        <v>338</v>
      </c>
      <c r="R3" t="s">
        <v>57</v>
      </c>
      <c r="S3" t="s">
        <v>339</v>
      </c>
      <c r="T3" t="s">
        <v>340</v>
      </c>
      <c r="U3" t="s">
        <v>341</v>
      </c>
      <c r="V3">
        <v>1</v>
      </c>
      <c r="W3" t="s">
        <v>56</v>
      </c>
      <c r="X3">
        <v>8</v>
      </c>
      <c r="Y3" t="s">
        <v>57</v>
      </c>
    </row>
    <row r="4" spans="1:25">
      <c r="A4" t="s">
        <v>157</v>
      </c>
      <c r="B4">
        <v>199</v>
      </c>
      <c r="C4" s="1">
        <v>45351</v>
      </c>
      <c r="D4">
        <v>42000</v>
      </c>
      <c r="G4" t="s">
        <v>199</v>
      </c>
      <c r="H4">
        <v>1150040000</v>
      </c>
      <c r="I4" s="1">
        <v>45351</v>
      </c>
      <c r="J4">
        <v>4076334.5</v>
      </c>
      <c r="M4">
        <v>8</v>
      </c>
      <c r="N4" t="s">
        <v>342</v>
      </c>
      <c r="O4" t="b">
        <v>0</v>
      </c>
      <c r="Q4" t="s">
        <v>343</v>
      </c>
      <c r="R4" t="s">
        <v>51</v>
      </c>
      <c r="S4" t="s">
        <v>344</v>
      </c>
      <c r="T4" t="s">
        <v>340</v>
      </c>
      <c r="U4" t="s">
        <v>345</v>
      </c>
      <c r="V4">
        <v>-1</v>
      </c>
      <c r="W4" t="s">
        <v>49</v>
      </c>
      <c r="X4">
        <v>6</v>
      </c>
      <c r="Y4" t="s">
        <v>51</v>
      </c>
    </row>
    <row r="5" spans="1:25">
      <c r="A5" t="s">
        <v>157</v>
      </c>
      <c r="B5">
        <v>199</v>
      </c>
      <c r="C5" s="1">
        <v>45382</v>
      </c>
      <c r="D5">
        <v>50879.5</v>
      </c>
      <c r="G5" t="s">
        <v>199</v>
      </c>
      <c r="H5">
        <v>1150040000</v>
      </c>
      <c r="I5" s="1">
        <v>45382</v>
      </c>
      <c r="J5">
        <v>4004840.5</v>
      </c>
      <c r="M5">
        <v>24</v>
      </c>
      <c r="N5" t="s">
        <v>164</v>
      </c>
      <c r="O5" t="b">
        <v>0</v>
      </c>
      <c r="Q5" t="s">
        <v>346</v>
      </c>
      <c r="R5" t="s">
        <v>35</v>
      </c>
      <c r="S5" t="s">
        <v>347</v>
      </c>
      <c r="W5" t="s">
        <v>143</v>
      </c>
      <c r="X5">
        <v>1</v>
      </c>
      <c r="Y5" t="s">
        <v>143</v>
      </c>
    </row>
    <row r="6" spans="1:25">
      <c r="A6" t="s">
        <v>157</v>
      </c>
      <c r="B6">
        <v>199</v>
      </c>
      <c r="C6" s="1">
        <v>45412</v>
      </c>
      <c r="D6">
        <v>44100</v>
      </c>
      <c r="G6" t="s">
        <v>199</v>
      </c>
      <c r="H6">
        <v>1150040000</v>
      </c>
      <c r="I6" s="1">
        <v>45412</v>
      </c>
      <c r="J6">
        <v>3870793.5</v>
      </c>
      <c r="M6">
        <v>42</v>
      </c>
      <c r="N6" t="s">
        <v>208</v>
      </c>
      <c r="O6" t="b">
        <v>0</v>
      </c>
      <c r="Q6" t="s">
        <v>343</v>
      </c>
      <c r="R6" t="s">
        <v>242</v>
      </c>
      <c r="S6" t="s">
        <v>348</v>
      </c>
      <c r="T6" t="s">
        <v>340</v>
      </c>
      <c r="U6" t="s">
        <v>345</v>
      </c>
      <c r="V6">
        <v>-1</v>
      </c>
      <c r="W6" t="s">
        <v>49</v>
      </c>
      <c r="X6">
        <v>6</v>
      </c>
      <c r="Y6" t="s">
        <v>52</v>
      </c>
    </row>
    <row r="7" spans="1:25">
      <c r="A7" t="s">
        <v>157</v>
      </c>
      <c r="B7">
        <v>199</v>
      </c>
      <c r="C7" s="1">
        <v>45443</v>
      </c>
      <c r="D7">
        <v>53424</v>
      </c>
      <c r="G7" t="s">
        <v>199</v>
      </c>
      <c r="H7">
        <v>1150040000</v>
      </c>
      <c r="I7" s="1">
        <v>45443</v>
      </c>
      <c r="J7">
        <v>3794994.5</v>
      </c>
      <c r="M7">
        <v>59</v>
      </c>
      <c r="N7" t="s">
        <v>230</v>
      </c>
      <c r="O7" t="b">
        <v>0</v>
      </c>
      <c r="Q7" t="s">
        <v>62</v>
      </c>
      <c r="R7" t="s">
        <v>62</v>
      </c>
      <c r="S7" t="s">
        <v>349</v>
      </c>
      <c r="T7" t="s">
        <v>350</v>
      </c>
      <c r="V7">
        <v>1</v>
      </c>
      <c r="W7" t="s">
        <v>225</v>
      </c>
      <c r="X7">
        <v>10</v>
      </c>
      <c r="Y7" t="s">
        <v>63</v>
      </c>
    </row>
    <row r="8" spans="1:25">
      <c r="A8" t="s">
        <v>157</v>
      </c>
      <c r="B8">
        <v>199</v>
      </c>
      <c r="C8" s="1">
        <v>45473</v>
      </c>
      <c r="D8">
        <v>46305</v>
      </c>
      <c r="G8" t="s">
        <v>199</v>
      </c>
      <c r="H8">
        <v>1150040000</v>
      </c>
      <c r="I8" s="1">
        <v>45473</v>
      </c>
      <c r="J8">
        <v>3656851.5</v>
      </c>
      <c r="M8">
        <v>60</v>
      </c>
      <c r="N8" t="s">
        <v>213</v>
      </c>
      <c r="O8" t="b">
        <v>0</v>
      </c>
      <c r="Q8" t="s">
        <v>343</v>
      </c>
      <c r="R8" t="s">
        <v>351</v>
      </c>
      <c r="S8" t="s">
        <v>352</v>
      </c>
      <c r="T8" t="s">
        <v>353</v>
      </c>
      <c r="V8">
        <v>-1</v>
      </c>
      <c r="W8" t="s">
        <v>49</v>
      </c>
      <c r="X8">
        <v>7</v>
      </c>
      <c r="Y8" t="s">
        <v>53</v>
      </c>
    </row>
    <row r="9" spans="1:25">
      <c r="A9" t="s">
        <v>157</v>
      </c>
      <c r="B9">
        <v>199</v>
      </c>
      <c r="C9" s="1">
        <v>45504</v>
      </c>
      <c r="D9">
        <v>48620</v>
      </c>
      <c r="G9" t="s">
        <v>199</v>
      </c>
      <c r="H9">
        <v>1150040000</v>
      </c>
      <c r="I9" s="1">
        <v>45504</v>
      </c>
      <c r="J9">
        <v>3512188.5</v>
      </c>
      <c r="M9">
        <v>63</v>
      </c>
      <c r="N9" t="s">
        <v>222</v>
      </c>
      <c r="O9" t="b">
        <v>0</v>
      </c>
      <c r="Q9" t="s">
        <v>338</v>
      </c>
      <c r="R9" t="s">
        <v>354</v>
      </c>
      <c r="S9" t="s">
        <v>355</v>
      </c>
      <c r="T9" t="s">
        <v>340</v>
      </c>
      <c r="U9" t="s">
        <v>341</v>
      </c>
      <c r="V9">
        <v>1</v>
      </c>
      <c r="W9" t="s">
        <v>56</v>
      </c>
      <c r="X9">
        <v>8</v>
      </c>
      <c r="Y9" t="s">
        <v>58</v>
      </c>
    </row>
    <row r="10" spans="1:25">
      <c r="A10" t="s">
        <v>157</v>
      </c>
      <c r="B10">
        <v>199</v>
      </c>
      <c r="C10" s="1">
        <v>45535</v>
      </c>
      <c r="D10">
        <v>48620</v>
      </c>
      <c r="G10" t="s">
        <v>199</v>
      </c>
      <c r="H10">
        <v>1150040000</v>
      </c>
      <c r="I10" s="1">
        <v>45535</v>
      </c>
      <c r="J10">
        <v>3367871.5</v>
      </c>
      <c r="M10">
        <v>73</v>
      </c>
      <c r="N10" t="s">
        <v>160</v>
      </c>
      <c r="O10" t="b">
        <v>0</v>
      </c>
      <c r="Q10" t="s">
        <v>33</v>
      </c>
      <c r="R10" t="s">
        <v>239</v>
      </c>
      <c r="S10" t="s">
        <v>356</v>
      </c>
      <c r="W10" t="s">
        <v>33</v>
      </c>
      <c r="X10">
        <v>0</v>
      </c>
      <c r="Y10" t="s">
        <v>33</v>
      </c>
    </row>
    <row r="11" spans="1:25">
      <c r="A11" t="s">
        <v>157</v>
      </c>
      <c r="B11">
        <v>199</v>
      </c>
      <c r="C11" s="1">
        <v>45565</v>
      </c>
      <c r="D11">
        <v>51051</v>
      </c>
      <c r="G11" t="s">
        <v>199</v>
      </c>
      <c r="H11">
        <v>1150040000</v>
      </c>
      <c r="I11" s="1">
        <v>45565</v>
      </c>
      <c r="J11">
        <v>3217220.5</v>
      </c>
      <c r="M11">
        <v>150</v>
      </c>
      <c r="N11" t="s">
        <v>357</v>
      </c>
      <c r="O11" t="b">
        <v>0</v>
      </c>
      <c r="Q11" t="s">
        <v>343</v>
      </c>
      <c r="R11" t="s">
        <v>242</v>
      </c>
      <c r="S11" t="s">
        <v>358</v>
      </c>
      <c r="T11" t="s">
        <v>340</v>
      </c>
      <c r="U11" t="s">
        <v>345</v>
      </c>
      <c r="V11">
        <v>-1</v>
      </c>
      <c r="W11" t="s">
        <v>49</v>
      </c>
      <c r="X11">
        <v>6</v>
      </c>
      <c r="Y11" t="s">
        <v>52</v>
      </c>
    </row>
    <row r="12" spans="1:25">
      <c r="A12" t="s">
        <v>157</v>
      </c>
      <c r="B12">
        <v>199</v>
      </c>
      <c r="C12" s="1">
        <v>45596</v>
      </c>
      <c r="D12">
        <v>51051</v>
      </c>
      <c r="G12" t="s">
        <v>199</v>
      </c>
      <c r="H12">
        <v>1150040000</v>
      </c>
      <c r="I12" s="1">
        <v>45596</v>
      </c>
      <c r="J12">
        <v>3066455.5</v>
      </c>
      <c r="M12">
        <v>151</v>
      </c>
      <c r="N12" t="s">
        <v>359</v>
      </c>
      <c r="O12" t="b">
        <v>0</v>
      </c>
      <c r="Q12" t="s">
        <v>343</v>
      </c>
      <c r="R12" t="s">
        <v>242</v>
      </c>
      <c r="S12" t="s">
        <v>358</v>
      </c>
      <c r="T12" t="s">
        <v>340</v>
      </c>
      <c r="U12" t="s">
        <v>345</v>
      </c>
      <c r="V12">
        <v>-1</v>
      </c>
      <c r="W12" t="s">
        <v>49</v>
      </c>
      <c r="X12">
        <v>6</v>
      </c>
      <c r="Y12" t="s">
        <v>52</v>
      </c>
    </row>
    <row r="13" spans="1:25">
      <c r="A13" t="s">
        <v>157</v>
      </c>
      <c r="B13">
        <v>199</v>
      </c>
      <c r="C13" s="1">
        <v>45626</v>
      </c>
      <c r="D13">
        <v>53604</v>
      </c>
      <c r="G13" t="s">
        <v>199</v>
      </c>
      <c r="H13">
        <v>1150040000</v>
      </c>
      <c r="I13" s="1">
        <v>45626</v>
      </c>
      <c r="J13">
        <v>2909186.5</v>
      </c>
      <c r="M13">
        <v>152</v>
      </c>
      <c r="N13" t="s">
        <v>360</v>
      </c>
      <c r="O13" t="b">
        <v>0</v>
      </c>
      <c r="Q13" t="s">
        <v>343</v>
      </c>
      <c r="R13" t="s">
        <v>351</v>
      </c>
      <c r="S13" t="s">
        <v>361</v>
      </c>
      <c r="T13" t="s">
        <v>353</v>
      </c>
      <c r="V13">
        <v>-1</v>
      </c>
      <c r="W13" t="s">
        <v>49</v>
      </c>
      <c r="X13">
        <v>7</v>
      </c>
      <c r="Y13" t="s">
        <v>53</v>
      </c>
    </row>
    <row r="14" spans="1:25">
      <c r="A14" t="s">
        <v>157</v>
      </c>
      <c r="B14">
        <v>199</v>
      </c>
      <c r="C14" s="1">
        <v>45657</v>
      </c>
      <c r="D14">
        <v>56284</v>
      </c>
      <c r="G14" t="s">
        <v>199</v>
      </c>
      <c r="H14">
        <v>1150040000</v>
      </c>
      <c r="I14" s="1">
        <v>45657</v>
      </c>
      <c r="J14">
        <v>2744982.5</v>
      </c>
      <c r="M14">
        <v>153</v>
      </c>
      <c r="N14" t="s">
        <v>362</v>
      </c>
      <c r="O14" t="b">
        <v>0</v>
      </c>
      <c r="Q14" t="s">
        <v>343</v>
      </c>
      <c r="R14" t="s">
        <v>351</v>
      </c>
      <c r="S14" t="s">
        <v>361</v>
      </c>
      <c r="T14" t="s">
        <v>353</v>
      </c>
      <c r="V14">
        <v>-1</v>
      </c>
      <c r="W14" t="s">
        <v>49</v>
      </c>
      <c r="X14">
        <v>7</v>
      </c>
      <c r="Y14" t="s">
        <v>53</v>
      </c>
    </row>
    <row r="15" spans="1:25">
      <c r="A15" t="s">
        <v>157</v>
      </c>
      <c r="B15">
        <v>199</v>
      </c>
      <c r="C15" s="1">
        <v>45688</v>
      </c>
      <c r="D15">
        <v>59098.22</v>
      </c>
      <c r="G15" t="s">
        <v>199</v>
      </c>
      <c r="H15">
        <v>1150040000</v>
      </c>
      <c r="I15" s="1">
        <v>45688</v>
      </c>
      <c r="J15">
        <v>2573511.48</v>
      </c>
      <c r="M15">
        <v>154</v>
      </c>
      <c r="N15" t="s">
        <v>363</v>
      </c>
      <c r="O15" t="b">
        <v>0</v>
      </c>
      <c r="Q15" t="s">
        <v>343</v>
      </c>
      <c r="R15" t="s">
        <v>351</v>
      </c>
      <c r="S15" t="s">
        <v>361</v>
      </c>
      <c r="T15" t="s">
        <v>353</v>
      </c>
      <c r="V15">
        <v>-1</v>
      </c>
      <c r="W15" t="s">
        <v>49</v>
      </c>
      <c r="X15">
        <v>7</v>
      </c>
      <c r="Y15" t="s">
        <v>53</v>
      </c>
    </row>
    <row r="16" spans="1:25">
      <c r="A16" t="s">
        <v>157</v>
      </c>
      <c r="B16">
        <v>199</v>
      </c>
      <c r="C16" s="1">
        <v>45716</v>
      </c>
      <c r="D16">
        <v>62053</v>
      </c>
      <c r="G16" t="s">
        <v>199</v>
      </c>
      <c r="H16">
        <v>1150040000</v>
      </c>
      <c r="I16" s="1">
        <v>45716</v>
      </c>
      <c r="J16">
        <v>2394437.48</v>
      </c>
      <c r="M16">
        <v>155</v>
      </c>
      <c r="N16" t="s">
        <v>57</v>
      </c>
      <c r="O16" t="b">
        <v>0</v>
      </c>
      <c r="Q16" t="s">
        <v>338</v>
      </c>
      <c r="R16" t="s">
        <v>57</v>
      </c>
      <c r="S16" t="s">
        <v>339</v>
      </c>
      <c r="T16" t="s">
        <v>340</v>
      </c>
      <c r="U16" t="s">
        <v>341</v>
      </c>
      <c r="V16">
        <v>1</v>
      </c>
      <c r="W16" t="s">
        <v>56</v>
      </c>
      <c r="X16">
        <v>8</v>
      </c>
      <c r="Y16" t="s">
        <v>57</v>
      </c>
    </row>
    <row r="17" spans="1:25">
      <c r="A17" t="s">
        <v>157</v>
      </c>
      <c r="B17">
        <v>199</v>
      </c>
      <c r="C17" s="1">
        <v>45747</v>
      </c>
      <c r="D17">
        <v>65156</v>
      </c>
      <c r="G17" t="s">
        <v>199</v>
      </c>
      <c r="H17">
        <v>1150040000</v>
      </c>
      <c r="I17" s="1">
        <v>45747</v>
      </c>
      <c r="J17">
        <v>2207358.48</v>
      </c>
      <c r="M17">
        <v>156</v>
      </c>
      <c r="N17" t="s">
        <v>364</v>
      </c>
      <c r="O17" t="b">
        <v>0</v>
      </c>
      <c r="Q17" t="s">
        <v>338</v>
      </c>
      <c r="R17" t="s">
        <v>354</v>
      </c>
      <c r="S17" t="s">
        <v>365</v>
      </c>
      <c r="T17" t="s">
        <v>340</v>
      </c>
      <c r="U17" t="s">
        <v>341</v>
      </c>
      <c r="V17">
        <v>1</v>
      </c>
      <c r="W17" t="s">
        <v>56</v>
      </c>
      <c r="X17">
        <v>8</v>
      </c>
      <c r="Y17" t="s">
        <v>58</v>
      </c>
    </row>
    <row r="18" spans="1:25">
      <c r="A18" t="s">
        <v>157</v>
      </c>
      <c r="B18">
        <v>199</v>
      </c>
      <c r="C18" s="1">
        <v>45777</v>
      </c>
      <c r="D18">
        <v>68414</v>
      </c>
      <c r="G18" t="s">
        <v>199</v>
      </c>
      <c r="H18">
        <v>1150040000</v>
      </c>
      <c r="I18" s="1">
        <v>45777</v>
      </c>
      <c r="J18">
        <v>2011881.48</v>
      </c>
      <c r="M18">
        <v>157</v>
      </c>
      <c r="N18" t="s">
        <v>366</v>
      </c>
      <c r="O18" t="b">
        <v>0</v>
      </c>
      <c r="Q18" t="s">
        <v>338</v>
      </c>
      <c r="R18" t="s">
        <v>354</v>
      </c>
      <c r="S18" t="s">
        <v>365</v>
      </c>
      <c r="T18" t="s">
        <v>340</v>
      </c>
      <c r="U18" t="s">
        <v>341</v>
      </c>
      <c r="V18">
        <v>1</v>
      </c>
      <c r="W18" t="s">
        <v>56</v>
      </c>
      <c r="X18">
        <v>8</v>
      </c>
      <c r="Y18" t="s">
        <v>58</v>
      </c>
    </row>
    <row r="19" spans="1:25">
      <c r="A19" t="s">
        <v>157</v>
      </c>
      <c r="B19">
        <v>199</v>
      </c>
      <c r="C19" s="1">
        <v>45808</v>
      </c>
      <c r="D19">
        <v>71834</v>
      </c>
      <c r="G19" t="s">
        <v>199</v>
      </c>
      <c r="H19">
        <v>1150040000</v>
      </c>
      <c r="I19" s="1">
        <v>45808</v>
      </c>
      <c r="J19">
        <v>1807588.48</v>
      </c>
      <c r="M19">
        <v>158</v>
      </c>
      <c r="N19" t="s">
        <v>60</v>
      </c>
      <c r="O19" t="b">
        <v>0</v>
      </c>
      <c r="Q19" t="s">
        <v>338</v>
      </c>
      <c r="R19" t="s">
        <v>354</v>
      </c>
      <c r="S19" t="s">
        <v>365</v>
      </c>
      <c r="T19" t="s">
        <v>340</v>
      </c>
      <c r="U19" t="s">
        <v>341</v>
      </c>
      <c r="V19">
        <v>1</v>
      </c>
      <c r="W19" t="s">
        <v>56</v>
      </c>
      <c r="X19">
        <v>8</v>
      </c>
      <c r="Y19" t="s">
        <v>60</v>
      </c>
    </row>
    <row r="20" spans="1:25">
      <c r="A20" t="s">
        <v>157</v>
      </c>
      <c r="B20">
        <v>199</v>
      </c>
      <c r="C20" s="1">
        <v>45838</v>
      </c>
      <c r="D20">
        <v>83825.97</v>
      </c>
      <c r="G20" t="s">
        <v>199</v>
      </c>
      <c r="H20">
        <v>1150040000</v>
      </c>
      <c r="I20" s="1">
        <v>45838</v>
      </c>
      <c r="J20">
        <v>1594040.15</v>
      </c>
      <c r="M20">
        <v>159</v>
      </c>
      <c r="N20" t="s">
        <v>367</v>
      </c>
      <c r="O20" t="b">
        <v>0</v>
      </c>
      <c r="Q20" t="s">
        <v>338</v>
      </c>
      <c r="R20" t="s">
        <v>354</v>
      </c>
      <c r="S20" t="s">
        <v>365</v>
      </c>
      <c r="T20" t="s">
        <v>340</v>
      </c>
      <c r="U20" t="s">
        <v>341</v>
      </c>
      <c r="V20">
        <v>1</v>
      </c>
      <c r="W20" t="s">
        <v>56</v>
      </c>
      <c r="X20">
        <v>8</v>
      </c>
      <c r="Y20" t="s">
        <v>58</v>
      </c>
    </row>
    <row r="21" spans="1:25">
      <c r="A21" t="s">
        <v>157</v>
      </c>
      <c r="B21">
        <v>199</v>
      </c>
      <c r="C21" s="1">
        <v>45869</v>
      </c>
      <c r="D21">
        <v>79197.259999999995</v>
      </c>
      <c r="G21" t="s">
        <v>199</v>
      </c>
      <c r="H21">
        <v>1150040000</v>
      </c>
      <c r="I21" s="1">
        <v>45869</v>
      </c>
      <c r="J21">
        <v>1370773.78</v>
      </c>
      <c r="M21">
        <v>162</v>
      </c>
      <c r="N21" t="s">
        <v>368</v>
      </c>
      <c r="O21" t="b">
        <v>0</v>
      </c>
      <c r="Q21" t="s">
        <v>338</v>
      </c>
      <c r="R21" t="s">
        <v>369</v>
      </c>
      <c r="S21" t="s">
        <v>370</v>
      </c>
      <c r="T21" t="s">
        <v>350</v>
      </c>
      <c r="V21">
        <v>1</v>
      </c>
      <c r="W21" t="s">
        <v>56</v>
      </c>
      <c r="X21">
        <v>9</v>
      </c>
      <c r="Y21" t="s">
        <v>59</v>
      </c>
    </row>
    <row r="22" spans="1:25">
      <c r="A22" t="s">
        <v>157</v>
      </c>
      <c r="B22">
        <v>199</v>
      </c>
      <c r="C22" s="1">
        <v>45900</v>
      </c>
      <c r="D22">
        <v>83157.13</v>
      </c>
      <c r="G22" t="s">
        <v>199</v>
      </c>
      <c r="H22">
        <v>1150040000</v>
      </c>
      <c r="I22" s="1">
        <v>45900</v>
      </c>
      <c r="J22">
        <v>1137304.6599999999</v>
      </c>
      <c r="M22">
        <v>163</v>
      </c>
      <c r="N22" t="s">
        <v>371</v>
      </c>
      <c r="O22" t="b">
        <v>0</v>
      </c>
      <c r="Q22" t="s">
        <v>338</v>
      </c>
      <c r="R22" t="s">
        <v>369</v>
      </c>
      <c r="S22" t="s">
        <v>370</v>
      </c>
      <c r="T22" t="s">
        <v>350</v>
      </c>
      <c r="V22">
        <v>1</v>
      </c>
      <c r="W22" t="s">
        <v>56</v>
      </c>
      <c r="X22">
        <v>9</v>
      </c>
      <c r="Y22" t="s">
        <v>59</v>
      </c>
    </row>
    <row r="23" spans="1:25">
      <c r="A23" t="s">
        <v>157</v>
      </c>
      <c r="B23">
        <v>199</v>
      </c>
      <c r="C23" s="1">
        <v>45930</v>
      </c>
      <c r="D23">
        <v>87314.98</v>
      </c>
      <c r="G23" t="s">
        <v>199</v>
      </c>
      <c r="H23">
        <v>1150040000</v>
      </c>
      <c r="I23" s="1">
        <v>45930</v>
      </c>
      <c r="J23">
        <v>893122.77</v>
      </c>
      <c r="M23">
        <v>164</v>
      </c>
      <c r="N23" t="s">
        <v>372</v>
      </c>
      <c r="O23" t="b">
        <v>0</v>
      </c>
      <c r="Q23" t="s">
        <v>346</v>
      </c>
      <c r="R23" t="s">
        <v>35</v>
      </c>
      <c r="S23" t="s">
        <v>373</v>
      </c>
      <c r="W23" t="s">
        <v>143</v>
      </c>
      <c r="X23">
        <v>1</v>
      </c>
      <c r="Y23" t="s">
        <v>143</v>
      </c>
    </row>
    <row r="24" spans="1:25">
      <c r="A24" t="s">
        <v>160</v>
      </c>
      <c r="B24">
        <v>73</v>
      </c>
      <c r="C24" s="1">
        <v>45838</v>
      </c>
      <c r="D24">
        <v>300</v>
      </c>
      <c r="G24" t="s">
        <v>200</v>
      </c>
      <c r="H24">
        <v>0</v>
      </c>
      <c r="I24" s="1">
        <v>45291</v>
      </c>
      <c r="J24">
        <v>4285000.5</v>
      </c>
      <c r="M24">
        <v>165</v>
      </c>
      <c r="N24" t="s">
        <v>374</v>
      </c>
      <c r="O24" t="b">
        <v>0</v>
      </c>
      <c r="Q24" t="s">
        <v>346</v>
      </c>
      <c r="R24" t="s">
        <v>35</v>
      </c>
      <c r="S24" t="s">
        <v>373</v>
      </c>
      <c r="W24" t="s">
        <v>143</v>
      </c>
      <c r="X24">
        <v>1</v>
      </c>
      <c r="Y24" t="s">
        <v>143</v>
      </c>
    </row>
    <row r="25" spans="1:25">
      <c r="A25" t="s">
        <v>375</v>
      </c>
      <c r="B25">
        <v>0</v>
      </c>
      <c r="C25" s="1">
        <v>45291</v>
      </c>
      <c r="D25">
        <v>40000</v>
      </c>
      <c r="G25" t="s">
        <v>200</v>
      </c>
      <c r="H25">
        <v>0</v>
      </c>
      <c r="I25" s="1">
        <v>45322</v>
      </c>
      <c r="J25">
        <v>4191288.5</v>
      </c>
      <c r="M25">
        <v>166</v>
      </c>
      <c r="N25" t="s">
        <v>376</v>
      </c>
      <c r="O25" t="b">
        <v>0</v>
      </c>
      <c r="Q25" t="s">
        <v>346</v>
      </c>
      <c r="R25" t="s">
        <v>346</v>
      </c>
      <c r="S25" t="s">
        <v>377</v>
      </c>
      <c r="W25" t="s">
        <v>167</v>
      </c>
      <c r="X25">
        <v>2</v>
      </c>
      <c r="Y25" t="s">
        <v>38</v>
      </c>
    </row>
    <row r="26" spans="1:25">
      <c r="A26" t="s">
        <v>375</v>
      </c>
      <c r="B26">
        <v>0</v>
      </c>
      <c r="C26" s="1">
        <v>45322</v>
      </c>
      <c r="D26">
        <v>48456.5</v>
      </c>
      <c r="G26" t="s">
        <v>200</v>
      </c>
      <c r="H26">
        <v>0</v>
      </c>
      <c r="I26" s="1">
        <v>45351</v>
      </c>
      <c r="J26">
        <v>4076334.5</v>
      </c>
      <c r="M26">
        <v>167</v>
      </c>
      <c r="N26" t="s">
        <v>378</v>
      </c>
      <c r="O26" t="b">
        <v>0</v>
      </c>
      <c r="Q26" t="s">
        <v>346</v>
      </c>
      <c r="R26" t="s">
        <v>346</v>
      </c>
      <c r="S26" t="s">
        <v>377</v>
      </c>
      <c r="W26" t="s">
        <v>167</v>
      </c>
      <c r="X26">
        <v>2</v>
      </c>
      <c r="Y26" t="s">
        <v>37</v>
      </c>
    </row>
    <row r="27" spans="1:25">
      <c r="A27" t="s">
        <v>375</v>
      </c>
      <c r="B27">
        <v>0</v>
      </c>
      <c r="C27" s="1">
        <v>45351</v>
      </c>
      <c r="D27">
        <v>42000</v>
      </c>
      <c r="G27" t="s">
        <v>200</v>
      </c>
      <c r="H27">
        <v>0</v>
      </c>
      <c r="I27" s="1">
        <v>45382</v>
      </c>
      <c r="J27">
        <v>4004840.5</v>
      </c>
      <c r="M27">
        <v>168</v>
      </c>
      <c r="N27" t="s">
        <v>379</v>
      </c>
      <c r="O27" t="b">
        <v>0</v>
      </c>
      <c r="Q27" t="s">
        <v>346</v>
      </c>
      <c r="R27" t="s">
        <v>346</v>
      </c>
      <c r="S27" t="s">
        <v>377</v>
      </c>
      <c r="W27" t="s">
        <v>167</v>
      </c>
      <c r="X27">
        <v>2</v>
      </c>
      <c r="Y27" t="s">
        <v>38</v>
      </c>
    </row>
    <row r="28" spans="1:25">
      <c r="A28" t="s">
        <v>375</v>
      </c>
      <c r="B28">
        <v>0</v>
      </c>
      <c r="C28" s="1">
        <v>45382</v>
      </c>
      <c r="D28">
        <v>50879.5</v>
      </c>
      <c r="G28" t="s">
        <v>200</v>
      </c>
      <c r="H28">
        <v>0</v>
      </c>
      <c r="I28" s="1">
        <v>45412</v>
      </c>
      <c r="J28">
        <v>3870793.5</v>
      </c>
      <c r="M28">
        <v>170</v>
      </c>
      <c r="N28" t="s">
        <v>380</v>
      </c>
      <c r="O28" t="b">
        <v>0</v>
      </c>
      <c r="Q28" t="s">
        <v>346</v>
      </c>
      <c r="R28" t="s">
        <v>346</v>
      </c>
      <c r="S28" t="s">
        <v>377</v>
      </c>
      <c r="W28" t="s">
        <v>167</v>
      </c>
      <c r="X28">
        <v>2</v>
      </c>
      <c r="Y28" t="s">
        <v>38</v>
      </c>
    </row>
    <row r="29" spans="1:25">
      <c r="A29" t="s">
        <v>375</v>
      </c>
      <c r="B29">
        <v>0</v>
      </c>
      <c r="C29" s="1">
        <v>45412</v>
      </c>
      <c r="D29">
        <v>44100</v>
      </c>
      <c r="G29" t="s">
        <v>200</v>
      </c>
      <c r="H29">
        <v>0</v>
      </c>
      <c r="I29" s="1">
        <v>45443</v>
      </c>
      <c r="J29">
        <v>3794994.5</v>
      </c>
      <c r="M29">
        <v>171</v>
      </c>
      <c r="N29" t="s">
        <v>381</v>
      </c>
      <c r="O29" t="b">
        <v>0</v>
      </c>
      <c r="Q29" t="s">
        <v>346</v>
      </c>
      <c r="R29" t="s">
        <v>346</v>
      </c>
      <c r="S29" t="s">
        <v>377</v>
      </c>
      <c r="W29" t="s">
        <v>167</v>
      </c>
      <c r="X29">
        <v>2</v>
      </c>
      <c r="Y29" t="s">
        <v>38</v>
      </c>
    </row>
    <row r="30" spans="1:25">
      <c r="A30" t="s">
        <v>375</v>
      </c>
      <c r="B30">
        <v>0</v>
      </c>
      <c r="C30" s="1">
        <v>45443</v>
      </c>
      <c r="D30">
        <v>53424</v>
      </c>
      <c r="G30" t="s">
        <v>200</v>
      </c>
      <c r="H30">
        <v>0</v>
      </c>
      <c r="I30" s="1">
        <v>45473</v>
      </c>
      <c r="J30">
        <v>3656851.5</v>
      </c>
      <c r="M30">
        <v>172</v>
      </c>
      <c r="N30" t="s">
        <v>40</v>
      </c>
      <c r="O30" t="b">
        <v>0</v>
      </c>
      <c r="Q30" t="s">
        <v>346</v>
      </c>
      <c r="R30" t="s">
        <v>346</v>
      </c>
      <c r="S30" t="s">
        <v>377</v>
      </c>
      <c r="W30" t="s">
        <v>167</v>
      </c>
      <c r="X30">
        <v>2</v>
      </c>
      <c r="Y30" t="s">
        <v>40</v>
      </c>
    </row>
    <row r="31" spans="1:25">
      <c r="A31" t="s">
        <v>375</v>
      </c>
      <c r="B31">
        <v>0</v>
      </c>
      <c r="C31" s="1">
        <v>45473</v>
      </c>
      <c r="D31">
        <v>46305</v>
      </c>
      <c r="G31" t="s">
        <v>200</v>
      </c>
      <c r="H31">
        <v>0</v>
      </c>
      <c r="I31" s="1">
        <v>45504</v>
      </c>
      <c r="J31">
        <v>3512188.5</v>
      </c>
      <c r="M31">
        <v>173</v>
      </c>
      <c r="N31" t="s">
        <v>382</v>
      </c>
      <c r="O31" t="b">
        <v>1</v>
      </c>
      <c r="P31">
        <v>172</v>
      </c>
      <c r="Q31" t="s">
        <v>346</v>
      </c>
      <c r="R31" t="s">
        <v>346</v>
      </c>
      <c r="S31" t="s">
        <v>377</v>
      </c>
      <c r="W31" t="s">
        <v>167</v>
      </c>
      <c r="X31">
        <v>2</v>
      </c>
      <c r="Y31" t="s">
        <v>40</v>
      </c>
    </row>
    <row r="32" spans="1:25">
      <c r="A32" t="s">
        <v>375</v>
      </c>
      <c r="B32">
        <v>0</v>
      </c>
      <c r="C32" s="1">
        <v>45504</v>
      </c>
      <c r="D32">
        <v>48620</v>
      </c>
      <c r="G32" t="s">
        <v>200</v>
      </c>
      <c r="H32">
        <v>0</v>
      </c>
      <c r="I32" s="1">
        <v>45535</v>
      </c>
      <c r="J32">
        <v>3367871.5</v>
      </c>
      <c r="M32">
        <v>175</v>
      </c>
      <c r="N32" t="s">
        <v>383</v>
      </c>
      <c r="O32" t="b">
        <v>1</v>
      </c>
      <c r="P32">
        <v>172</v>
      </c>
      <c r="Q32" t="s">
        <v>346</v>
      </c>
      <c r="R32" t="s">
        <v>346</v>
      </c>
      <c r="S32" t="s">
        <v>377</v>
      </c>
      <c r="W32" t="s">
        <v>167</v>
      </c>
      <c r="X32">
        <v>2</v>
      </c>
      <c r="Y32" t="s">
        <v>40</v>
      </c>
    </row>
    <row r="33" spans="1:25">
      <c r="A33" t="s">
        <v>375</v>
      </c>
      <c r="B33">
        <v>0</v>
      </c>
      <c r="C33" s="1">
        <v>45535</v>
      </c>
      <c r="D33">
        <v>48620</v>
      </c>
      <c r="G33" t="s">
        <v>200</v>
      </c>
      <c r="H33">
        <v>0</v>
      </c>
      <c r="I33" s="1">
        <v>45565</v>
      </c>
      <c r="J33">
        <v>3217220.5</v>
      </c>
      <c r="M33">
        <v>176</v>
      </c>
      <c r="N33" t="s">
        <v>384</v>
      </c>
      <c r="O33" t="b">
        <v>0</v>
      </c>
      <c r="Q33" t="s">
        <v>346</v>
      </c>
      <c r="R33" t="s">
        <v>346</v>
      </c>
      <c r="S33" t="s">
        <v>377</v>
      </c>
      <c r="W33" t="s">
        <v>167</v>
      </c>
      <c r="X33">
        <v>2</v>
      </c>
      <c r="Y33" t="s">
        <v>40</v>
      </c>
    </row>
    <row r="34" spans="1:25">
      <c r="A34" t="s">
        <v>375</v>
      </c>
      <c r="B34">
        <v>0</v>
      </c>
      <c r="C34" s="1">
        <v>45565</v>
      </c>
      <c r="D34">
        <v>51051</v>
      </c>
      <c r="G34" t="s">
        <v>200</v>
      </c>
      <c r="H34">
        <v>0</v>
      </c>
      <c r="I34" s="1">
        <v>45596</v>
      </c>
      <c r="J34">
        <v>3066455.5</v>
      </c>
      <c r="M34">
        <v>178</v>
      </c>
      <c r="N34" t="s">
        <v>385</v>
      </c>
      <c r="O34" t="b">
        <v>0</v>
      </c>
      <c r="Q34" t="s">
        <v>346</v>
      </c>
      <c r="R34" t="s">
        <v>346</v>
      </c>
      <c r="S34" t="s">
        <v>377</v>
      </c>
      <c r="W34" t="s">
        <v>167</v>
      </c>
      <c r="X34">
        <v>2</v>
      </c>
      <c r="Y34" t="s">
        <v>39</v>
      </c>
    </row>
    <row r="35" spans="1:25">
      <c r="A35" t="s">
        <v>375</v>
      </c>
      <c r="B35">
        <v>0</v>
      </c>
      <c r="C35" s="1">
        <v>45596</v>
      </c>
      <c r="D35">
        <v>51051</v>
      </c>
      <c r="G35" t="s">
        <v>200</v>
      </c>
      <c r="H35">
        <v>0</v>
      </c>
      <c r="I35" s="1">
        <v>45626</v>
      </c>
      <c r="J35">
        <v>2909186.5</v>
      </c>
      <c r="M35">
        <v>179</v>
      </c>
      <c r="N35" t="s">
        <v>386</v>
      </c>
      <c r="O35" t="b">
        <v>0</v>
      </c>
      <c r="Q35" t="s">
        <v>346</v>
      </c>
      <c r="R35" t="s">
        <v>346</v>
      </c>
      <c r="S35" t="s">
        <v>377</v>
      </c>
      <c r="W35" t="s">
        <v>167</v>
      </c>
      <c r="X35">
        <v>2</v>
      </c>
      <c r="Y35" t="s">
        <v>39</v>
      </c>
    </row>
    <row r="36" spans="1:25">
      <c r="A36" t="s">
        <v>375</v>
      </c>
      <c r="B36">
        <v>0</v>
      </c>
      <c r="C36" s="1">
        <v>45626</v>
      </c>
      <c r="D36">
        <v>53604</v>
      </c>
      <c r="G36" t="s">
        <v>200</v>
      </c>
      <c r="H36">
        <v>0</v>
      </c>
      <c r="I36" s="1">
        <v>45657</v>
      </c>
      <c r="J36">
        <v>2744982.5</v>
      </c>
      <c r="M36">
        <v>180</v>
      </c>
      <c r="N36" t="s">
        <v>387</v>
      </c>
      <c r="O36" t="b">
        <v>0</v>
      </c>
      <c r="Q36" t="s">
        <v>346</v>
      </c>
      <c r="R36" t="s">
        <v>346</v>
      </c>
      <c r="S36" t="s">
        <v>377</v>
      </c>
      <c r="W36" t="s">
        <v>167</v>
      </c>
      <c r="X36">
        <v>2</v>
      </c>
      <c r="Y36" t="s">
        <v>39</v>
      </c>
    </row>
    <row r="37" spans="1:25">
      <c r="A37" t="s">
        <v>375</v>
      </c>
      <c r="B37">
        <v>0</v>
      </c>
      <c r="C37" s="1">
        <v>45657</v>
      </c>
      <c r="D37">
        <v>56284</v>
      </c>
      <c r="G37" t="s">
        <v>200</v>
      </c>
      <c r="H37">
        <v>0</v>
      </c>
      <c r="I37" s="1">
        <v>45688</v>
      </c>
      <c r="J37">
        <v>2573511.48</v>
      </c>
      <c r="M37">
        <v>181</v>
      </c>
      <c r="N37" t="s">
        <v>388</v>
      </c>
      <c r="O37" t="b">
        <v>0</v>
      </c>
      <c r="Q37" t="s">
        <v>346</v>
      </c>
      <c r="R37" t="s">
        <v>346</v>
      </c>
      <c r="S37" t="s">
        <v>377</v>
      </c>
      <c r="W37" t="s">
        <v>167</v>
      </c>
      <c r="X37">
        <v>2</v>
      </c>
      <c r="Y37" t="s">
        <v>39</v>
      </c>
    </row>
    <row r="38" spans="1:25">
      <c r="A38" t="s">
        <v>375</v>
      </c>
      <c r="B38">
        <v>0</v>
      </c>
      <c r="C38" s="1">
        <v>45688</v>
      </c>
      <c r="D38">
        <v>59098.22</v>
      </c>
      <c r="G38" t="s">
        <v>200</v>
      </c>
      <c r="H38">
        <v>0</v>
      </c>
      <c r="I38" s="1">
        <v>45716</v>
      </c>
      <c r="J38">
        <v>2394437.48</v>
      </c>
      <c r="M38">
        <v>182</v>
      </c>
      <c r="N38" t="s">
        <v>389</v>
      </c>
      <c r="O38" t="b">
        <v>0</v>
      </c>
      <c r="Q38" t="s">
        <v>346</v>
      </c>
      <c r="R38" t="s">
        <v>346</v>
      </c>
      <c r="S38" t="s">
        <v>377</v>
      </c>
      <c r="W38" t="s">
        <v>167</v>
      </c>
      <c r="X38">
        <v>2</v>
      </c>
      <c r="Y38" t="s">
        <v>39</v>
      </c>
    </row>
    <row r="39" spans="1:25">
      <c r="A39" t="s">
        <v>375</v>
      </c>
      <c r="B39">
        <v>0</v>
      </c>
      <c r="C39" s="1">
        <v>45716</v>
      </c>
      <c r="D39">
        <v>62053</v>
      </c>
      <c r="G39" t="s">
        <v>200</v>
      </c>
      <c r="H39">
        <v>0</v>
      </c>
      <c r="I39" s="1">
        <v>45747</v>
      </c>
      <c r="J39">
        <v>2207358.48</v>
      </c>
      <c r="M39">
        <v>183</v>
      </c>
      <c r="N39" t="s">
        <v>390</v>
      </c>
      <c r="O39" t="b">
        <v>0</v>
      </c>
      <c r="Q39" t="s">
        <v>346</v>
      </c>
      <c r="R39" t="s">
        <v>346</v>
      </c>
      <c r="S39" t="s">
        <v>377</v>
      </c>
      <c r="W39" t="s">
        <v>167</v>
      </c>
      <c r="X39">
        <v>2</v>
      </c>
      <c r="Y39" t="s">
        <v>38</v>
      </c>
    </row>
    <row r="40" spans="1:25">
      <c r="A40" t="s">
        <v>375</v>
      </c>
      <c r="B40">
        <v>0</v>
      </c>
      <c r="C40" s="1">
        <v>45747</v>
      </c>
      <c r="D40">
        <v>65156</v>
      </c>
      <c r="G40" t="s">
        <v>200</v>
      </c>
      <c r="H40">
        <v>0</v>
      </c>
      <c r="I40" s="1">
        <v>45777</v>
      </c>
      <c r="J40">
        <v>2011881.48</v>
      </c>
      <c r="M40">
        <v>184</v>
      </c>
      <c r="N40" t="s">
        <v>391</v>
      </c>
      <c r="O40" t="b">
        <v>0</v>
      </c>
      <c r="Q40" t="s">
        <v>346</v>
      </c>
      <c r="R40" t="s">
        <v>346</v>
      </c>
      <c r="S40" t="s">
        <v>377</v>
      </c>
      <c r="W40" t="s">
        <v>167</v>
      </c>
      <c r="X40">
        <v>2</v>
      </c>
      <c r="Y40" t="s">
        <v>41</v>
      </c>
    </row>
    <row r="41" spans="1:25">
      <c r="A41" t="s">
        <v>375</v>
      </c>
      <c r="B41">
        <v>0</v>
      </c>
      <c r="C41" s="1">
        <v>45777</v>
      </c>
      <c r="D41">
        <v>68414</v>
      </c>
      <c r="G41" t="s">
        <v>200</v>
      </c>
      <c r="H41">
        <v>0</v>
      </c>
      <c r="I41" s="1">
        <v>45808</v>
      </c>
      <c r="J41">
        <v>1807588.48</v>
      </c>
      <c r="M41">
        <v>185</v>
      </c>
      <c r="N41" t="s">
        <v>392</v>
      </c>
      <c r="O41" t="b">
        <v>1</v>
      </c>
      <c r="P41">
        <v>184</v>
      </c>
      <c r="Q41" t="s">
        <v>346</v>
      </c>
      <c r="R41" t="s">
        <v>346</v>
      </c>
      <c r="S41" t="s">
        <v>377</v>
      </c>
      <c r="W41" t="s">
        <v>167</v>
      </c>
      <c r="X41">
        <v>2</v>
      </c>
      <c r="Y41" t="s">
        <v>41</v>
      </c>
    </row>
    <row r="42" spans="1:25">
      <c r="A42" t="s">
        <v>375</v>
      </c>
      <c r="B42">
        <v>0</v>
      </c>
      <c r="C42" s="1">
        <v>45808</v>
      </c>
      <c r="D42">
        <v>71834</v>
      </c>
      <c r="G42" t="s">
        <v>200</v>
      </c>
      <c r="H42">
        <v>0</v>
      </c>
      <c r="I42" s="1">
        <v>45838</v>
      </c>
      <c r="J42">
        <v>1594040.15</v>
      </c>
      <c r="M42">
        <v>186</v>
      </c>
      <c r="N42" t="s">
        <v>393</v>
      </c>
      <c r="O42" t="b">
        <v>1</v>
      </c>
      <c r="P42">
        <v>184</v>
      </c>
      <c r="Q42" t="s">
        <v>346</v>
      </c>
      <c r="R42" t="s">
        <v>346</v>
      </c>
      <c r="S42" t="s">
        <v>377</v>
      </c>
      <c r="W42" t="s">
        <v>167</v>
      </c>
      <c r="X42">
        <v>2</v>
      </c>
      <c r="Y42" t="s">
        <v>41</v>
      </c>
    </row>
    <row r="43" spans="1:25">
      <c r="A43" t="s">
        <v>375</v>
      </c>
      <c r="B43">
        <v>0</v>
      </c>
      <c r="C43" s="1">
        <v>45838</v>
      </c>
      <c r="D43">
        <v>84125.97</v>
      </c>
      <c r="G43" t="s">
        <v>200</v>
      </c>
      <c r="H43">
        <v>0</v>
      </c>
      <c r="I43" s="1">
        <v>45869</v>
      </c>
      <c r="J43">
        <v>1370773.78</v>
      </c>
      <c r="M43">
        <v>189</v>
      </c>
      <c r="N43" t="s">
        <v>394</v>
      </c>
      <c r="O43" t="b">
        <v>0</v>
      </c>
      <c r="Q43" t="s">
        <v>33</v>
      </c>
      <c r="R43" t="s">
        <v>44</v>
      </c>
      <c r="S43" t="s">
        <v>395</v>
      </c>
      <c r="W43" t="s">
        <v>44</v>
      </c>
      <c r="X43">
        <v>3</v>
      </c>
      <c r="Y43" t="s">
        <v>44</v>
      </c>
    </row>
    <row r="44" spans="1:25">
      <c r="A44" t="s">
        <v>375</v>
      </c>
      <c r="B44">
        <v>0</v>
      </c>
      <c r="C44" s="1">
        <v>45869</v>
      </c>
      <c r="D44">
        <v>79197.259999999995</v>
      </c>
      <c r="G44" t="s">
        <v>200</v>
      </c>
      <c r="H44">
        <v>0</v>
      </c>
      <c r="I44" s="1">
        <v>45900</v>
      </c>
      <c r="J44">
        <v>1137304.6599999999</v>
      </c>
      <c r="M44">
        <v>190</v>
      </c>
      <c r="N44" t="s">
        <v>44</v>
      </c>
      <c r="O44" t="b">
        <v>0</v>
      </c>
      <c r="Q44" t="s">
        <v>33</v>
      </c>
      <c r="R44" t="s">
        <v>44</v>
      </c>
      <c r="S44" t="s">
        <v>395</v>
      </c>
      <c r="W44" t="s">
        <v>44</v>
      </c>
      <c r="X44">
        <v>3</v>
      </c>
      <c r="Y44" t="s">
        <v>44</v>
      </c>
    </row>
    <row r="45" spans="1:25">
      <c r="A45" t="s">
        <v>375</v>
      </c>
      <c r="B45">
        <v>0</v>
      </c>
      <c r="C45" s="1">
        <v>45900</v>
      </c>
      <c r="D45">
        <v>83157.13</v>
      </c>
      <c r="G45" t="s">
        <v>200</v>
      </c>
      <c r="H45">
        <v>0</v>
      </c>
      <c r="I45" s="1">
        <v>45930</v>
      </c>
      <c r="J45">
        <v>893122.77</v>
      </c>
      <c r="M45">
        <v>191</v>
      </c>
      <c r="N45" t="s">
        <v>396</v>
      </c>
      <c r="O45" t="b">
        <v>0</v>
      </c>
      <c r="Q45" t="s">
        <v>346</v>
      </c>
      <c r="R45" t="s">
        <v>241</v>
      </c>
      <c r="S45" t="s">
        <v>397</v>
      </c>
      <c r="W45" t="s">
        <v>46</v>
      </c>
      <c r="X45">
        <v>4</v>
      </c>
      <c r="Y45" t="s">
        <v>46</v>
      </c>
    </row>
    <row r="46" spans="1:25">
      <c r="A46" t="s">
        <v>375</v>
      </c>
      <c r="B46">
        <v>0</v>
      </c>
      <c r="C46" s="1">
        <v>45930</v>
      </c>
      <c r="D46">
        <v>87314.98</v>
      </c>
      <c r="G46" t="s">
        <v>203</v>
      </c>
      <c r="H46">
        <v>8</v>
      </c>
      <c r="I46" s="1">
        <v>45291</v>
      </c>
      <c r="J46">
        <v>34169</v>
      </c>
      <c r="M46">
        <v>192</v>
      </c>
      <c r="N46" t="s">
        <v>398</v>
      </c>
      <c r="O46" t="b">
        <v>0</v>
      </c>
      <c r="Q46" t="s">
        <v>346</v>
      </c>
      <c r="R46" t="s">
        <v>241</v>
      </c>
      <c r="S46" t="s">
        <v>399</v>
      </c>
      <c r="W46" t="s">
        <v>46</v>
      </c>
      <c r="X46">
        <v>4</v>
      </c>
      <c r="Y46" t="s">
        <v>46</v>
      </c>
    </row>
    <row r="47" spans="1:25">
      <c r="A47" t="s">
        <v>162</v>
      </c>
      <c r="B47">
        <v>164</v>
      </c>
      <c r="C47" s="1">
        <v>45291</v>
      </c>
      <c r="D47">
        <v>2990</v>
      </c>
      <c r="G47" t="s">
        <v>203</v>
      </c>
      <c r="H47">
        <v>8</v>
      </c>
      <c r="I47" s="1">
        <v>45322</v>
      </c>
      <c r="J47">
        <v>41127</v>
      </c>
      <c r="M47">
        <v>193</v>
      </c>
      <c r="N47" t="s">
        <v>400</v>
      </c>
      <c r="O47" t="b">
        <v>0</v>
      </c>
      <c r="Q47" t="s">
        <v>343</v>
      </c>
      <c r="R47" t="s">
        <v>242</v>
      </c>
      <c r="S47" t="s">
        <v>358</v>
      </c>
      <c r="T47" t="s">
        <v>340</v>
      </c>
      <c r="U47" t="s">
        <v>345</v>
      </c>
      <c r="V47">
        <v>-1</v>
      </c>
      <c r="W47" t="s">
        <v>49</v>
      </c>
      <c r="X47">
        <v>6</v>
      </c>
      <c r="Y47" t="s">
        <v>52</v>
      </c>
    </row>
    <row r="48" spans="1:25">
      <c r="A48" t="s">
        <v>162</v>
      </c>
      <c r="B48">
        <v>164</v>
      </c>
      <c r="C48" s="1">
        <v>45322</v>
      </c>
      <c r="D48">
        <v>2857</v>
      </c>
      <c r="G48" t="s">
        <v>203</v>
      </c>
      <c r="H48">
        <v>8</v>
      </c>
      <c r="I48" s="1">
        <v>45351</v>
      </c>
      <c r="J48">
        <v>41812</v>
      </c>
      <c r="M48">
        <v>194</v>
      </c>
      <c r="N48" t="s">
        <v>401</v>
      </c>
      <c r="O48" t="b">
        <v>0</v>
      </c>
      <c r="Q48" t="s">
        <v>343</v>
      </c>
      <c r="R48" t="s">
        <v>351</v>
      </c>
      <c r="S48" t="s">
        <v>402</v>
      </c>
      <c r="T48" t="s">
        <v>403</v>
      </c>
      <c r="U48" t="s">
        <v>345</v>
      </c>
      <c r="V48">
        <v>-1</v>
      </c>
      <c r="W48" t="s">
        <v>49</v>
      </c>
      <c r="X48">
        <v>7</v>
      </c>
      <c r="Y48" t="s">
        <v>53</v>
      </c>
    </row>
    <row r="49" spans="1:25">
      <c r="A49" t="s">
        <v>162</v>
      </c>
      <c r="B49">
        <v>164</v>
      </c>
      <c r="C49" s="1">
        <v>45351</v>
      </c>
      <c r="D49">
        <v>3140</v>
      </c>
      <c r="G49" t="s">
        <v>203</v>
      </c>
      <c r="H49">
        <v>8</v>
      </c>
      <c r="I49" s="1">
        <v>45382</v>
      </c>
      <c r="J49">
        <v>40987</v>
      </c>
      <c r="M49">
        <v>196</v>
      </c>
      <c r="N49" t="s">
        <v>404</v>
      </c>
      <c r="O49" t="b">
        <v>0</v>
      </c>
      <c r="Q49" t="s">
        <v>62</v>
      </c>
      <c r="R49" t="s">
        <v>62</v>
      </c>
      <c r="S49" t="s">
        <v>405</v>
      </c>
      <c r="T49" t="s">
        <v>350</v>
      </c>
      <c r="V49">
        <v>1</v>
      </c>
      <c r="W49" t="s">
        <v>225</v>
      </c>
      <c r="X49">
        <v>10</v>
      </c>
      <c r="Y49" t="s">
        <v>63</v>
      </c>
    </row>
    <row r="50" spans="1:25">
      <c r="A50" t="s">
        <v>162</v>
      </c>
      <c r="B50">
        <v>164</v>
      </c>
      <c r="C50" s="1">
        <v>45382</v>
      </c>
      <c r="D50">
        <v>3000</v>
      </c>
      <c r="G50" t="s">
        <v>203</v>
      </c>
      <c r="H50">
        <v>8</v>
      </c>
      <c r="I50" s="1">
        <v>45412</v>
      </c>
      <c r="J50">
        <v>43374</v>
      </c>
      <c r="M50">
        <v>197</v>
      </c>
      <c r="N50" t="s">
        <v>406</v>
      </c>
      <c r="O50" t="b">
        <v>0</v>
      </c>
      <c r="Q50" t="s">
        <v>62</v>
      </c>
      <c r="R50" t="s">
        <v>62</v>
      </c>
      <c r="S50" t="s">
        <v>407</v>
      </c>
      <c r="T50" t="s">
        <v>350</v>
      </c>
      <c r="V50">
        <v>1</v>
      </c>
      <c r="W50" t="s">
        <v>225</v>
      </c>
      <c r="X50">
        <v>10</v>
      </c>
      <c r="Y50" t="s">
        <v>63</v>
      </c>
    </row>
    <row r="51" spans="1:25">
      <c r="A51" t="s">
        <v>162</v>
      </c>
      <c r="B51">
        <v>164</v>
      </c>
      <c r="C51" s="1">
        <v>45412</v>
      </c>
      <c r="D51">
        <v>3296</v>
      </c>
      <c r="G51" t="s">
        <v>203</v>
      </c>
      <c r="H51">
        <v>8</v>
      </c>
      <c r="I51" s="1">
        <v>45443</v>
      </c>
      <c r="J51">
        <v>44161</v>
      </c>
      <c r="M51">
        <v>198</v>
      </c>
      <c r="N51" t="s">
        <v>408</v>
      </c>
      <c r="O51" t="b">
        <v>0</v>
      </c>
      <c r="Q51" t="s">
        <v>62</v>
      </c>
      <c r="R51" t="s">
        <v>62</v>
      </c>
      <c r="S51" t="s">
        <v>409</v>
      </c>
      <c r="T51" t="s">
        <v>350</v>
      </c>
      <c r="V51">
        <v>1</v>
      </c>
      <c r="W51" t="s">
        <v>225</v>
      </c>
      <c r="X51">
        <v>10</v>
      </c>
      <c r="Y51" t="s">
        <v>63</v>
      </c>
    </row>
    <row r="52" spans="1:25">
      <c r="A52" t="s">
        <v>162</v>
      </c>
      <c r="B52">
        <v>164</v>
      </c>
      <c r="C52" s="1">
        <v>45443</v>
      </c>
      <c r="D52">
        <v>3150</v>
      </c>
      <c r="G52" t="s">
        <v>203</v>
      </c>
      <c r="H52">
        <v>8</v>
      </c>
      <c r="I52" s="1">
        <v>45473</v>
      </c>
      <c r="J52">
        <v>44983</v>
      </c>
      <c r="M52">
        <v>199</v>
      </c>
      <c r="N52" t="s">
        <v>410</v>
      </c>
      <c r="O52" t="b">
        <v>0</v>
      </c>
      <c r="Q52" t="s">
        <v>33</v>
      </c>
      <c r="R52" t="s">
        <v>239</v>
      </c>
      <c r="S52" t="s">
        <v>356</v>
      </c>
      <c r="W52" t="s">
        <v>33</v>
      </c>
      <c r="X52">
        <v>0</v>
      </c>
      <c r="Y52" t="s">
        <v>33</v>
      </c>
    </row>
    <row r="53" spans="1:25">
      <c r="A53" t="s">
        <v>162</v>
      </c>
      <c r="B53">
        <v>164</v>
      </c>
      <c r="C53" s="1">
        <v>45473</v>
      </c>
      <c r="D53">
        <v>3461</v>
      </c>
      <c r="G53" t="s">
        <v>203</v>
      </c>
      <c r="H53">
        <v>8</v>
      </c>
      <c r="I53" s="1">
        <v>45504</v>
      </c>
      <c r="J53">
        <v>46381</v>
      </c>
      <c r="M53">
        <v>200</v>
      </c>
      <c r="N53" t="s">
        <v>411</v>
      </c>
      <c r="O53" t="b">
        <v>0</v>
      </c>
      <c r="Q53" t="s">
        <v>346</v>
      </c>
      <c r="R53" t="s">
        <v>346</v>
      </c>
      <c r="S53" t="s">
        <v>377</v>
      </c>
      <c r="W53" t="s">
        <v>167</v>
      </c>
      <c r="X53">
        <v>2</v>
      </c>
      <c r="Y53" t="s">
        <v>37</v>
      </c>
    </row>
    <row r="54" spans="1:25">
      <c r="A54" t="s">
        <v>162</v>
      </c>
      <c r="B54">
        <v>164</v>
      </c>
      <c r="C54" s="1">
        <v>45504</v>
      </c>
      <c r="D54">
        <v>3634</v>
      </c>
      <c r="G54" t="s">
        <v>203</v>
      </c>
      <c r="H54">
        <v>8</v>
      </c>
      <c r="I54" s="1">
        <v>45535</v>
      </c>
      <c r="J54">
        <v>47434</v>
      </c>
      <c r="M54">
        <v>201</v>
      </c>
      <c r="N54" t="s">
        <v>412</v>
      </c>
      <c r="O54" t="b">
        <v>0</v>
      </c>
      <c r="Q54" t="s">
        <v>346</v>
      </c>
      <c r="R54" t="s">
        <v>346</v>
      </c>
      <c r="S54" t="s">
        <v>377</v>
      </c>
      <c r="W54" t="s">
        <v>167</v>
      </c>
      <c r="X54">
        <v>2</v>
      </c>
      <c r="Y54" t="s">
        <v>38</v>
      </c>
    </row>
    <row r="55" spans="1:25">
      <c r="A55" t="s">
        <v>162</v>
      </c>
      <c r="B55">
        <v>164</v>
      </c>
      <c r="C55" s="1">
        <v>45535</v>
      </c>
      <c r="D55">
        <v>3634</v>
      </c>
      <c r="G55" t="s">
        <v>203</v>
      </c>
      <c r="H55">
        <v>8</v>
      </c>
      <c r="I55" s="1">
        <v>45565</v>
      </c>
      <c r="J55">
        <v>48580</v>
      </c>
      <c r="M55">
        <v>203</v>
      </c>
      <c r="N55" t="s">
        <v>413</v>
      </c>
      <c r="O55" t="b">
        <v>0</v>
      </c>
      <c r="Q55" t="s">
        <v>346</v>
      </c>
      <c r="R55" t="s">
        <v>346</v>
      </c>
      <c r="S55" t="s">
        <v>377</v>
      </c>
      <c r="W55" t="s">
        <v>167</v>
      </c>
      <c r="X55">
        <v>2</v>
      </c>
      <c r="Y55" t="s">
        <v>38</v>
      </c>
    </row>
    <row r="56" spans="1:25">
      <c r="A56" t="s">
        <v>162</v>
      </c>
      <c r="B56">
        <v>164</v>
      </c>
      <c r="C56" s="1">
        <v>45565</v>
      </c>
      <c r="D56">
        <v>3816</v>
      </c>
      <c r="G56" t="s">
        <v>203</v>
      </c>
      <c r="H56">
        <v>8</v>
      </c>
      <c r="I56" s="1">
        <v>45596</v>
      </c>
      <c r="J56">
        <v>49839</v>
      </c>
      <c r="M56">
        <v>205</v>
      </c>
      <c r="N56" t="s">
        <v>414</v>
      </c>
      <c r="O56" t="b">
        <v>1</v>
      </c>
      <c r="P56">
        <v>184</v>
      </c>
      <c r="Q56" t="s">
        <v>346</v>
      </c>
      <c r="R56" t="s">
        <v>346</v>
      </c>
      <c r="S56" t="s">
        <v>377</v>
      </c>
      <c r="W56" t="s">
        <v>167</v>
      </c>
      <c r="X56">
        <v>2</v>
      </c>
      <c r="Y56" t="s">
        <v>41</v>
      </c>
    </row>
    <row r="57" spans="1:25">
      <c r="A57" t="s">
        <v>162</v>
      </c>
      <c r="B57">
        <v>164</v>
      </c>
      <c r="C57" s="1">
        <v>45596</v>
      </c>
      <c r="D57">
        <v>3816</v>
      </c>
      <c r="G57" t="s">
        <v>203</v>
      </c>
      <c r="H57">
        <v>8</v>
      </c>
      <c r="I57" s="1">
        <v>45626</v>
      </c>
      <c r="J57">
        <v>51049</v>
      </c>
      <c r="M57">
        <v>206</v>
      </c>
      <c r="N57" t="s">
        <v>190</v>
      </c>
      <c r="O57" t="b">
        <v>0</v>
      </c>
      <c r="Q57" t="s">
        <v>346</v>
      </c>
      <c r="R57" t="s">
        <v>346</v>
      </c>
      <c r="S57" t="s">
        <v>415</v>
      </c>
      <c r="W57" t="s">
        <v>167</v>
      </c>
      <c r="X57">
        <v>2</v>
      </c>
      <c r="Y57" t="s">
        <v>38</v>
      </c>
    </row>
    <row r="58" spans="1:25">
      <c r="A58" t="s">
        <v>162</v>
      </c>
      <c r="B58">
        <v>164</v>
      </c>
      <c r="C58" s="1">
        <v>45626</v>
      </c>
      <c r="D58">
        <v>4007</v>
      </c>
      <c r="G58" t="s">
        <v>203</v>
      </c>
      <c r="H58">
        <v>8</v>
      </c>
      <c r="I58" s="1">
        <v>45657</v>
      </c>
      <c r="J58">
        <v>52314</v>
      </c>
      <c r="M58">
        <v>207</v>
      </c>
      <c r="N58" t="s">
        <v>165</v>
      </c>
      <c r="O58" t="b">
        <v>0</v>
      </c>
      <c r="Q58" t="s">
        <v>346</v>
      </c>
      <c r="R58" t="s">
        <v>35</v>
      </c>
      <c r="S58" t="s">
        <v>347</v>
      </c>
      <c r="W58" t="s">
        <v>143</v>
      </c>
      <c r="X58">
        <v>1</v>
      </c>
      <c r="Y58" t="s">
        <v>143</v>
      </c>
    </row>
    <row r="59" spans="1:25">
      <c r="A59" t="s">
        <v>162</v>
      </c>
      <c r="B59">
        <v>164</v>
      </c>
      <c r="C59" s="1">
        <v>45657</v>
      </c>
      <c r="D59">
        <v>4207</v>
      </c>
      <c r="G59" t="s">
        <v>203</v>
      </c>
      <c r="H59">
        <v>8</v>
      </c>
      <c r="I59" s="1">
        <v>45688</v>
      </c>
      <c r="J59">
        <v>53620.77</v>
      </c>
      <c r="M59">
        <v>999</v>
      </c>
      <c r="N59" t="s">
        <v>197</v>
      </c>
      <c r="O59" t="b">
        <v>0</v>
      </c>
      <c r="Q59" t="s">
        <v>62</v>
      </c>
      <c r="R59" t="s">
        <v>62</v>
      </c>
      <c r="V59">
        <v>1</v>
      </c>
      <c r="W59" t="s">
        <v>225</v>
      </c>
      <c r="X59">
        <v>10</v>
      </c>
      <c r="Y59" t="s">
        <v>64</v>
      </c>
    </row>
    <row r="60" spans="1:25">
      <c r="A60" t="s">
        <v>162</v>
      </c>
      <c r="B60">
        <v>164</v>
      </c>
      <c r="C60" s="1">
        <v>45688</v>
      </c>
      <c r="D60">
        <v>4417.6099999999997</v>
      </c>
      <c r="G60" t="s">
        <v>203</v>
      </c>
      <c r="H60">
        <v>8</v>
      </c>
      <c r="I60" s="1">
        <v>45716</v>
      </c>
      <c r="J60">
        <v>54944.77</v>
      </c>
      <c r="M60">
        <v>1150040000</v>
      </c>
      <c r="N60" t="s">
        <v>416</v>
      </c>
      <c r="O60" t="b">
        <v>0</v>
      </c>
      <c r="Q60" t="s">
        <v>343</v>
      </c>
      <c r="R60" t="s">
        <v>417</v>
      </c>
      <c r="S60" t="s">
        <v>418</v>
      </c>
      <c r="W60" t="s">
        <v>49</v>
      </c>
      <c r="X60">
        <v>5</v>
      </c>
      <c r="Y60" t="s">
        <v>50</v>
      </c>
    </row>
    <row r="61" spans="1:25">
      <c r="A61" t="s">
        <v>162</v>
      </c>
      <c r="B61">
        <v>164</v>
      </c>
      <c r="C61" s="1">
        <v>45716</v>
      </c>
      <c r="D61">
        <v>4638</v>
      </c>
      <c r="G61" t="s">
        <v>203</v>
      </c>
      <c r="H61">
        <v>8</v>
      </c>
      <c r="I61" s="1">
        <v>45747</v>
      </c>
      <c r="J61">
        <v>56307.77</v>
      </c>
      <c r="M61">
        <v>1150040001</v>
      </c>
      <c r="N61" t="s">
        <v>214</v>
      </c>
      <c r="O61" t="b">
        <v>0</v>
      </c>
      <c r="Q61" t="s">
        <v>343</v>
      </c>
      <c r="R61" t="s">
        <v>351</v>
      </c>
      <c r="S61" t="s">
        <v>352</v>
      </c>
      <c r="T61" t="s">
        <v>353</v>
      </c>
      <c r="V61">
        <v>-1</v>
      </c>
      <c r="W61" t="s">
        <v>49</v>
      </c>
      <c r="X61">
        <v>7</v>
      </c>
      <c r="Y61" t="s">
        <v>53</v>
      </c>
    </row>
    <row r="62" spans="1:25">
      <c r="A62" t="s">
        <v>162</v>
      </c>
      <c r="B62">
        <v>164</v>
      </c>
      <c r="C62" s="1">
        <v>45747</v>
      </c>
      <c r="D62">
        <v>4870</v>
      </c>
      <c r="G62" t="s">
        <v>203</v>
      </c>
      <c r="H62">
        <v>8</v>
      </c>
      <c r="I62" s="1">
        <v>45777</v>
      </c>
      <c r="J62">
        <v>57705.77</v>
      </c>
    </row>
    <row r="63" spans="1:25">
      <c r="A63" t="s">
        <v>162</v>
      </c>
      <c r="B63">
        <v>164</v>
      </c>
      <c r="C63" s="1">
        <v>45777</v>
      </c>
      <c r="D63">
        <v>5114</v>
      </c>
      <c r="G63" t="s">
        <v>203</v>
      </c>
      <c r="H63">
        <v>8</v>
      </c>
      <c r="I63" s="1">
        <v>45808</v>
      </c>
      <c r="J63">
        <v>59135.77</v>
      </c>
    </row>
    <row r="64" spans="1:25">
      <c r="A64" t="s">
        <v>162</v>
      </c>
      <c r="B64">
        <v>164</v>
      </c>
      <c r="C64" s="1">
        <v>45808</v>
      </c>
      <c r="D64">
        <v>5370</v>
      </c>
      <c r="G64" t="s">
        <v>203</v>
      </c>
      <c r="H64">
        <v>8</v>
      </c>
      <c r="I64" s="1">
        <v>45838</v>
      </c>
      <c r="J64">
        <v>69302.55</v>
      </c>
    </row>
    <row r="65" spans="1:10">
      <c r="A65" t="s">
        <v>162</v>
      </c>
      <c r="B65">
        <v>164</v>
      </c>
      <c r="C65" s="1">
        <v>45838</v>
      </c>
      <c r="D65">
        <v>5638.12</v>
      </c>
      <c r="G65" t="s">
        <v>203</v>
      </c>
      <c r="H65">
        <v>8</v>
      </c>
      <c r="I65" s="1">
        <v>45869</v>
      </c>
      <c r="J65">
        <v>70805.53</v>
      </c>
    </row>
    <row r="66" spans="1:10">
      <c r="A66" t="s">
        <v>162</v>
      </c>
      <c r="B66">
        <v>164</v>
      </c>
      <c r="C66" s="1">
        <v>45869</v>
      </c>
      <c r="D66">
        <v>5920.02</v>
      </c>
      <c r="G66" t="s">
        <v>203</v>
      </c>
      <c r="H66">
        <v>8</v>
      </c>
      <c r="I66" s="1">
        <v>45900</v>
      </c>
      <c r="J66">
        <v>72345.320000000007</v>
      </c>
    </row>
    <row r="67" spans="1:10">
      <c r="A67" t="s">
        <v>162</v>
      </c>
      <c r="B67">
        <v>164</v>
      </c>
      <c r="C67" s="1">
        <v>45900</v>
      </c>
      <c r="D67">
        <v>6216.03</v>
      </c>
      <c r="G67" t="s">
        <v>203</v>
      </c>
      <c r="H67">
        <v>8</v>
      </c>
      <c r="I67" s="1">
        <v>45930</v>
      </c>
      <c r="J67">
        <v>73923.66</v>
      </c>
    </row>
    <row r="68" spans="1:10">
      <c r="A68" t="s">
        <v>162</v>
      </c>
      <c r="B68">
        <v>164</v>
      </c>
      <c r="C68" s="1">
        <v>45930</v>
      </c>
      <c r="D68">
        <v>6526.83</v>
      </c>
      <c r="G68" t="s">
        <v>419</v>
      </c>
      <c r="H68">
        <v>0</v>
      </c>
      <c r="I68" s="1">
        <v>45291</v>
      </c>
      <c r="J68">
        <v>34169</v>
      </c>
    </row>
    <row r="69" spans="1:10">
      <c r="A69" t="s">
        <v>163</v>
      </c>
      <c r="B69">
        <v>165</v>
      </c>
      <c r="C69" s="1">
        <v>45291</v>
      </c>
      <c r="D69">
        <v>807.5</v>
      </c>
      <c r="G69" t="s">
        <v>419</v>
      </c>
      <c r="H69">
        <v>0</v>
      </c>
      <c r="I69" s="1">
        <v>45322</v>
      </c>
      <c r="J69">
        <v>41127</v>
      </c>
    </row>
    <row r="70" spans="1:10">
      <c r="A70" t="s">
        <v>163</v>
      </c>
      <c r="B70">
        <v>165</v>
      </c>
      <c r="C70" s="1">
        <v>45322</v>
      </c>
      <c r="D70">
        <v>742</v>
      </c>
      <c r="G70" t="s">
        <v>419</v>
      </c>
      <c r="H70">
        <v>0</v>
      </c>
      <c r="I70" s="1">
        <v>45351</v>
      </c>
      <c r="J70">
        <v>41812</v>
      </c>
    </row>
    <row r="71" spans="1:10">
      <c r="A71" t="s">
        <v>163</v>
      </c>
      <c r="B71">
        <v>165</v>
      </c>
      <c r="C71" s="1">
        <v>45351</v>
      </c>
      <c r="D71">
        <v>848</v>
      </c>
      <c r="G71" t="s">
        <v>419</v>
      </c>
      <c r="H71">
        <v>0</v>
      </c>
      <c r="I71" s="1">
        <v>45382</v>
      </c>
      <c r="J71">
        <v>40987</v>
      </c>
    </row>
    <row r="72" spans="1:10">
      <c r="A72" t="s">
        <v>163</v>
      </c>
      <c r="B72">
        <v>165</v>
      </c>
      <c r="C72" s="1">
        <v>45382</v>
      </c>
      <c r="D72">
        <v>779</v>
      </c>
      <c r="G72" t="s">
        <v>419</v>
      </c>
      <c r="H72">
        <v>0</v>
      </c>
      <c r="I72" s="1">
        <v>45412</v>
      </c>
      <c r="J72">
        <v>43374</v>
      </c>
    </row>
    <row r="73" spans="1:10">
      <c r="A73" t="s">
        <v>163</v>
      </c>
      <c r="B73">
        <v>165</v>
      </c>
      <c r="C73" s="1">
        <v>45412</v>
      </c>
      <c r="D73">
        <v>890.5</v>
      </c>
      <c r="G73" t="s">
        <v>419</v>
      </c>
      <c r="H73">
        <v>0</v>
      </c>
      <c r="I73" s="1">
        <v>45443</v>
      </c>
      <c r="J73">
        <v>44161</v>
      </c>
    </row>
    <row r="74" spans="1:10">
      <c r="A74" t="s">
        <v>163</v>
      </c>
      <c r="B74">
        <v>165</v>
      </c>
      <c r="C74" s="1">
        <v>45443</v>
      </c>
      <c r="D74">
        <v>818.5</v>
      </c>
      <c r="G74" t="s">
        <v>419</v>
      </c>
      <c r="H74">
        <v>0</v>
      </c>
      <c r="I74" s="1">
        <v>45473</v>
      </c>
      <c r="J74">
        <v>44983</v>
      </c>
    </row>
    <row r="75" spans="1:10">
      <c r="A75" t="s">
        <v>163</v>
      </c>
      <c r="B75">
        <v>165</v>
      </c>
      <c r="C75" s="1">
        <v>45473</v>
      </c>
      <c r="D75">
        <v>935.5</v>
      </c>
      <c r="G75" t="s">
        <v>419</v>
      </c>
      <c r="H75">
        <v>0</v>
      </c>
      <c r="I75" s="1">
        <v>45504</v>
      </c>
      <c r="J75">
        <v>46381</v>
      </c>
    </row>
    <row r="76" spans="1:10">
      <c r="A76" t="s">
        <v>163</v>
      </c>
      <c r="B76">
        <v>165</v>
      </c>
      <c r="C76" s="1">
        <v>45504</v>
      </c>
      <c r="D76">
        <v>981</v>
      </c>
      <c r="G76" t="s">
        <v>419</v>
      </c>
      <c r="H76">
        <v>0</v>
      </c>
      <c r="I76" s="1">
        <v>45535</v>
      </c>
      <c r="J76">
        <v>47434</v>
      </c>
    </row>
    <row r="77" spans="1:10">
      <c r="A77" t="s">
        <v>163</v>
      </c>
      <c r="B77">
        <v>165</v>
      </c>
      <c r="C77" s="1">
        <v>45535</v>
      </c>
      <c r="D77">
        <v>980.5</v>
      </c>
      <c r="G77" t="s">
        <v>419</v>
      </c>
      <c r="H77">
        <v>0</v>
      </c>
      <c r="I77" s="1">
        <v>45565</v>
      </c>
      <c r="J77">
        <v>48580</v>
      </c>
    </row>
    <row r="78" spans="1:10">
      <c r="A78" t="s">
        <v>163</v>
      </c>
      <c r="B78">
        <v>165</v>
      </c>
      <c r="C78" s="1">
        <v>45565</v>
      </c>
      <c r="D78">
        <v>1030</v>
      </c>
      <c r="G78" t="s">
        <v>419</v>
      </c>
      <c r="H78">
        <v>0</v>
      </c>
      <c r="I78" s="1">
        <v>45596</v>
      </c>
      <c r="J78">
        <v>49839</v>
      </c>
    </row>
    <row r="79" spans="1:10">
      <c r="A79" t="s">
        <v>163</v>
      </c>
      <c r="B79">
        <v>165</v>
      </c>
      <c r="C79" s="1">
        <v>45596</v>
      </c>
      <c r="D79">
        <v>1030.33</v>
      </c>
      <c r="G79" t="s">
        <v>419</v>
      </c>
      <c r="H79">
        <v>0</v>
      </c>
      <c r="I79" s="1">
        <v>45626</v>
      </c>
      <c r="J79">
        <v>51049</v>
      </c>
    </row>
    <row r="80" spans="1:10">
      <c r="A80" t="s">
        <v>163</v>
      </c>
      <c r="B80">
        <v>165</v>
      </c>
      <c r="C80" s="1">
        <v>45626</v>
      </c>
      <c r="D80">
        <v>1082.33</v>
      </c>
      <c r="G80" t="s">
        <v>419</v>
      </c>
      <c r="H80">
        <v>0</v>
      </c>
      <c r="I80" s="1">
        <v>45657</v>
      </c>
      <c r="J80">
        <v>52314</v>
      </c>
    </row>
    <row r="81" spans="1:10">
      <c r="A81" t="s">
        <v>163</v>
      </c>
      <c r="B81">
        <v>165</v>
      </c>
      <c r="C81" s="1">
        <v>45657</v>
      </c>
      <c r="D81">
        <v>1136</v>
      </c>
      <c r="G81" t="s">
        <v>419</v>
      </c>
      <c r="H81">
        <v>0</v>
      </c>
      <c r="I81" s="1">
        <v>45688</v>
      </c>
      <c r="J81">
        <v>53620.77</v>
      </c>
    </row>
    <row r="82" spans="1:10">
      <c r="A82" t="s">
        <v>163</v>
      </c>
      <c r="B82">
        <v>165</v>
      </c>
      <c r="C82" s="1">
        <v>45688</v>
      </c>
      <c r="D82">
        <v>1192.81</v>
      </c>
      <c r="G82" t="s">
        <v>419</v>
      </c>
      <c r="H82">
        <v>0</v>
      </c>
      <c r="I82" s="1">
        <v>45716</v>
      </c>
      <c r="J82">
        <v>54944.77</v>
      </c>
    </row>
    <row r="83" spans="1:10">
      <c r="A83" t="s">
        <v>163</v>
      </c>
      <c r="B83">
        <v>165</v>
      </c>
      <c r="C83" s="1">
        <v>45716</v>
      </c>
      <c r="D83">
        <v>1252</v>
      </c>
      <c r="G83" t="s">
        <v>419</v>
      </c>
      <c r="H83">
        <v>0</v>
      </c>
      <c r="I83" s="1">
        <v>45747</v>
      </c>
      <c r="J83">
        <v>56307.77</v>
      </c>
    </row>
    <row r="84" spans="1:10">
      <c r="A84" t="s">
        <v>163</v>
      </c>
      <c r="B84">
        <v>165</v>
      </c>
      <c r="C84" s="1">
        <v>45747</v>
      </c>
      <c r="D84">
        <v>1315</v>
      </c>
      <c r="G84" t="s">
        <v>419</v>
      </c>
      <c r="H84">
        <v>0</v>
      </c>
      <c r="I84" s="1">
        <v>45777</v>
      </c>
      <c r="J84">
        <v>57705.77</v>
      </c>
    </row>
    <row r="85" spans="1:10">
      <c r="A85" t="s">
        <v>163</v>
      </c>
      <c r="B85">
        <v>165</v>
      </c>
      <c r="C85" s="1">
        <v>45777</v>
      </c>
      <c r="D85">
        <v>1381</v>
      </c>
      <c r="G85" t="s">
        <v>419</v>
      </c>
      <c r="H85">
        <v>0</v>
      </c>
      <c r="I85" s="1">
        <v>45808</v>
      </c>
      <c r="J85">
        <v>59135.77</v>
      </c>
    </row>
    <row r="86" spans="1:10">
      <c r="A86" t="s">
        <v>163</v>
      </c>
      <c r="B86">
        <v>165</v>
      </c>
      <c r="C86" s="1">
        <v>45808</v>
      </c>
      <c r="D86">
        <v>1450</v>
      </c>
      <c r="G86" t="s">
        <v>419</v>
      </c>
      <c r="H86">
        <v>0</v>
      </c>
      <c r="I86" s="1">
        <v>45838</v>
      </c>
      <c r="J86">
        <v>69302.55</v>
      </c>
    </row>
    <row r="87" spans="1:10">
      <c r="A87" t="s">
        <v>163</v>
      </c>
      <c r="B87">
        <v>165</v>
      </c>
      <c r="C87" s="1">
        <v>45838</v>
      </c>
      <c r="D87">
        <v>1522.36</v>
      </c>
      <c r="G87" t="s">
        <v>419</v>
      </c>
      <c r="H87">
        <v>0</v>
      </c>
      <c r="I87" s="1">
        <v>45869</v>
      </c>
      <c r="J87">
        <v>70805.53</v>
      </c>
    </row>
    <row r="88" spans="1:10">
      <c r="A88" t="s">
        <v>163</v>
      </c>
      <c r="B88">
        <v>165</v>
      </c>
      <c r="C88" s="1">
        <v>45869</v>
      </c>
      <c r="D88">
        <v>1598.48</v>
      </c>
      <c r="G88" t="s">
        <v>419</v>
      </c>
      <c r="H88">
        <v>0</v>
      </c>
      <c r="I88" s="1">
        <v>45900</v>
      </c>
      <c r="J88">
        <v>72345.320000000007</v>
      </c>
    </row>
    <row r="89" spans="1:10">
      <c r="A89" t="s">
        <v>163</v>
      </c>
      <c r="B89">
        <v>165</v>
      </c>
      <c r="C89" s="1">
        <v>45900</v>
      </c>
      <c r="D89">
        <v>1678.4</v>
      </c>
      <c r="G89" t="s">
        <v>419</v>
      </c>
      <c r="H89">
        <v>0</v>
      </c>
      <c r="I89" s="1">
        <v>45930</v>
      </c>
      <c r="J89">
        <v>73923.66</v>
      </c>
    </row>
    <row r="90" spans="1:10">
      <c r="A90" t="s">
        <v>163</v>
      </c>
      <c r="B90">
        <v>165</v>
      </c>
      <c r="C90" s="1">
        <v>45930</v>
      </c>
      <c r="D90">
        <v>1762.32</v>
      </c>
      <c r="G90" t="s">
        <v>205</v>
      </c>
      <c r="H90">
        <v>193</v>
      </c>
      <c r="I90" s="1">
        <v>45291</v>
      </c>
      <c r="J90">
        <v>1119.5</v>
      </c>
    </row>
    <row r="91" spans="1:10">
      <c r="A91" t="s">
        <v>164</v>
      </c>
      <c r="B91">
        <v>24</v>
      </c>
      <c r="C91" s="1">
        <v>45838</v>
      </c>
      <c r="D91">
        <v>300</v>
      </c>
      <c r="G91" t="s">
        <v>205</v>
      </c>
      <c r="H91">
        <v>193</v>
      </c>
      <c r="I91" s="1">
        <v>45322</v>
      </c>
      <c r="J91">
        <v>1119.5</v>
      </c>
    </row>
    <row r="92" spans="1:10">
      <c r="A92" t="s">
        <v>165</v>
      </c>
      <c r="B92">
        <v>207</v>
      </c>
      <c r="C92" s="1">
        <v>45869</v>
      </c>
      <c r="D92">
        <v>-1000</v>
      </c>
      <c r="G92" t="s">
        <v>205</v>
      </c>
      <c r="H92">
        <v>193</v>
      </c>
      <c r="I92" s="1">
        <v>45351</v>
      </c>
      <c r="J92">
        <v>1119.5</v>
      </c>
    </row>
    <row r="93" spans="1:10">
      <c r="A93" t="s">
        <v>420</v>
      </c>
      <c r="B93">
        <v>0</v>
      </c>
      <c r="C93" s="1">
        <v>45291</v>
      </c>
      <c r="D93">
        <v>3797.5</v>
      </c>
      <c r="G93" t="s">
        <v>205</v>
      </c>
      <c r="H93">
        <v>193</v>
      </c>
      <c r="I93" s="1">
        <v>45382</v>
      </c>
      <c r="J93">
        <v>1119.5</v>
      </c>
    </row>
    <row r="94" spans="1:10">
      <c r="A94" t="s">
        <v>420</v>
      </c>
      <c r="B94">
        <v>0</v>
      </c>
      <c r="C94" s="1">
        <v>45322</v>
      </c>
      <c r="D94">
        <v>3599</v>
      </c>
      <c r="G94" t="s">
        <v>205</v>
      </c>
      <c r="H94">
        <v>193</v>
      </c>
      <c r="I94" s="1">
        <v>45412</v>
      </c>
      <c r="J94">
        <v>1119.5</v>
      </c>
    </row>
    <row r="95" spans="1:10">
      <c r="A95" t="s">
        <v>420</v>
      </c>
      <c r="B95">
        <v>0</v>
      </c>
      <c r="C95" s="1">
        <v>45351</v>
      </c>
      <c r="D95">
        <v>3988</v>
      </c>
      <c r="G95" t="s">
        <v>205</v>
      </c>
      <c r="H95">
        <v>193</v>
      </c>
      <c r="I95" s="1">
        <v>45443</v>
      </c>
      <c r="J95">
        <v>1119.5</v>
      </c>
    </row>
    <row r="96" spans="1:10">
      <c r="A96" t="s">
        <v>420</v>
      </c>
      <c r="B96">
        <v>0</v>
      </c>
      <c r="C96" s="1">
        <v>45382</v>
      </c>
      <c r="D96">
        <v>3779</v>
      </c>
      <c r="G96" t="s">
        <v>205</v>
      </c>
      <c r="H96">
        <v>193</v>
      </c>
      <c r="I96" s="1">
        <v>45473</v>
      </c>
      <c r="J96">
        <v>1119.5</v>
      </c>
    </row>
    <row r="97" spans="1:10">
      <c r="A97" t="s">
        <v>420</v>
      </c>
      <c r="B97">
        <v>0</v>
      </c>
      <c r="C97" s="1">
        <v>45412</v>
      </c>
      <c r="D97">
        <v>4186.5</v>
      </c>
      <c r="G97" t="s">
        <v>205</v>
      </c>
      <c r="H97">
        <v>193</v>
      </c>
      <c r="I97" s="1">
        <v>45504</v>
      </c>
      <c r="J97">
        <v>1119.5</v>
      </c>
    </row>
    <row r="98" spans="1:10">
      <c r="A98" t="s">
        <v>420</v>
      </c>
      <c r="B98">
        <v>0</v>
      </c>
      <c r="C98" s="1">
        <v>45443</v>
      </c>
      <c r="D98">
        <v>3968.5</v>
      </c>
      <c r="G98" t="s">
        <v>205</v>
      </c>
      <c r="H98">
        <v>193</v>
      </c>
      <c r="I98" s="1">
        <v>45535</v>
      </c>
      <c r="J98">
        <v>1119.5</v>
      </c>
    </row>
    <row r="99" spans="1:10">
      <c r="A99" t="s">
        <v>420</v>
      </c>
      <c r="B99">
        <v>0</v>
      </c>
      <c r="C99" s="1">
        <v>45473</v>
      </c>
      <c r="D99">
        <v>4396.5</v>
      </c>
      <c r="G99" t="s">
        <v>205</v>
      </c>
      <c r="H99">
        <v>193</v>
      </c>
      <c r="I99" s="1">
        <v>45565</v>
      </c>
      <c r="J99">
        <v>1119.5</v>
      </c>
    </row>
    <row r="100" spans="1:10">
      <c r="A100" t="s">
        <v>420</v>
      </c>
      <c r="B100">
        <v>0</v>
      </c>
      <c r="C100" s="1">
        <v>45504</v>
      </c>
      <c r="D100">
        <v>4615</v>
      </c>
      <c r="G100" t="s">
        <v>205</v>
      </c>
      <c r="H100">
        <v>193</v>
      </c>
      <c r="I100" s="1">
        <v>45596</v>
      </c>
      <c r="J100">
        <v>1119.5</v>
      </c>
    </row>
    <row r="101" spans="1:10">
      <c r="A101" t="s">
        <v>420</v>
      </c>
      <c r="B101">
        <v>0</v>
      </c>
      <c r="C101" s="1">
        <v>45535</v>
      </c>
      <c r="D101">
        <v>4614.5</v>
      </c>
      <c r="G101" t="s">
        <v>205</v>
      </c>
      <c r="H101">
        <v>193</v>
      </c>
      <c r="I101" s="1">
        <v>45626</v>
      </c>
      <c r="J101">
        <v>1119.5</v>
      </c>
    </row>
    <row r="102" spans="1:10">
      <c r="A102" t="s">
        <v>420</v>
      </c>
      <c r="B102">
        <v>0</v>
      </c>
      <c r="C102" s="1">
        <v>45565</v>
      </c>
      <c r="D102">
        <v>4846</v>
      </c>
      <c r="G102" t="s">
        <v>205</v>
      </c>
      <c r="H102">
        <v>193</v>
      </c>
      <c r="I102" s="1">
        <v>45657</v>
      </c>
      <c r="J102">
        <v>1119.5</v>
      </c>
    </row>
    <row r="103" spans="1:10">
      <c r="A103" t="s">
        <v>420</v>
      </c>
      <c r="B103">
        <v>0</v>
      </c>
      <c r="C103" s="1">
        <v>45596</v>
      </c>
      <c r="D103">
        <v>4846.33</v>
      </c>
      <c r="G103" t="s">
        <v>205</v>
      </c>
      <c r="H103">
        <v>193</v>
      </c>
      <c r="I103" s="1">
        <v>45688</v>
      </c>
      <c r="J103">
        <v>1119.5</v>
      </c>
    </row>
    <row r="104" spans="1:10">
      <c r="A104" t="s">
        <v>420</v>
      </c>
      <c r="B104">
        <v>0</v>
      </c>
      <c r="C104" s="1">
        <v>45626</v>
      </c>
      <c r="D104">
        <v>5089.33</v>
      </c>
      <c r="G104" t="s">
        <v>205</v>
      </c>
      <c r="H104">
        <v>193</v>
      </c>
      <c r="I104" s="1">
        <v>45716</v>
      </c>
      <c r="J104">
        <v>1119.5</v>
      </c>
    </row>
    <row r="105" spans="1:10">
      <c r="A105" t="s">
        <v>420</v>
      </c>
      <c r="B105">
        <v>0</v>
      </c>
      <c r="C105" s="1">
        <v>45657</v>
      </c>
      <c r="D105">
        <v>5343</v>
      </c>
      <c r="G105" t="s">
        <v>205</v>
      </c>
      <c r="H105">
        <v>193</v>
      </c>
      <c r="I105" s="1">
        <v>45747</v>
      </c>
      <c r="J105">
        <v>1119.5</v>
      </c>
    </row>
    <row r="106" spans="1:10">
      <c r="A106" t="s">
        <v>420</v>
      </c>
      <c r="B106">
        <v>0</v>
      </c>
      <c r="C106" s="1">
        <v>45688</v>
      </c>
      <c r="D106">
        <v>5610.42</v>
      </c>
      <c r="G106" t="s">
        <v>205</v>
      </c>
      <c r="H106">
        <v>193</v>
      </c>
      <c r="I106" s="1">
        <v>45777</v>
      </c>
      <c r="J106">
        <v>1119.5</v>
      </c>
    </row>
    <row r="107" spans="1:10">
      <c r="A107" t="s">
        <v>420</v>
      </c>
      <c r="B107">
        <v>0</v>
      </c>
      <c r="C107" s="1">
        <v>45716</v>
      </c>
      <c r="D107">
        <v>5890</v>
      </c>
      <c r="G107" t="s">
        <v>205</v>
      </c>
      <c r="H107">
        <v>193</v>
      </c>
      <c r="I107" s="1">
        <v>45808</v>
      </c>
      <c r="J107">
        <v>1119.5</v>
      </c>
    </row>
    <row r="108" spans="1:10">
      <c r="A108" t="s">
        <v>420</v>
      </c>
      <c r="B108">
        <v>0</v>
      </c>
      <c r="C108" s="1">
        <v>45747</v>
      </c>
      <c r="D108">
        <v>6185</v>
      </c>
      <c r="G108" t="s">
        <v>205</v>
      </c>
      <c r="H108">
        <v>193</v>
      </c>
      <c r="I108" s="1">
        <v>45838</v>
      </c>
      <c r="J108">
        <v>1119.5</v>
      </c>
    </row>
    <row r="109" spans="1:10">
      <c r="A109" t="s">
        <v>420</v>
      </c>
      <c r="B109">
        <v>0</v>
      </c>
      <c r="C109" s="1">
        <v>45777</v>
      </c>
      <c r="D109">
        <v>6495</v>
      </c>
      <c r="G109" t="s">
        <v>205</v>
      </c>
      <c r="H109">
        <v>193</v>
      </c>
      <c r="I109" s="1">
        <v>45869</v>
      </c>
      <c r="J109">
        <v>1119.5</v>
      </c>
    </row>
    <row r="110" spans="1:10">
      <c r="A110" t="s">
        <v>420</v>
      </c>
      <c r="B110">
        <v>0</v>
      </c>
      <c r="C110" s="1">
        <v>45808</v>
      </c>
      <c r="D110">
        <v>6820</v>
      </c>
      <c r="G110" t="s">
        <v>205</v>
      </c>
      <c r="H110">
        <v>193</v>
      </c>
      <c r="I110" s="1">
        <v>45900</v>
      </c>
      <c r="J110">
        <v>1119.5</v>
      </c>
    </row>
    <row r="111" spans="1:10">
      <c r="A111" t="s">
        <v>420</v>
      </c>
      <c r="B111">
        <v>0</v>
      </c>
      <c r="C111" s="1">
        <v>45838</v>
      </c>
      <c r="D111">
        <v>7460.48</v>
      </c>
      <c r="G111" t="s">
        <v>205</v>
      </c>
      <c r="H111">
        <v>193</v>
      </c>
      <c r="I111" s="1">
        <v>45930</v>
      </c>
      <c r="J111">
        <v>1119.5</v>
      </c>
    </row>
    <row r="112" spans="1:10">
      <c r="A112" t="s">
        <v>420</v>
      </c>
      <c r="B112">
        <v>0</v>
      </c>
      <c r="C112" s="1">
        <v>45869</v>
      </c>
      <c r="D112">
        <v>6518.5</v>
      </c>
      <c r="G112" t="s">
        <v>206</v>
      </c>
      <c r="H112">
        <v>150</v>
      </c>
      <c r="I112" s="1">
        <v>45291</v>
      </c>
      <c r="J112">
        <v>25000</v>
      </c>
    </row>
    <row r="113" spans="1:10">
      <c r="A113" t="s">
        <v>420</v>
      </c>
      <c r="B113">
        <v>0</v>
      </c>
      <c r="C113" s="1">
        <v>45900</v>
      </c>
      <c r="D113">
        <v>7894.43</v>
      </c>
      <c r="G113" t="s">
        <v>206</v>
      </c>
      <c r="H113">
        <v>150</v>
      </c>
      <c r="I113" s="1">
        <v>45322</v>
      </c>
      <c r="J113">
        <v>25000</v>
      </c>
    </row>
    <row r="114" spans="1:10">
      <c r="A114" t="s">
        <v>420</v>
      </c>
      <c r="B114">
        <v>0</v>
      </c>
      <c r="C114" s="1">
        <v>45930</v>
      </c>
      <c r="D114">
        <v>8289.15</v>
      </c>
      <c r="G114" t="s">
        <v>206</v>
      </c>
      <c r="H114">
        <v>150</v>
      </c>
      <c r="I114" s="1">
        <v>45351</v>
      </c>
      <c r="J114">
        <v>25000</v>
      </c>
    </row>
    <row r="115" spans="1:10">
      <c r="A115" t="s">
        <v>36</v>
      </c>
      <c r="B115">
        <v>0</v>
      </c>
      <c r="C115" s="1">
        <v>45291</v>
      </c>
      <c r="D115">
        <v>36202.5</v>
      </c>
      <c r="G115" t="s">
        <v>206</v>
      </c>
      <c r="H115">
        <v>150</v>
      </c>
      <c r="I115" s="1">
        <v>45382</v>
      </c>
      <c r="J115">
        <v>25000</v>
      </c>
    </row>
    <row r="116" spans="1:10">
      <c r="A116" t="s">
        <v>36</v>
      </c>
      <c r="B116">
        <v>0</v>
      </c>
      <c r="C116" s="1">
        <v>45322</v>
      </c>
      <c r="D116">
        <v>44857.5</v>
      </c>
      <c r="G116" t="s">
        <v>206</v>
      </c>
      <c r="H116">
        <v>150</v>
      </c>
      <c r="I116" s="1">
        <v>45412</v>
      </c>
      <c r="J116">
        <v>25000</v>
      </c>
    </row>
    <row r="117" spans="1:10">
      <c r="A117" t="s">
        <v>36</v>
      </c>
      <c r="B117">
        <v>0</v>
      </c>
      <c r="C117" s="1">
        <v>45351</v>
      </c>
      <c r="D117">
        <v>38012</v>
      </c>
      <c r="G117" t="s">
        <v>206</v>
      </c>
      <c r="H117">
        <v>150</v>
      </c>
      <c r="I117" s="1">
        <v>45443</v>
      </c>
      <c r="J117">
        <v>25000</v>
      </c>
    </row>
    <row r="118" spans="1:10">
      <c r="A118" t="s">
        <v>36</v>
      </c>
      <c r="B118">
        <v>0</v>
      </c>
      <c r="C118" s="1">
        <v>45382</v>
      </c>
      <c r="D118">
        <v>47100.5</v>
      </c>
      <c r="G118" t="s">
        <v>206</v>
      </c>
      <c r="H118">
        <v>150</v>
      </c>
      <c r="I118" s="1">
        <v>45473</v>
      </c>
      <c r="J118">
        <v>25000</v>
      </c>
    </row>
    <row r="119" spans="1:10">
      <c r="A119" t="s">
        <v>36</v>
      </c>
      <c r="B119">
        <v>0</v>
      </c>
      <c r="C119" s="1">
        <v>45412</v>
      </c>
      <c r="D119">
        <v>39913.5</v>
      </c>
      <c r="G119" t="s">
        <v>206</v>
      </c>
      <c r="H119">
        <v>150</v>
      </c>
      <c r="I119" s="1">
        <v>45504</v>
      </c>
      <c r="J119">
        <v>25000</v>
      </c>
    </row>
    <row r="120" spans="1:10">
      <c r="A120" t="s">
        <v>36</v>
      </c>
      <c r="B120">
        <v>0</v>
      </c>
      <c r="C120" s="1">
        <v>45443</v>
      </c>
      <c r="D120">
        <v>49455.5</v>
      </c>
      <c r="G120" t="s">
        <v>206</v>
      </c>
      <c r="H120">
        <v>150</v>
      </c>
      <c r="I120" s="1">
        <v>45535</v>
      </c>
      <c r="J120">
        <v>25000</v>
      </c>
    </row>
    <row r="121" spans="1:10">
      <c r="A121" t="s">
        <v>36</v>
      </c>
      <c r="B121">
        <v>0</v>
      </c>
      <c r="C121" s="1">
        <v>45473</v>
      </c>
      <c r="D121">
        <v>41908.5</v>
      </c>
      <c r="G121" t="s">
        <v>206</v>
      </c>
      <c r="H121">
        <v>150</v>
      </c>
      <c r="I121" s="1">
        <v>45565</v>
      </c>
      <c r="J121">
        <v>25000</v>
      </c>
    </row>
    <row r="122" spans="1:10">
      <c r="A122" t="s">
        <v>36</v>
      </c>
      <c r="B122">
        <v>0</v>
      </c>
      <c r="C122" s="1">
        <v>45504</v>
      </c>
      <c r="D122">
        <v>44005</v>
      </c>
      <c r="G122" t="s">
        <v>206</v>
      </c>
      <c r="H122">
        <v>150</v>
      </c>
      <c r="I122" s="1">
        <v>45596</v>
      </c>
      <c r="J122">
        <v>25000</v>
      </c>
    </row>
    <row r="123" spans="1:10">
      <c r="A123" t="s">
        <v>36</v>
      </c>
      <c r="B123">
        <v>0</v>
      </c>
      <c r="C123" s="1">
        <v>45535</v>
      </c>
      <c r="D123">
        <v>44005.5</v>
      </c>
      <c r="G123" t="s">
        <v>206</v>
      </c>
      <c r="H123">
        <v>150</v>
      </c>
      <c r="I123" s="1">
        <v>45626</v>
      </c>
      <c r="J123">
        <v>25000</v>
      </c>
    </row>
    <row r="124" spans="1:10">
      <c r="A124" t="s">
        <v>36</v>
      </c>
      <c r="B124">
        <v>0</v>
      </c>
      <c r="C124" s="1">
        <v>45565</v>
      </c>
      <c r="D124">
        <v>46205</v>
      </c>
      <c r="G124" t="s">
        <v>206</v>
      </c>
      <c r="H124">
        <v>150</v>
      </c>
      <c r="I124" s="1">
        <v>45657</v>
      </c>
      <c r="J124">
        <v>25000</v>
      </c>
    </row>
    <row r="125" spans="1:10">
      <c r="A125" t="s">
        <v>36</v>
      </c>
      <c r="B125">
        <v>0</v>
      </c>
      <c r="C125" s="1">
        <v>45596</v>
      </c>
      <c r="D125">
        <v>46204.67</v>
      </c>
      <c r="G125" t="s">
        <v>206</v>
      </c>
      <c r="H125">
        <v>150</v>
      </c>
      <c r="I125" s="1">
        <v>45688</v>
      </c>
      <c r="J125">
        <v>25000</v>
      </c>
    </row>
    <row r="126" spans="1:10">
      <c r="A126" t="s">
        <v>36</v>
      </c>
      <c r="B126">
        <v>0</v>
      </c>
      <c r="C126" s="1">
        <v>45626</v>
      </c>
      <c r="D126">
        <v>48514.67</v>
      </c>
      <c r="G126" t="s">
        <v>206</v>
      </c>
      <c r="H126">
        <v>150</v>
      </c>
      <c r="I126" s="1">
        <v>45716</v>
      </c>
      <c r="J126">
        <v>25000</v>
      </c>
    </row>
    <row r="127" spans="1:10">
      <c r="A127" t="s">
        <v>36</v>
      </c>
      <c r="B127">
        <v>0</v>
      </c>
      <c r="C127" s="1">
        <v>45657</v>
      </c>
      <c r="D127">
        <v>50941</v>
      </c>
      <c r="G127" t="s">
        <v>206</v>
      </c>
      <c r="H127">
        <v>150</v>
      </c>
      <c r="I127" s="1">
        <v>45747</v>
      </c>
      <c r="J127">
        <v>25000</v>
      </c>
    </row>
    <row r="128" spans="1:10">
      <c r="A128" t="s">
        <v>36</v>
      </c>
      <c r="B128">
        <v>0</v>
      </c>
      <c r="C128" s="1">
        <v>45688</v>
      </c>
      <c r="D128">
        <v>53487.8</v>
      </c>
      <c r="G128" t="s">
        <v>206</v>
      </c>
      <c r="H128">
        <v>150</v>
      </c>
      <c r="I128" s="1">
        <v>45777</v>
      </c>
      <c r="J128">
        <v>25000</v>
      </c>
    </row>
    <row r="129" spans="1:10">
      <c r="A129" t="s">
        <v>36</v>
      </c>
      <c r="B129">
        <v>0</v>
      </c>
      <c r="C129" s="1">
        <v>45716</v>
      </c>
      <c r="D129">
        <v>56163</v>
      </c>
      <c r="G129" t="s">
        <v>206</v>
      </c>
      <c r="H129">
        <v>150</v>
      </c>
      <c r="I129" s="1">
        <v>45808</v>
      </c>
      <c r="J129">
        <v>25000</v>
      </c>
    </row>
    <row r="130" spans="1:10">
      <c r="A130" t="s">
        <v>36</v>
      </c>
      <c r="B130">
        <v>0</v>
      </c>
      <c r="C130" s="1">
        <v>45747</v>
      </c>
      <c r="D130">
        <v>58971</v>
      </c>
      <c r="G130" t="s">
        <v>206</v>
      </c>
      <c r="H130">
        <v>150</v>
      </c>
      <c r="I130" s="1">
        <v>45838</v>
      </c>
      <c r="J130">
        <v>25000</v>
      </c>
    </row>
    <row r="131" spans="1:10">
      <c r="A131" t="s">
        <v>36</v>
      </c>
      <c r="B131">
        <v>0</v>
      </c>
      <c r="C131" s="1">
        <v>45777</v>
      </c>
      <c r="D131">
        <v>61919</v>
      </c>
      <c r="G131" t="s">
        <v>206</v>
      </c>
      <c r="H131">
        <v>150</v>
      </c>
      <c r="I131" s="1">
        <v>45869</v>
      </c>
      <c r="J131">
        <v>25000</v>
      </c>
    </row>
    <row r="132" spans="1:10">
      <c r="A132" t="s">
        <v>36</v>
      </c>
      <c r="B132">
        <v>0</v>
      </c>
      <c r="C132" s="1">
        <v>45808</v>
      </c>
      <c r="D132">
        <v>65014</v>
      </c>
      <c r="G132" t="s">
        <v>206</v>
      </c>
      <c r="H132">
        <v>150</v>
      </c>
      <c r="I132" s="1">
        <v>45900</v>
      </c>
      <c r="J132">
        <v>25000</v>
      </c>
    </row>
    <row r="133" spans="1:10">
      <c r="A133" t="s">
        <v>36</v>
      </c>
      <c r="B133">
        <v>0</v>
      </c>
      <c r="C133" s="1">
        <v>45838</v>
      </c>
      <c r="D133">
        <v>76665.490000000005</v>
      </c>
      <c r="G133" t="s">
        <v>206</v>
      </c>
      <c r="H133">
        <v>150</v>
      </c>
      <c r="I133" s="1">
        <v>45930</v>
      </c>
      <c r="J133">
        <v>25000</v>
      </c>
    </row>
    <row r="134" spans="1:10">
      <c r="A134" t="s">
        <v>36</v>
      </c>
      <c r="B134">
        <v>0</v>
      </c>
      <c r="C134" s="1">
        <v>45869</v>
      </c>
      <c r="D134">
        <v>72678.759999999995</v>
      </c>
      <c r="G134" t="s">
        <v>208</v>
      </c>
      <c r="H134">
        <v>42</v>
      </c>
      <c r="I134" s="1">
        <v>45838</v>
      </c>
      <c r="J134">
        <v>-300</v>
      </c>
    </row>
    <row r="135" spans="1:10">
      <c r="A135" t="s">
        <v>36</v>
      </c>
      <c r="B135">
        <v>0</v>
      </c>
      <c r="C135" s="1">
        <v>45900</v>
      </c>
      <c r="D135">
        <v>75262.7</v>
      </c>
      <c r="G135" t="s">
        <v>208</v>
      </c>
      <c r="H135">
        <v>42</v>
      </c>
      <c r="I135" s="1">
        <v>45869</v>
      </c>
      <c r="J135">
        <v>700</v>
      </c>
    </row>
    <row r="136" spans="1:10">
      <c r="A136" t="s">
        <v>36</v>
      </c>
      <c r="B136">
        <v>0</v>
      </c>
      <c r="C136" s="1">
        <v>45930</v>
      </c>
      <c r="D136">
        <v>79025.83</v>
      </c>
      <c r="G136" t="s">
        <v>208</v>
      </c>
      <c r="H136">
        <v>42</v>
      </c>
      <c r="I136" s="1">
        <v>45900</v>
      </c>
      <c r="J136">
        <v>700</v>
      </c>
    </row>
    <row r="137" spans="1:10">
      <c r="A137" t="s">
        <v>168</v>
      </c>
      <c r="B137">
        <v>200</v>
      </c>
      <c r="C137" s="1">
        <v>45291</v>
      </c>
      <c r="D137">
        <v>15816</v>
      </c>
      <c r="G137" t="s">
        <v>208</v>
      </c>
      <c r="H137">
        <v>42</v>
      </c>
      <c r="I137" s="1">
        <v>45930</v>
      </c>
      <c r="J137">
        <v>700</v>
      </c>
    </row>
    <row r="138" spans="1:10">
      <c r="A138" t="s">
        <v>168</v>
      </c>
      <c r="B138">
        <v>200</v>
      </c>
      <c r="C138" s="1">
        <v>45322</v>
      </c>
      <c r="D138">
        <v>11988</v>
      </c>
      <c r="G138" t="s">
        <v>421</v>
      </c>
      <c r="H138">
        <v>0</v>
      </c>
      <c r="I138" s="1">
        <v>45291</v>
      </c>
      <c r="J138">
        <v>26119.5</v>
      </c>
    </row>
    <row r="139" spans="1:10">
      <c r="A139" t="s">
        <v>168</v>
      </c>
      <c r="B139">
        <v>200</v>
      </c>
      <c r="C139" s="1">
        <v>45351</v>
      </c>
      <c r="D139">
        <v>16607</v>
      </c>
      <c r="G139" t="s">
        <v>421</v>
      </c>
      <c r="H139">
        <v>0</v>
      </c>
      <c r="I139" s="1">
        <v>45322</v>
      </c>
      <c r="J139">
        <v>26119.5</v>
      </c>
    </row>
    <row r="140" spans="1:10">
      <c r="A140" t="s">
        <v>168</v>
      </c>
      <c r="B140">
        <v>200</v>
      </c>
      <c r="C140" s="1">
        <v>45382</v>
      </c>
      <c r="D140">
        <v>12587</v>
      </c>
      <c r="G140" t="s">
        <v>421</v>
      </c>
      <c r="H140">
        <v>0</v>
      </c>
      <c r="I140" s="1">
        <v>45351</v>
      </c>
      <c r="J140">
        <v>26119.5</v>
      </c>
    </row>
    <row r="141" spans="1:10">
      <c r="A141" t="s">
        <v>168</v>
      </c>
      <c r="B141">
        <v>200</v>
      </c>
      <c r="C141" s="1">
        <v>45412</v>
      </c>
      <c r="D141">
        <v>17437</v>
      </c>
      <c r="G141" t="s">
        <v>421</v>
      </c>
      <c r="H141">
        <v>0</v>
      </c>
      <c r="I141" s="1">
        <v>45382</v>
      </c>
      <c r="J141">
        <v>26119.5</v>
      </c>
    </row>
    <row r="142" spans="1:10">
      <c r="A142" t="s">
        <v>168</v>
      </c>
      <c r="B142">
        <v>200</v>
      </c>
      <c r="C142" s="1">
        <v>45443</v>
      </c>
      <c r="D142">
        <v>13216</v>
      </c>
      <c r="G142" t="s">
        <v>421</v>
      </c>
      <c r="H142">
        <v>0</v>
      </c>
      <c r="I142" s="1">
        <v>45412</v>
      </c>
      <c r="J142">
        <v>26119.5</v>
      </c>
    </row>
    <row r="143" spans="1:10">
      <c r="A143" t="s">
        <v>168</v>
      </c>
      <c r="B143">
        <v>200</v>
      </c>
      <c r="C143" s="1">
        <v>45473</v>
      </c>
      <c r="D143">
        <v>18309</v>
      </c>
      <c r="G143" t="s">
        <v>421</v>
      </c>
      <c r="H143">
        <v>0</v>
      </c>
      <c r="I143" s="1">
        <v>45443</v>
      </c>
      <c r="J143">
        <v>26119.5</v>
      </c>
    </row>
    <row r="144" spans="1:10">
      <c r="A144" t="s">
        <v>168</v>
      </c>
      <c r="B144">
        <v>200</v>
      </c>
      <c r="C144" s="1">
        <v>45504</v>
      </c>
      <c r="D144">
        <v>19224</v>
      </c>
      <c r="G144" t="s">
        <v>421</v>
      </c>
      <c r="H144">
        <v>0</v>
      </c>
      <c r="I144" s="1">
        <v>45473</v>
      </c>
      <c r="J144">
        <v>26119.5</v>
      </c>
    </row>
    <row r="145" spans="1:10">
      <c r="A145" t="s">
        <v>168</v>
      </c>
      <c r="B145">
        <v>200</v>
      </c>
      <c r="C145" s="1">
        <v>45535</v>
      </c>
      <c r="D145">
        <v>19224</v>
      </c>
      <c r="G145" t="s">
        <v>421</v>
      </c>
      <c r="H145">
        <v>0</v>
      </c>
      <c r="I145" s="1">
        <v>45504</v>
      </c>
      <c r="J145">
        <v>26119.5</v>
      </c>
    </row>
    <row r="146" spans="1:10">
      <c r="A146" t="s">
        <v>168</v>
      </c>
      <c r="B146">
        <v>200</v>
      </c>
      <c r="C146" s="1">
        <v>45565</v>
      </c>
      <c r="D146">
        <v>20186</v>
      </c>
      <c r="G146" t="s">
        <v>421</v>
      </c>
      <c r="H146">
        <v>0</v>
      </c>
      <c r="I146" s="1">
        <v>45535</v>
      </c>
      <c r="J146">
        <v>26119.5</v>
      </c>
    </row>
    <row r="147" spans="1:10">
      <c r="A147" t="s">
        <v>168</v>
      </c>
      <c r="B147">
        <v>200</v>
      </c>
      <c r="C147" s="1">
        <v>45596</v>
      </c>
      <c r="D147">
        <v>20186</v>
      </c>
      <c r="G147" t="s">
        <v>421</v>
      </c>
      <c r="H147">
        <v>0</v>
      </c>
      <c r="I147" s="1">
        <v>45565</v>
      </c>
      <c r="J147">
        <v>26119.5</v>
      </c>
    </row>
    <row r="148" spans="1:10">
      <c r="A148" t="s">
        <v>168</v>
      </c>
      <c r="B148">
        <v>200</v>
      </c>
      <c r="C148" s="1">
        <v>45626</v>
      </c>
      <c r="D148">
        <v>21195</v>
      </c>
      <c r="G148" t="s">
        <v>421</v>
      </c>
      <c r="H148">
        <v>0</v>
      </c>
      <c r="I148" s="1">
        <v>45596</v>
      </c>
      <c r="J148">
        <v>26119.5</v>
      </c>
    </row>
    <row r="149" spans="1:10">
      <c r="A149" t="s">
        <v>168</v>
      </c>
      <c r="B149">
        <v>200</v>
      </c>
      <c r="C149" s="1">
        <v>45657</v>
      </c>
      <c r="D149">
        <v>22255</v>
      </c>
      <c r="G149" t="s">
        <v>421</v>
      </c>
      <c r="H149">
        <v>0</v>
      </c>
      <c r="I149" s="1">
        <v>45626</v>
      </c>
      <c r="J149">
        <v>26119.5</v>
      </c>
    </row>
    <row r="150" spans="1:10">
      <c r="A150" t="s">
        <v>168</v>
      </c>
      <c r="B150">
        <v>200</v>
      </c>
      <c r="C150" s="1">
        <v>45688</v>
      </c>
      <c r="D150">
        <v>23367.37</v>
      </c>
      <c r="G150" t="s">
        <v>421</v>
      </c>
      <c r="H150">
        <v>0</v>
      </c>
      <c r="I150" s="1">
        <v>45657</v>
      </c>
      <c r="J150">
        <v>26119.5</v>
      </c>
    </row>
    <row r="151" spans="1:10">
      <c r="A151" t="s">
        <v>168</v>
      </c>
      <c r="B151">
        <v>200</v>
      </c>
      <c r="C151" s="1">
        <v>45716</v>
      </c>
      <c r="D151">
        <v>24536</v>
      </c>
      <c r="G151" t="s">
        <v>421</v>
      </c>
      <c r="H151">
        <v>0</v>
      </c>
      <c r="I151" s="1">
        <v>45688</v>
      </c>
      <c r="J151">
        <v>26119.5</v>
      </c>
    </row>
    <row r="152" spans="1:10">
      <c r="A152" t="s">
        <v>168</v>
      </c>
      <c r="B152">
        <v>200</v>
      </c>
      <c r="C152" s="1">
        <v>45747</v>
      </c>
      <c r="D152">
        <v>25763</v>
      </c>
      <c r="G152" t="s">
        <v>421</v>
      </c>
      <c r="H152">
        <v>0</v>
      </c>
      <c r="I152" s="1">
        <v>45716</v>
      </c>
      <c r="J152">
        <v>26119.5</v>
      </c>
    </row>
    <row r="153" spans="1:10">
      <c r="A153" t="s">
        <v>168</v>
      </c>
      <c r="B153">
        <v>200</v>
      </c>
      <c r="C153" s="1">
        <v>45777</v>
      </c>
      <c r="D153">
        <v>27051</v>
      </c>
      <c r="G153" t="s">
        <v>421</v>
      </c>
      <c r="H153">
        <v>0</v>
      </c>
      <c r="I153" s="1">
        <v>45747</v>
      </c>
      <c r="J153">
        <v>26119.5</v>
      </c>
    </row>
    <row r="154" spans="1:10">
      <c r="A154" t="s">
        <v>168</v>
      </c>
      <c r="B154">
        <v>200</v>
      </c>
      <c r="C154" s="1">
        <v>45808</v>
      </c>
      <c r="D154">
        <v>28403</v>
      </c>
      <c r="G154" t="s">
        <v>421</v>
      </c>
      <c r="H154">
        <v>0</v>
      </c>
      <c r="I154" s="1">
        <v>45777</v>
      </c>
      <c r="J154">
        <v>26119.5</v>
      </c>
    </row>
    <row r="155" spans="1:10">
      <c r="A155" t="s">
        <v>168</v>
      </c>
      <c r="B155">
        <v>200</v>
      </c>
      <c r="C155" s="1">
        <v>45838</v>
      </c>
      <c r="D155">
        <v>29823.35</v>
      </c>
      <c r="G155" t="s">
        <v>421</v>
      </c>
      <c r="H155">
        <v>0</v>
      </c>
      <c r="I155" s="1">
        <v>45808</v>
      </c>
      <c r="J155">
        <v>26119.5</v>
      </c>
    </row>
    <row r="156" spans="1:10">
      <c r="A156" t="s">
        <v>168</v>
      </c>
      <c r="B156">
        <v>200</v>
      </c>
      <c r="C156" s="1">
        <v>45869</v>
      </c>
      <c r="D156">
        <v>31314.51</v>
      </c>
      <c r="G156" t="s">
        <v>421</v>
      </c>
      <c r="H156">
        <v>0</v>
      </c>
      <c r="I156" s="1">
        <v>45838</v>
      </c>
      <c r="J156">
        <v>25819.5</v>
      </c>
    </row>
    <row r="157" spans="1:10">
      <c r="A157" t="s">
        <v>168</v>
      </c>
      <c r="B157">
        <v>200</v>
      </c>
      <c r="C157" s="1">
        <v>45900</v>
      </c>
      <c r="D157">
        <v>32880.239999999998</v>
      </c>
      <c r="G157" t="s">
        <v>421</v>
      </c>
      <c r="H157">
        <v>0</v>
      </c>
      <c r="I157" s="1">
        <v>45869</v>
      </c>
      <c r="J157">
        <v>26819.5</v>
      </c>
    </row>
    <row r="158" spans="1:10">
      <c r="A158" t="s">
        <v>168</v>
      </c>
      <c r="B158">
        <v>200</v>
      </c>
      <c r="C158" s="1">
        <v>45930</v>
      </c>
      <c r="D158">
        <v>34524.25</v>
      </c>
      <c r="G158" t="s">
        <v>421</v>
      </c>
      <c r="H158">
        <v>0</v>
      </c>
      <c r="I158" s="1">
        <v>45900</v>
      </c>
      <c r="J158">
        <v>26819.5</v>
      </c>
    </row>
    <row r="159" spans="1:10">
      <c r="A159" t="s">
        <v>169</v>
      </c>
      <c r="B159">
        <v>166</v>
      </c>
      <c r="C159" s="1">
        <v>45291</v>
      </c>
      <c r="D159">
        <v>1088.5</v>
      </c>
      <c r="G159" t="s">
        <v>421</v>
      </c>
      <c r="H159">
        <v>0</v>
      </c>
      <c r="I159" s="1">
        <v>45930</v>
      </c>
      <c r="J159">
        <v>26819.5</v>
      </c>
    </row>
    <row r="160" spans="1:10">
      <c r="A160" t="s">
        <v>169</v>
      </c>
      <c r="B160">
        <v>166</v>
      </c>
      <c r="C160" s="1">
        <v>45322</v>
      </c>
      <c r="D160">
        <v>863.5</v>
      </c>
      <c r="G160" t="s">
        <v>422</v>
      </c>
      <c r="H160">
        <v>0</v>
      </c>
      <c r="I160" s="1">
        <v>45291</v>
      </c>
      <c r="J160">
        <v>4345289</v>
      </c>
    </row>
    <row r="161" spans="1:10">
      <c r="A161" t="s">
        <v>169</v>
      </c>
      <c r="B161">
        <v>166</v>
      </c>
      <c r="C161" s="1">
        <v>45351</v>
      </c>
      <c r="D161">
        <v>1143</v>
      </c>
      <c r="G161" t="s">
        <v>422</v>
      </c>
      <c r="H161">
        <v>0</v>
      </c>
      <c r="I161" s="1">
        <v>45322</v>
      </c>
      <c r="J161">
        <v>4258535</v>
      </c>
    </row>
    <row r="162" spans="1:10">
      <c r="A162" t="s">
        <v>169</v>
      </c>
      <c r="B162">
        <v>166</v>
      </c>
      <c r="C162" s="1">
        <v>45382</v>
      </c>
      <c r="D162">
        <v>906</v>
      </c>
      <c r="G162" t="s">
        <v>422</v>
      </c>
      <c r="H162">
        <v>0</v>
      </c>
      <c r="I162" s="1">
        <v>45351</v>
      </c>
      <c r="J162">
        <v>4144266</v>
      </c>
    </row>
    <row r="163" spans="1:10">
      <c r="A163" t="s">
        <v>169</v>
      </c>
      <c r="B163">
        <v>166</v>
      </c>
      <c r="C163" s="1">
        <v>45412</v>
      </c>
      <c r="D163">
        <v>1200</v>
      </c>
      <c r="G163" t="s">
        <v>422</v>
      </c>
      <c r="H163">
        <v>0</v>
      </c>
      <c r="I163" s="1">
        <v>45382</v>
      </c>
      <c r="J163">
        <v>4071947</v>
      </c>
    </row>
    <row r="164" spans="1:10">
      <c r="A164" t="s">
        <v>169</v>
      </c>
      <c r="B164">
        <v>166</v>
      </c>
      <c r="C164" s="1">
        <v>45443</v>
      </c>
      <c r="D164">
        <v>952</v>
      </c>
      <c r="G164" t="s">
        <v>422</v>
      </c>
      <c r="H164">
        <v>0</v>
      </c>
      <c r="I164" s="1">
        <v>45412</v>
      </c>
      <c r="J164">
        <v>3940287</v>
      </c>
    </row>
    <row r="165" spans="1:10">
      <c r="A165" t="s">
        <v>169</v>
      </c>
      <c r="B165">
        <v>166</v>
      </c>
      <c r="C165" s="1">
        <v>45473</v>
      </c>
      <c r="D165">
        <v>1260.5</v>
      </c>
      <c r="G165" t="s">
        <v>422</v>
      </c>
      <c r="H165">
        <v>0</v>
      </c>
      <c r="I165" s="1">
        <v>45443</v>
      </c>
      <c r="J165">
        <v>3865275</v>
      </c>
    </row>
    <row r="166" spans="1:10">
      <c r="A166" t="s">
        <v>169</v>
      </c>
      <c r="B166">
        <v>166</v>
      </c>
      <c r="C166" s="1">
        <v>45504</v>
      </c>
      <c r="D166">
        <v>1323</v>
      </c>
      <c r="G166" t="s">
        <v>422</v>
      </c>
      <c r="H166">
        <v>0</v>
      </c>
      <c r="I166" s="1">
        <v>45473</v>
      </c>
      <c r="J166">
        <v>3727954</v>
      </c>
    </row>
    <row r="167" spans="1:10">
      <c r="A167" t="s">
        <v>169</v>
      </c>
      <c r="B167">
        <v>166</v>
      </c>
      <c r="C167" s="1">
        <v>45535</v>
      </c>
      <c r="D167">
        <v>1322.5</v>
      </c>
      <c r="G167" t="s">
        <v>422</v>
      </c>
      <c r="H167">
        <v>0</v>
      </c>
      <c r="I167" s="1">
        <v>45504</v>
      </c>
      <c r="J167">
        <v>3584689</v>
      </c>
    </row>
    <row r="168" spans="1:10">
      <c r="A168" t="s">
        <v>169</v>
      </c>
      <c r="B168">
        <v>166</v>
      </c>
      <c r="C168" s="1">
        <v>45565</v>
      </c>
      <c r="D168">
        <v>1389</v>
      </c>
      <c r="G168" t="s">
        <v>422</v>
      </c>
      <c r="H168">
        <v>0</v>
      </c>
      <c r="I168" s="1">
        <v>45535</v>
      </c>
      <c r="J168">
        <v>3441425</v>
      </c>
    </row>
    <row r="169" spans="1:10">
      <c r="A169" t="s">
        <v>169</v>
      </c>
      <c r="B169">
        <v>166</v>
      </c>
      <c r="C169" s="1">
        <v>45596</v>
      </c>
      <c r="D169">
        <v>1389.33</v>
      </c>
      <c r="G169" t="s">
        <v>422</v>
      </c>
      <c r="H169">
        <v>0</v>
      </c>
      <c r="I169" s="1">
        <v>45565</v>
      </c>
      <c r="J169">
        <v>3291920</v>
      </c>
    </row>
    <row r="170" spans="1:10">
      <c r="A170" t="s">
        <v>169</v>
      </c>
      <c r="B170">
        <v>166</v>
      </c>
      <c r="C170" s="1">
        <v>45626</v>
      </c>
      <c r="D170">
        <v>1459.33</v>
      </c>
      <c r="G170" t="s">
        <v>422</v>
      </c>
      <c r="H170">
        <v>0</v>
      </c>
      <c r="I170" s="1">
        <v>45596</v>
      </c>
      <c r="J170">
        <v>3142414</v>
      </c>
    </row>
    <row r="171" spans="1:10">
      <c r="A171" t="s">
        <v>169</v>
      </c>
      <c r="B171">
        <v>166</v>
      </c>
      <c r="C171" s="1">
        <v>45657</v>
      </c>
      <c r="D171">
        <v>1529.5</v>
      </c>
      <c r="G171" t="s">
        <v>422</v>
      </c>
      <c r="H171">
        <v>0</v>
      </c>
      <c r="I171" s="1">
        <v>45626</v>
      </c>
      <c r="J171">
        <v>2986355</v>
      </c>
    </row>
    <row r="172" spans="1:10">
      <c r="A172" t="s">
        <v>169</v>
      </c>
      <c r="B172">
        <v>166</v>
      </c>
      <c r="C172" s="1">
        <v>45688</v>
      </c>
      <c r="D172">
        <v>1608.28</v>
      </c>
      <c r="G172" t="s">
        <v>422</v>
      </c>
      <c r="H172">
        <v>0</v>
      </c>
      <c r="I172" s="1">
        <v>45657</v>
      </c>
      <c r="J172">
        <v>2823416</v>
      </c>
    </row>
    <row r="173" spans="1:10">
      <c r="A173" t="s">
        <v>169</v>
      </c>
      <c r="B173">
        <v>166</v>
      </c>
      <c r="C173" s="1">
        <v>45716</v>
      </c>
      <c r="D173">
        <v>1691</v>
      </c>
      <c r="G173" t="s">
        <v>422</v>
      </c>
      <c r="H173">
        <v>0</v>
      </c>
      <c r="I173" s="1">
        <v>45688</v>
      </c>
      <c r="J173">
        <v>2653251.75</v>
      </c>
    </row>
    <row r="174" spans="1:10">
      <c r="A174" t="s">
        <v>169</v>
      </c>
      <c r="B174">
        <v>166</v>
      </c>
      <c r="C174" s="1">
        <v>45747</v>
      </c>
      <c r="D174">
        <v>1773</v>
      </c>
      <c r="G174" t="s">
        <v>422</v>
      </c>
      <c r="H174">
        <v>0</v>
      </c>
      <c r="I174" s="1">
        <v>45716</v>
      </c>
      <c r="J174">
        <v>2475501.75</v>
      </c>
    </row>
    <row r="175" spans="1:10">
      <c r="A175" t="s">
        <v>169</v>
      </c>
      <c r="B175">
        <v>166</v>
      </c>
      <c r="C175" s="1">
        <v>45777</v>
      </c>
      <c r="D175">
        <v>1862</v>
      </c>
      <c r="G175" t="s">
        <v>422</v>
      </c>
      <c r="H175">
        <v>0</v>
      </c>
      <c r="I175" s="1">
        <v>45747</v>
      </c>
      <c r="J175">
        <v>2289785.75</v>
      </c>
    </row>
    <row r="176" spans="1:10">
      <c r="A176" t="s">
        <v>169</v>
      </c>
      <c r="B176">
        <v>166</v>
      </c>
      <c r="C176" s="1">
        <v>45808</v>
      </c>
      <c r="D176">
        <v>1955</v>
      </c>
      <c r="G176" t="s">
        <v>422</v>
      </c>
      <c r="H176">
        <v>0</v>
      </c>
      <c r="I176" s="1">
        <v>45777</v>
      </c>
      <c r="J176">
        <v>2095706.75</v>
      </c>
    </row>
    <row r="177" spans="1:10">
      <c r="A177" t="s">
        <v>169</v>
      </c>
      <c r="B177">
        <v>166</v>
      </c>
      <c r="C177" s="1">
        <v>45838</v>
      </c>
      <c r="D177">
        <v>2052.62</v>
      </c>
      <c r="G177" t="s">
        <v>422</v>
      </c>
      <c r="H177">
        <v>0</v>
      </c>
      <c r="I177" s="1">
        <v>45808</v>
      </c>
      <c r="J177">
        <v>1892843.75</v>
      </c>
    </row>
    <row r="178" spans="1:10">
      <c r="A178" t="s">
        <v>169</v>
      </c>
      <c r="B178">
        <v>166</v>
      </c>
      <c r="C178" s="1">
        <v>45869</v>
      </c>
      <c r="D178">
        <v>2155.25</v>
      </c>
      <c r="G178" t="s">
        <v>422</v>
      </c>
      <c r="H178">
        <v>0</v>
      </c>
      <c r="I178" s="1">
        <v>45838</v>
      </c>
      <c r="J178">
        <v>1689162.2</v>
      </c>
    </row>
    <row r="179" spans="1:10">
      <c r="A179" t="s">
        <v>169</v>
      </c>
      <c r="B179">
        <v>166</v>
      </c>
      <c r="C179" s="1">
        <v>45900</v>
      </c>
      <c r="D179">
        <v>2263.0100000000002</v>
      </c>
      <c r="G179" t="s">
        <v>422</v>
      </c>
      <c r="H179">
        <v>0</v>
      </c>
      <c r="I179" s="1">
        <v>45869</v>
      </c>
      <c r="J179">
        <v>1468398.81</v>
      </c>
    </row>
    <row r="180" spans="1:10">
      <c r="A180" t="s">
        <v>169</v>
      </c>
      <c r="B180">
        <v>166</v>
      </c>
      <c r="C180" s="1">
        <v>45930</v>
      </c>
      <c r="D180">
        <v>2376.16</v>
      </c>
      <c r="G180" t="s">
        <v>422</v>
      </c>
      <c r="H180">
        <v>0</v>
      </c>
      <c r="I180" s="1">
        <v>45900</v>
      </c>
      <c r="J180">
        <v>1236469.48</v>
      </c>
    </row>
    <row r="181" spans="1:10">
      <c r="A181" t="s">
        <v>170</v>
      </c>
      <c r="B181">
        <v>167</v>
      </c>
      <c r="C181" s="1">
        <v>45291</v>
      </c>
      <c r="D181">
        <v>26158.5</v>
      </c>
      <c r="G181" t="s">
        <v>422</v>
      </c>
      <c r="H181">
        <v>0</v>
      </c>
      <c r="I181" s="1">
        <v>45930</v>
      </c>
      <c r="J181">
        <v>993865.93</v>
      </c>
    </row>
    <row r="182" spans="1:10">
      <c r="A182" t="s">
        <v>170</v>
      </c>
      <c r="B182">
        <v>167</v>
      </c>
      <c r="C182" s="1">
        <v>45322</v>
      </c>
      <c r="D182">
        <v>15999</v>
      </c>
      <c r="G182" t="s">
        <v>209</v>
      </c>
      <c r="H182">
        <v>152</v>
      </c>
      <c r="I182" s="1">
        <v>45291</v>
      </c>
      <c r="J182">
        <v>10000</v>
      </c>
    </row>
    <row r="183" spans="1:10">
      <c r="A183" t="s">
        <v>170</v>
      </c>
      <c r="B183">
        <v>167</v>
      </c>
      <c r="C183" s="1">
        <v>45351</v>
      </c>
      <c r="D183">
        <v>27467</v>
      </c>
      <c r="G183" t="s">
        <v>209</v>
      </c>
      <c r="H183">
        <v>152</v>
      </c>
      <c r="I183" s="1">
        <v>45322</v>
      </c>
      <c r="J183">
        <v>15000</v>
      </c>
    </row>
    <row r="184" spans="1:10">
      <c r="A184" t="s">
        <v>170</v>
      </c>
      <c r="B184">
        <v>167</v>
      </c>
      <c r="C184" s="1">
        <v>45382</v>
      </c>
      <c r="D184">
        <v>16799</v>
      </c>
      <c r="G184" t="s">
        <v>209</v>
      </c>
      <c r="H184">
        <v>152</v>
      </c>
      <c r="I184" s="1">
        <v>45351</v>
      </c>
      <c r="J184">
        <v>15000</v>
      </c>
    </row>
    <row r="185" spans="1:10">
      <c r="A185" t="s">
        <v>170</v>
      </c>
      <c r="B185">
        <v>167</v>
      </c>
      <c r="C185" s="1">
        <v>45412</v>
      </c>
      <c r="D185">
        <v>28840</v>
      </c>
      <c r="G185" t="s">
        <v>209</v>
      </c>
      <c r="H185">
        <v>152</v>
      </c>
      <c r="I185" s="1">
        <v>45382</v>
      </c>
      <c r="J185">
        <v>15000</v>
      </c>
    </row>
    <row r="186" spans="1:10">
      <c r="A186" t="s">
        <v>170</v>
      </c>
      <c r="B186">
        <v>167</v>
      </c>
      <c r="C186" s="1">
        <v>45443</v>
      </c>
      <c r="D186">
        <v>17639</v>
      </c>
      <c r="G186" t="s">
        <v>209</v>
      </c>
      <c r="H186">
        <v>152</v>
      </c>
      <c r="I186" s="1">
        <v>45412</v>
      </c>
      <c r="J186">
        <v>15000</v>
      </c>
    </row>
    <row r="187" spans="1:10">
      <c r="A187" t="s">
        <v>170</v>
      </c>
      <c r="B187">
        <v>167</v>
      </c>
      <c r="C187" s="1">
        <v>45473</v>
      </c>
      <c r="D187">
        <v>30282</v>
      </c>
      <c r="G187" t="s">
        <v>209</v>
      </c>
      <c r="H187">
        <v>152</v>
      </c>
      <c r="I187" s="1">
        <v>45443</v>
      </c>
      <c r="J187">
        <v>15000</v>
      </c>
    </row>
    <row r="188" spans="1:10">
      <c r="A188" t="s">
        <v>170</v>
      </c>
      <c r="B188">
        <v>167</v>
      </c>
      <c r="C188" s="1">
        <v>45504</v>
      </c>
      <c r="D188">
        <v>31796</v>
      </c>
      <c r="G188" t="s">
        <v>209</v>
      </c>
      <c r="H188">
        <v>152</v>
      </c>
      <c r="I188" s="1">
        <v>45473</v>
      </c>
      <c r="J188">
        <v>15000</v>
      </c>
    </row>
    <row r="189" spans="1:10">
      <c r="A189" t="s">
        <v>170</v>
      </c>
      <c r="B189">
        <v>167</v>
      </c>
      <c r="C189" s="1">
        <v>45535</v>
      </c>
      <c r="D189">
        <v>31796</v>
      </c>
      <c r="G189" t="s">
        <v>209</v>
      </c>
      <c r="H189">
        <v>152</v>
      </c>
      <c r="I189" s="1">
        <v>45504</v>
      </c>
      <c r="J189">
        <v>15000</v>
      </c>
    </row>
    <row r="190" spans="1:10">
      <c r="A190" t="s">
        <v>170</v>
      </c>
      <c r="B190">
        <v>167</v>
      </c>
      <c r="C190" s="1">
        <v>45565</v>
      </c>
      <c r="D190">
        <v>33386</v>
      </c>
      <c r="G190" t="s">
        <v>209</v>
      </c>
      <c r="H190">
        <v>152</v>
      </c>
      <c r="I190" s="1">
        <v>45535</v>
      </c>
      <c r="J190">
        <v>15000</v>
      </c>
    </row>
    <row r="191" spans="1:10">
      <c r="A191" t="s">
        <v>170</v>
      </c>
      <c r="B191">
        <v>167</v>
      </c>
      <c r="C191" s="1">
        <v>45596</v>
      </c>
      <c r="D191">
        <v>33386</v>
      </c>
      <c r="G191" t="s">
        <v>209</v>
      </c>
      <c r="H191">
        <v>152</v>
      </c>
      <c r="I191" s="1">
        <v>45565</v>
      </c>
      <c r="J191">
        <v>15000</v>
      </c>
    </row>
    <row r="192" spans="1:10">
      <c r="A192" t="s">
        <v>170</v>
      </c>
      <c r="B192">
        <v>167</v>
      </c>
      <c r="C192" s="1">
        <v>45626</v>
      </c>
      <c r="D192">
        <v>35055</v>
      </c>
      <c r="G192" t="s">
        <v>209</v>
      </c>
      <c r="H192">
        <v>152</v>
      </c>
      <c r="I192" s="1">
        <v>45596</v>
      </c>
      <c r="J192">
        <v>15000</v>
      </c>
    </row>
    <row r="193" spans="1:10">
      <c r="A193" t="s">
        <v>170</v>
      </c>
      <c r="B193">
        <v>167</v>
      </c>
      <c r="C193" s="1">
        <v>45657</v>
      </c>
      <c r="D193">
        <v>36808</v>
      </c>
      <c r="G193" t="s">
        <v>209</v>
      </c>
      <c r="H193">
        <v>152</v>
      </c>
      <c r="I193" s="1">
        <v>45626</v>
      </c>
      <c r="J193">
        <v>15000</v>
      </c>
    </row>
    <row r="194" spans="1:10">
      <c r="A194" t="s">
        <v>170</v>
      </c>
      <c r="B194">
        <v>167</v>
      </c>
      <c r="C194" s="1">
        <v>45688</v>
      </c>
      <c r="D194">
        <v>38648.5</v>
      </c>
      <c r="G194" t="s">
        <v>209</v>
      </c>
      <c r="H194">
        <v>152</v>
      </c>
      <c r="I194" s="1">
        <v>45657</v>
      </c>
      <c r="J194">
        <v>15000</v>
      </c>
    </row>
    <row r="195" spans="1:10">
      <c r="A195" t="s">
        <v>170</v>
      </c>
      <c r="B195">
        <v>167</v>
      </c>
      <c r="C195" s="1">
        <v>45716</v>
      </c>
      <c r="D195">
        <v>40581</v>
      </c>
      <c r="G195" t="s">
        <v>209</v>
      </c>
      <c r="H195">
        <v>152</v>
      </c>
      <c r="I195" s="1">
        <v>45688</v>
      </c>
      <c r="J195">
        <v>15000</v>
      </c>
    </row>
    <row r="196" spans="1:10">
      <c r="A196" t="s">
        <v>170</v>
      </c>
      <c r="B196">
        <v>167</v>
      </c>
      <c r="C196" s="1">
        <v>45747</v>
      </c>
      <c r="D196">
        <v>42610</v>
      </c>
      <c r="G196" t="s">
        <v>209</v>
      </c>
      <c r="H196">
        <v>152</v>
      </c>
      <c r="I196" s="1">
        <v>45716</v>
      </c>
      <c r="J196">
        <v>15000</v>
      </c>
    </row>
    <row r="197" spans="1:10">
      <c r="A197" t="s">
        <v>170</v>
      </c>
      <c r="B197">
        <v>167</v>
      </c>
      <c r="C197" s="1">
        <v>45777</v>
      </c>
      <c r="D197">
        <v>44740</v>
      </c>
      <c r="G197" t="s">
        <v>209</v>
      </c>
      <c r="H197">
        <v>152</v>
      </c>
      <c r="I197" s="1">
        <v>45747</v>
      </c>
      <c r="J197">
        <v>15000</v>
      </c>
    </row>
    <row r="198" spans="1:10">
      <c r="A198" t="s">
        <v>170</v>
      </c>
      <c r="B198">
        <v>167</v>
      </c>
      <c r="C198" s="1">
        <v>45808</v>
      </c>
      <c r="D198">
        <v>46977</v>
      </c>
      <c r="G198" t="s">
        <v>209</v>
      </c>
      <c r="H198">
        <v>152</v>
      </c>
      <c r="I198" s="1">
        <v>45777</v>
      </c>
      <c r="J198">
        <v>15000</v>
      </c>
    </row>
    <row r="199" spans="1:10">
      <c r="A199" t="s">
        <v>170</v>
      </c>
      <c r="B199">
        <v>167</v>
      </c>
      <c r="C199" s="1">
        <v>45838</v>
      </c>
      <c r="D199">
        <v>49326.37</v>
      </c>
      <c r="G199" t="s">
        <v>209</v>
      </c>
      <c r="H199">
        <v>152</v>
      </c>
      <c r="I199" s="1">
        <v>45808</v>
      </c>
      <c r="J199">
        <v>15000</v>
      </c>
    </row>
    <row r="200" spans="1:10">
      <c r="A200" t="s">
        <v>170</v>
      </c>
      <c r="B200">
        <v>167</v>
      </c>
      <c r="C200" s="1">
        <v>45869</v>
      </c>
      <c r="D200">
        <v>51792.69</v>
      </c>
      <c r="G200" t="s">
        <v>209</v>
      </c>
      <c r="H200">
        <v>152</v>
      </c>
      <c r="I200" s="1">
        <v>45838</v>
      </c>
      <c r="J200">
        <v>15000</v>
      </c>
    </row>
    <row r="201" spans="1:10">
      <c r="A201" t="s">
        <v>170</v>
      </c>
      <c r="B201">
        <v>167</v>
      </c>
      <c r="C201" s="1">
        <v>45900</v>
      </c>
      <c r="D201">
        <v>54382.33</v>
      </c>
      <c r="G201" t="s">
        <v>209</v>
      </c>
      <c r="H201">
        <v>152</v>
      </c>
      <c r="I201" s="1">
        <v>45869</v>
      </c>
      <c r="J201">
        <v>15000</v>
      </c>
    </row>
    <row r="202" spans="1:10">
      <c r="A202" t="s">
        <v>170</v>
      </c>
      <c r="B202">
        <v>167</v>
      </c>
      <c r="C202" s="1">
        <v>45930</v>
      </c>
      <c r="D202">
        <v>57101.440000000002</v>
      </c>
      <c r="G202" t="s">
        <v>209</v>
      </c>
      <c r="H202">
        <v>152</v>
      </c>
      <c r="I202" s="1">
        <v>45900</v>
      </c>
      <c r="J202">
        <v>15000</v>
      </c>
    </row>
    <row r="203" spans="1:10">
      <c r="A203" t="s">
        <v>171</v>
      </c>
      <c r="B203">
        <v>168</v>
      </c>
      <c r="C203" s="1">
        <v>45291</v>
      </c>
      <c r="D203">
        <v>25029</v>
      </c>
      <c r="G203" t="s">
        <v>209</v>
      </c>
      <c r="H203">
        <v>152</v>
      </c>
      <c r="I203" s="1">
        <v>45930</v>
      </c>
      <c r="J203">
        <v>15000</v>
      </c>
    </row>
    <row r="204" spans="1:10">
      <c r="A204" t="s">
        <v>171</v>
      </c>
      <c r="B204">
        <v>168</v>
      </c>
      <c r="C204" s="1">
        <v>45322</v>
      </c>
      <c r="D204">
        <v>21246</v>
      </c>
      <c r="G204" t="s">
        <v>210</v>
      </c>
      <c r="H204">
        <v>153</v>
      </c>
      <c r="I204" s="1">
        <v>45291</v>
      </c>
      <c r="J204">
        <v>35000</v>
      </c>
    </row>
    <row r="205" spans="1:10">
      <c r="A205" t="s">
        <v>171</v>
      </c>
      <c r="B205">
        <v>168</v>
      </c>
      <c r="C205" s="1">
        <v>45351</v>
      </c>
      <c r="D205">
        <v>26280</v>
      </c>
      <c r="G205" t="s">
        <v>210</v>
      </c>
      <c r="H205">
        <v>153</v>
      </c>
      <c r="I205" s="1">
        <v>45322</v>
      </c>
      <c r="J205">
        <v>45000</v>
      </c>
    </row>
    <row r="206" spans="1:10">
      <c r="A206" t="s">
        <v>171</v>
      </c>
      <c r="B206">
        <v>168</v>
      </c>
      <c r="C206" s="1">
        <v>45382</v>
      </c>
      <c r="D206">
        <v>22308</v>
      </c>
      <c r="G206" t="s">
        <v>210</v>
      </c>
      <c r="H206">
        <v>153</v>
      </c>
      <c r="I206" s="1">
        <v>45351</v>
      </c>
      <c r="J206">
        <v>35000</v>
      </c>
    </row>
    <row r="207" spans="1:10">
      <c r="A207" t="s">
        <v>171</v>
      </c>
      <c r="B207">
        <v>168</v>
      </c>
      <c r="C207" s="1">
        <v>45412</v>
      </c>
      <c r="D207">
        <v>27594</v>
      </c>
      <c r="G207" t="s">
        <v>210</v>
      </c>
      <c r="H207">
        <v>153</v>
      </c>
      <c r="I207" s="1">
        <v>45382</v>
      </c>
      <c r="J207">
        <v>35000</v>
      </c>
    </row>
    <row r="208" spans="1:10">
      <c r="A208" t="s">
        <v>171</v>
      </c>
      <c r="B208">
        <v>168</v>
      </c>
      <c r="C208" s="1">
        <v>45443</v>
      </c>
      <c r="D208">
        <v>23424</v>
      </c>
      <c r="G208" t="s">
        <v>210</v>
      </c>
      <c r="H208">
        <v>153</v>
      </c>
      <c r="I208" s="1">
        <v>45412</v>
      </c>
      <c r="J208">
        <v>35000</v>
      </c>
    </row>
    <row r="209" spans="1:10">
      <c r="A209" t="s">
        <v>171</v>
      </c>
      <c r="B209">
        <v>168</v>
      </c>
      <c r="C209" s="1">
        <v>45473</v>
      </c>
      <c r="D209">
        <v>28974</v>
      </c>
      <c r="G209" t="s">
        <v>210</v>
      </c>
      <c r="H209">
        <v>153</v>
      </c>
      <c r="I209" s="1">
        <v>45443</v>
      </c>
      <c r="J209">
        <v>35000</v>
      </c>
    </row>
    <row r="210" spans="1:10">
      <c r="A210" t="s">
        <v>171</v>
      </c>
      <c r="B210">
        <v>168</v>
      </c>
      <c r="C210" s="1">
        <v>45504</v>
      </c>
      <c r="D210">
        <v>30423</v>
      </c>
      <c r="G210" t="s">
        <v>210</v>
      </c>
      <c r="H210">
        <v>153</v>
      </c>
      <c r="I210" s="1">
        <v>45473</v>
      </c>
      <c r="J210">
        <v>35000</v>
      </c>
    </row>
    <row r="211" spans="1:10">
      <c r="A211" t="s">
        <v>171</v>
      </c>
      <c r="B211">
        <v>168</v>
      </c>
      <c r="C211" s="1">
        <v>45535</v>
      </c>
      <c r="D211">
        <v>30423</v>
      </c>
      <c r="G211" t="s">
        <v>210</v>
      </c>
      <c r="H211">
        <v>153</v>
      </c>
      <c r="I211" s="1">
        <v>45504</v>
      </c>
      <c r="J211">
        <v>35000</v>
      </c>
    </row>
    <row r="212" spans="1:10">
      <c r="A212" t="s">
        <v>171</v>
      </c>
      <c r="B212">
        <v>168</v>
      </c>
      <c r="C212" s="1">
        <v>45565</v>
      </c>
      <c r="D212">
        <v>31944</v>
      </c>
      <c r="G212" t="s">
        <v>210</v>
      </c>
      <c r="H212">
        <v>153</v>
      </c>
      <c r="I212" s="1">
        <v>45535</v>
      </c>
      <c r="J212">
        <v>35000</v>
      </c>
    </row>
    <row r="213" spans="1:10">
      <c r="A213" t="s">
        <v>171</v>
      </c>
      <c r="B213">
        <v>168</v>
      </c>
      <c r="C213" s="1">
        <v>45596</v>
      </c>
      <c r="D213">
        <v>31944</v>
      </c>
      <c r="G213" t="s">
        <v>210</v>
      </c>
      <c r="H213">
        <v>153</v>
      </c>
      <c r="I213" s="1">
        <v>45565</v>
      </c>
      <c r="J213">
        <v>35000</v>
      </c>
    </row>
    <row r="214" spans="1:10">
      <c r="A214" t="s">
        <v>171</v>
      </c>
      <c r="B214">
        <v>168</v>
      </c>
      <c r="C214" s="1">
        <v>45626</v>
      </c>
      <c r="D214">
        <v>33541</v>
      </c>
      <c r="G214" t="s">
        <v>210</v>
      </c>
      <c r="H214">
        <v>153</v>
      </c>
      <c r="I214" s="1">
        <v>45596</v>
      </c>
      <c r="J214">
        <v>35000</v>
      </c>
    </row>
    <row r="215" spans="1:10">
      <c r="A215" t="s">
        <v>171</v>
      </c>
      <c r="B215">
        <v>168</v>
      </c>
      <c r="C215" s="1">
        <v>45657</v>
      </c>
      <c r="D215">
        <v>35218</v>
      </c>
      <c r="G215" t="s">
        <v>210</v>
      </c>
      <c r="H215">
        <v>153</v>
      </c>
      <c r="I215" s="1">
        <v>45626</v>
      </c>
      <c r="J215">
        <v>35000</v>
      </c>
    </row>
    <row r="216" spans="1:10">
      <c r="A216" t="s">
        <v>171</v>
      </c>
      <c r="B216">
        <v>168</v>
      </c>
      <c r="C216" s="1">
        <v>45688</v>
      </c>
      <c r="D216">
        <v>36979.269999999997</v>
      </c>
      <c r="G216" t="s">
        <v>210</v>
      </c>
      <c r="H216">
        <v>153</v>
      </c>
      <c r="I216" s="1">
        <v>45657</v>
      </c>
      <c r="J216">
        <v>35000</v>
      </c>
    </row>
    <row r="217" spans="1:10">
      <c r="A217" t="s">
        <v>171</v>
      </c>
      <c r="B217">
        <v>168</v>
      </c>
      <c r="C217" s="1">
        <v>45716</v>
      </c>
      <c r="D217">
        <v>38828</v>
      </c>
      <c r="G217" t="s">
        <v>210</v>
      </c>
      <c r="H217">
        <v>153</v>
      </c>
      <c r="I217" s="1">
        <v>45688</v>
      </c>
      <c r="J217">
        <v>35000</v>
      </c>
    </row>
    <row r="218" spans="1:10">
      <c r="A218" t="s">
        <v>171</v>
      </c>
      <c r="B218">
        <v>168</v>
      </c>
      <c r="C218" s="1">
        <v>45747</v>
      </c>
      <c r="D218">
        <v>40770</v>
      </c>
      <c r="G218" t="s">
        <v>210</v>
      </c>
      <c r="H218">
        <v>153</v>
      </c>
      <c r="I218" s="1">
        <v>45716</v>
      </c>
      <c r="J218">
        <v>35000</v>
      </c>
    </row>
    <row r="219" spans="1:10">
      <c r="A219" t="s">
        <v>171</v>
      </c>
      <c r="B219">
        <v>168</v>
      </c>
      <c r="C219" s="1">
        <v>45777</v>
      </c>
      <c r="D219">
        <v>42808</v>
      </c>
      <c r="G219" t="s">
        <v>210</v>
      </c>
      <c r="H219">
        <v>153</v>
      </c>
      <c r="I219" s="1">
        <v>45747</v>
      </c>
      <c r="J219">
        <v>35000</v>
      </c>
    </row>
    <row r="220" spans="1:10">
      <c r="A220" t="s">
        <v>171</v>
      </c>
      <c r="B220">
        <v>168</v>
      </c>
      <c r="C220" s="1">
        <v>45808</v>
      </c>
      <c r="D220">
        <v>44949</v>
      </c>
      <c r="G220" t="s">
        <v>210</v>
      </c>
      <c r="H220">
        <v>153</v>
      </c>
      <c r="I220" s="1">
        <v>45777</v>
      </c>
      <c r="J220">
        <v>35000</v>
      </c>
    </row>
    <row r="221" spans="1:10">
      <c r="A221" t="s">
        <v>171</v>
      </c>
      <c r="B221">
        <v>168</v>
      </c>
      <c r="C221" s="1">
        <v>45838</v>
      </c>
      <c r="D221">
        <v>47195.96</v>
      </c>
      <c r="G221" t="s">
        <v>210</v>
      </c>
      <c r="H221">
        <v>153</v>
      </c>
      <c r="I221" s="1">
        <v>45808</v>
      </c>
      <c r="J221">
        <v>35000</v>
      </c>
    </row>
    <row r="222" spans="1:10">
      <c r="A222" t="s">
        <v>171</v>
      </c>
      <c r="B222">
        <v>168</v>
      </c>
      <c r="C222" s="1">
        <v>45869</v>
      </c>
      <c r="D222">
        <v>49555.75</v>
      </c>
      <c r="G222" t="s">
        <v>210</v>
      </c>
      <c r="H222">
        <v>153</v>
      </c>
      <c r="I222" s="1">
        <v>45838</v>
      </c>
      <c r="J222">
        <v>35000</v>
      </c>
    </row>
    <row r="223" spans="1:10">
      <c r="A223" t="s">
        <v>171</v>
      </c>
      <c r="B223">
        <v>168</v>
      </c>
      <c r="C223" s="1">
        <v>45900</v>
      </c>
      <c r="D223">
        <v>52033.54</v>
      </c>
      <c r="G223" t="s">
        <v>210</v>
      </c>
      <c r="H223">
        <v>153</v>
      </c>
      <c r="I223" s="1">
        <v>45869</v>
      </c>
      <c r="J223">
        <v>35000</v>
      </c>
    </row>
    <row r="224" spans="1:10">
      <c r="A224" t="s">
        <v>171</v>
      </c>
      <c r="B224">
        <v>168</v>
      </c>
      <c r="C224" s="1">
        <v>45930</v>
      </c>
      <c r="D224">
        <v>54635.22</v>
      </c>
      <c r="G224" t="s">
        <v>210</v>
      </c>
      <c r="H224">
        <v>153</v>
      </c>
      <c r="I224" s="1">
        <v>45900</v>
      </c>
      <c r="J224">
        <v>35000</v>
      </c>
    </row>
    <row r="225" spans="1:10">
      <c r="A225" t="s">
        <v>172</v>
      </c>
      <c r="B225">
        <v>201</v>
      </c>
      <c r="C225" s="1">
        <v>45291</v>
      </c>
      <c r="D225">
        <v>972</v>
      </c>
      <c r="G225" t="s">
        <v>210</v>
      </c>
      <c r="H225">
        <v>153</v>
      </c>
      <c r="I225" s="1">
        <v>45930</v>
      </c>
      <c r="J225">
        <v>35000</v>
      </c>
    </row>
    <row r="226" spans="1:10">
      <c r="A226" t="s">
        <v>172</v>
      </c>
      <c r="B226">
        <v>201</v>
      </c>
      <c r="C226" s="1">
        <v>45322</v>
      </c>
      <c r="D226">
        <v>533</v>
      </c>
      <c r="G226" t="s">
        <v>211</v>
      </c>
      <c r="H226">
        <v>154</v>
      </c>
      <c r="I226" s="1">
        <v>45291</v>
      </c>
      <c r="J226">
        <v>8000</v>
      </c>
    </row>
    <row r="227" spans="1:10">
      <c r="A227" t="s">
        <v>172</v>
      </c>
      <c r="B227">
        <v>201</v>
      </c>
      <c r="C227" s="1">
        <v>45351</v>
      </c>
      <c r="D227">
        <v>1020</v>
      </c>
      <c r="G227" t="s">
        <v>211</v>
      </c>
      <c r="H227">
        <v>154</v>
      </c>
      <c r="I227" s="1">
        <v>45322</v>
      </c>
      <c r="J227">
        <v>10000</v>
      </c>
    </row>
    <row r="228" spans="1:10">
      <c r="A228" t="s">
        <v>172</v>
      </c>
      <c r="B228">
        <v>201</v>
      </c>
      <c r="C228" s="1">
        <v>45382</v>
      </c>
      <c r="D228">
        <v>560</v>
      </c>
      <c r="G228" t="s">
        <v>211</v>
      </c>
      <c r="H228">
        <v>154</v>
      </c>
      <c r="I228" s="1">
        <v>45351</v>
      </c>
      <c r="J228">
        <v>8000</v>
      </c>
    </row>
    <row r="229" spans="1:10">
      <c r="A229" t="s">
        <v>172</v>
      </c>
      <c r="B229">
        <v>201</v>
      </c>
      <c r="C229" s="1">
        <v>45412</v>
      </c>
      <c r="D229">
        <v>1071</v>
      </c>
      <c r="G229" t="s">
        <v>211</v>
      </c>
      <c r="H229">
        <v>154</v>
      </c>
      <c r="I229" s="1">
        <v>45382</v>
      </c>
      <c r="J229">
        <v>8000</v>
      </c>
    </row>
    <row r="230" spans="1:10">
      <c r="A230" t="s">
        <v>172</v>
      </c>
      <c r="B230">
        <v>201</v>
      </c>
      <c r="C230" s="1">
        <v>45443</v>
      </c>
      <c r="D230">
        <v>588</v>
      </c>
      <c r="G230" t="s">
        <v>211</v>
      </c>
      <c r="H230">
        <v>154</v>
      </c>
      <c r="I230" s="1">
        <v>45412</v>
      </c>
      <c r="J230">
        <v>8000</v>
      </c>
    </row>
    <row r="231" spans="1:10">
      <c r="A231" t="s">
        <v>172</v>
      </c>
      <c r="B231">
        <v>201</v>
      </c>
      <c r="C231" s="1">
        <v>45473</v>
      </c>
      <c r="D231">
        <v>1125</v>
      </c>
      <c r="G231" t="s">
        <v>211</v>
      </c>
      <c r="H231">
        <v>154</v>
      </c>
      <c r="I231" s="1">
        <v>45443</v>
      </c>
      <c r="J231">
        <v>8000</v>
      </c>
    </row>
    <row r="232" spans="1:10">
      <c r="A232" t="s">
        <v>172</v>
      </c>
      <c r="B232">
        <v>201</v>
      </c>
      <c r="C232" s="1">
        <v>45504</v>
      </c>
      <c r="D232">
        <v>1181</v>
      </c>
      <c r="G232" t="s">
        <v>211</v>
      </c>
      <c r="H232">
        <v>154</v>
      </c>
      <c r="I232" s="1">
        <v>45473</v>
      </c>
      <c r="J232">
        <v>8000</v>
      </c>
    </row>
    <row r="233" spans="1:10">
      <c r="A233" t="s">
        <v>172</v>
      </c>
      <c r="B233">
        <v>201</v>
      </c>
      <c r="C233" s="1">
        <v>45535</v>
      </c>
      <c r="D233">
        <v>1181</v>
      </c>
      <c r="G233" t="s">
        <v>211</v>
      </c>
      <c r="H233">
        <v>154</v>
      </c>
      <c r="I233" s="1">
        <v>45504</v>
      </c>
      <c r="J233">
        <v>8000</v>
      </c>
    </row>
    <row r="234" spans="1:10">
      <c r="A234" t="s">
        <v>172</v>
      </c>
      <c r="B234">
        <v>201</v>
      </c>
      <c r="C234" s="1">
        <v>45565</v>
      </c>
      <c r="D234">
        <v>1240</v>
      </c>
      <c r="G234" t="s">
        <v>211</v>
      </c>
      <c r="H234">
        <v>154</v>
      </c>
      <c r="I234" s="1">
        <v>45535</v>
      </c>
      <c r="J234">
        <v>8000</v>
      </c>
    </row>
    <row r="235" spans="1:10">
      <c r="A235" t="s">
        <v>172</v>
      </c>
      <c r="B235">
        <v>201</v>
      </c>
      <c r="C235" s="1">
        <v>45596</v>
      </c>
      <c r="D235">
        <v>1240</v>
      </c>
      <c r="G235" t="s">
        <v>211</v>
      </c>
      <c r="H235">
        <v>154</v>
      </c>
      <c r="I235" s="1">
        <v>45565</v>
      </c>
      <c r="J235">
        <v>8000</v>
      </c>
    </row>
    <row r="236" spans="1:10">
      <c r="A236" t="s">
        <v>172</v>
      </c>
      <c r="B236">
        <v>201</v>
      </c>
      <c r="C236" s="1">
        <v>45626</v>
      </c>
      <c r="D236">
        <v>1302</v>
      </c>
      <c r="G236" t="s">
        <v>211</v>
      </c>
      <c r="H236">
        <v>154</v>
      </c>
      <c r="I236" s="1">
        <v>45596</v>
      </c>
      <c r="J236">
        <v>8000</v>
      </c>
    </row>
    <row r="237" spans="1:10">
      <c r="A237" t="s">
        <v>172</v>
      </c>
      <c r="B237">
        <v>201</v>
      </c>
      <c r="C237" s="1">
        <v>45657</v>
      </c>
      <c r="D237">
        <v>1367</v>
      </c>
      <c r="G237" t="s">
        <v>211</v>
      </c>
      <c r="H237">
        <v>154</v>
      </c>
      <c r="I237" s="1">
        <v>45626</v>
      </c>
      <c r="J237">
        <v>8000</v>
      </c>
    </row>
    <row r="238" spans="1:10">
      <c r="A238" t="s">
        <v>172</v>
      </c>
      <c r="B238">
        <v>201</v>
      </c>
      <c r="C238" s="1">
        <v>45688</v>
      </c>
      <c r="D238">
        <v>1435.7</v>
      </c>
      <c r="G238" t="s">
        <v>211</v>
      </c>
      <c r="H238">
        <v>154</v>
      </c>
      <c r="I238" s="1">
        <v>45657</v>
      </c>
      <c r="J238">
        <v>8000</v>
      </c>
    </row>
    <row r="239" spans="1:10">
      <c r="A239" t="s">
        <v>172</v>
      </c>
      <c r="B239">
        <v>201</v>
      </c>
      <c r="C239" s="1">
        <v>45716</v>
      </c>
      <c r="D239">
        <v>1507</v>
      </c>
      <c r="G239" t="s">
        <v>211</v>
      </c>
      <c r="H239">
        <v>154</v>
      </c>
      <c r="I239" s="1">
        <v>45688</v>
      </c>
      <c r="J239">
        <v>8000</v>
      </c>
    </row>
    <row r="240" spans="1:10">
      <c r="A240" t="s">
        <v>172</v>
      </c>
      <c r="B240">
        <v>201</v>
      </c>
      <c r="C240" s="1">
        <v>45747</v>
      </c>
      <c r="D240">
        <v>1583</v>
      </c>
      <c r="G240" t="s">
        <v>211</v>
      </c>
      <c r="H240">
        <v>154</v>
      </c>
      <c r="I240" s="1">
        <v>45716</v>
      </c>
      <c r="J240">
        <v>8000</v>
      </c>
    </row>
    <row r="241" spans="1:10">
      <c r="A241" t="s">
        <v>172</v>
      </c>
      <c r="B241">
        <v>201</v>
      </c>
      <c r="C241" s="1">
        <v>45777</v>
      </c>
      <c r="D241">
        <v>1662</v>
      </c>
      <c r="G241" t="s">
        <v>211</v>
      </c>
      <c r="H241">
        <v>154</v>
      </c>
      <c r="I241" s="1">
        <v>45747</v>
      </c>
      <c r="J241">
        <v>8000</v>
      </c>
    </row>
    <row r="242" spans="1:10">
      <c r="A242" t="s">
        <v>172</v>
      </c>
      <c r="B242">
        <v>201</v>
      </c>
      <c r="C242" s="1">
        <v>45808</v>
      </c>
      <c r="D242">
        <v>1745</v>
      </c>
      <c r="G242" t="s">
        <v>211</v>
      </c>
      <c r="H242">
        <v>154</v>
      </c>
      <c r="I242" s="1">
        <v>45777</v>
      </c>
      <c r="J242">
        <v>8000</v>
      </c>
    </row>
    <row r="243" spans="1:10">
      <c r="A243" t="s">
        <v>172</v>
      </c>
      <c r="B243">
        <v>201</v>
      </c>
      <c r="C243" s="1">
        <v>45838</v>
      </c>
      <c r="D243">
        <v>1832.35</v>
      </c>
      <c r="G243" t="s">
        <v>211</v>
      </c>
      <c r="H243">
        <v>154</v>
      </c>
      <c r="I243" s="1">
        <v>45808</v>
      </c>
      <c r="J243">
        <v>8000</v>
      </c>
    </row>
    <row r="244" spans="1:10">
      <c r="A244" t="s">
        <v>172</v>
      </c>
      <c r="B244">
        <v>201</v>
      </c>
      <c r="C244" s="1">
        <v>45869</v>
      </c>
      <c r="D244">
        <v>1923.97</v>
      </c>
      <c r="G244" t="s">
        <v>211</v>
      </c>
      <c r="H244">
        <v>154</v>
      </c>
      <c r="I244" s="1">
        <v>45838</v>
      </c>
      <c r="J244">
        <v>8000</v>
      </c>
    </row>
    <row r="245" spans="1:10">
      <c r="A245" t="s">
        <v>172</v>
      </c>
      <c r="B245">
        <v>201</v>
      </c>
      <c r="C245" s="1">
        <v>45900</v>
      </c>
      <c r="D245">
        <v>2020.17</v>
      </c>
      <c r="G245" t="s">
        <v>211</v>
      </c>
      <c r="H245">
        <v>154</v>
      </c>
      <c r="I245" s="1">
        <v>45869</v>
      </c>
      <c r="J245">
        <v>8000</v>
      </c>
    </row>
    <row r="246" spans="1:10">
      <c r="A246" t="s">
        <v>172</v>
      </c>
      <c r="B246">
        <v>201</v>
      </c>
      <c r="C246" s="1">
        <v>45930</v>
      </c>
      <c r="D246">
        <v>2121.1799999999998</v>
      </c>
      <c r="G246" t="s">
        <v>211</v>
      </c>
      <c r="H246">
        <v>154</v>
      </c>
      <c r="I246" s="1">
        <v>45900</v>
      </c>
      <c r="J246">
        <v>8000</v>
      </c>
    </row>
    <row r="247" spans="1:10">
      <c r="A247" t="s">
        <v>173</v>
      </c>
      <c r="B247">
        <v>170</v>
      </c>
      <c r="C247" s="1">
        <v>45291</v>
      </c>
      <c r="D247">
        <v>2123.5</v>
      </c>
      <c r="G247" t="s">
        <v>211</v>
      </c>
      <c r="H247">
        <v>154</v>
      </c>
      <c r="I247" s="1">
        <v>45930</v>
      </c>
      <c r="J247">
        <v>8000</v>
      </c>
    </row>
    <row r="248" spans="1:10">
      <c r="A248" t="s">
        <v>173</v>
      </c>
      <c r="B248">
        <v>170</v>
      </c>
      <c r="C248" s="1">
        <v>45322</v>
      </c>
      <c r="D248">
        <v>1880</v>
      </c>
      <c r="G248" t="s">
        <v>212</v>
      </c>
      <c r="H248">
        <v>194</v>
      </c>
      <c r="I248" s="1">
        <v>45291</v>
      </c>
      <c r="J248">
        <v>-15202</v>
      </c>
    </row>
    <row r="249" spans="1:10">
      <c r="A249" t="s">
        <v>173</v>
      </c>
      <c r="B249">
        <v>170</v>
      </c>
      <c r="C249" s="1">
        <v>45351</v>
      </c>
      <c r="D249">
        <v>2230</v>
      </c>
      <c r="G249" t="s">
        <v>212</v>
      </c>
      <c r="H249">
        <v>194</v>
      </c>
      <c r="I249" s="1">
        <v>45322</v>
      </c>
      <c r="J249">
        <v>-18252.5</v>
      </c>
    </row>
    <row r="250" spans="1:10">
      <c r="A250" t="s">
        <v>173</v>
      </c>
      <c r="B250">
        <v>170</v>
      </c>
      <c r="C250" s="1">
        <v>45382</v>
      </c>
      <c r="D250">
        <v>1974</v>
      </c>
      <c r="G250" t="s">
        <v>212</v>
      </c>
      <c r="H250">
        <v>194</v>
      </c>
      <c r="I250" s="1">
        <v>45351</v>
      </c>
      <c r="J250">
        <v>-21303.5</v>
      </c>
    </row>
    <row r="251" spans="1:10">
      <c r="A251" t="s">
        <v>173</v>
      </c>
      <c r="B251">
        <v>170</v>
      </c>
      <c r="C251" s="1">
        <v>45412</v>
      </c>
      <c r="D251">
        <v>2341</v>
      </c>
      <c r="G251" t="s">
        <v>212</v>
      </c>
      <c r="H251">
        <v>194</v>
      </c>
      <c r="I251" s="1">
        <v>45382</v>
      </c>
      <c r="J251">
        <v>-24354</v>
      </c>
    </row>
    <row r="252" spans="1:10">
      <c r="A252" t="s">
        <v>173</v>
      </c>
      <c r="B252">
        <v>170</v>
      </c>
      <c r="C252" s="1">
        <v>45443</v>
      </c>
      <c r="D252">
        <v>2073</v>
      </c>
      <c r="G252" t="s">
        <v>212</v>
      </c>
      <c r="H252">
        <v>194</v>
      </c>
      <c r="I252" s="1">
        <v>45412</v>
      </c>
      <c r="J252">
        <v>-27404.5</v>
      </c>
    </row>
    <row r="253" spans="1:10">
      <c r="A253" t="s">
        <v>173</v>
      </c>
      <c r="B253">
        <v>170</v>
      </c>
      <c r="C253" s="1">
        <v>45473</v>
      </c>
      <c r="D253">
        <v>2458</v>
      </c>
      <c r="G253" t="s">
        <v>212</v>
      </c>
      <c r="H253">
        <v>194</v>
      </c>
      <c r="I253" s="1">
        <v>45443</v>
      </c>
      <c r="J253">
        <v>-30455</v>
      </c>
    </row>
    <row r="254" spans="1:10">
      <c r="A254" t="s">
        <v>173</v>
      </c>
      <c r="B254">
        <v>170</v>
      </c>
      <c r="C254" s="1">
        <v>45504</v>
      </c>
      <c r="D254">
        <v>2581</v>
      </c>
      <c r="G254" t="s">
        <v>212</v>
      </c>
      <c r="H254">
        <v>194</v>
      </c>
      <c r="I254" s="1">
        <v>45473</v>
      </c>
      <c r="J254">
        <v>-33506</v>
      </c>
    </row>
    <row r="255" spans="1:10">
      <c r="A255" t="s">
        <v>173</v>
      </c>
      <c r="B255">
        <v>170</v>
      </c>
      <c r="C255" s="1">
        <v>45535</v>
      </c>
      <c r="D255">
        <v>2581</v>
      </c>
      <c r="G255" t="s">
        <v>212</v>
      </c>
      <c r="H255">
        <v>194</v>
      </c>
      <c r="I255" s="1">
        <v>45504</v>
      </c>
      <c r="J255">
        <v>-36557</v>
      </c>
    </row>
    <row r="256" spans="1:10">
      <c r="A256" t="s">
        <v>173</v>
      </c>
      <c r="B256">
        <v>170</v>
      </c>
      <c r="C256" s="1">
        <v>45565</v>
      </c>
      <c r="D256">
        <v>2710</v>
      </c>
      <c r="G256" t="s">
        <v>212</v>
      </c>
      <c r="H256">
        <v>194</v>
      </c>
      <c r="I256" s="1">
        <v>45535</v>
      </c>
      <c r="J256">
        <v>-39608</v>
      </c>
    </row>
    <row r="257" spans="1:10">
      <c r="A257" t="s">
        <v>173</v>
      </c>
      <c r="B257">
        <v>170</v>
      </c>
      <c r="C257" s="1">
        <v>45596</v>
      </c>
      <c r="D257">
        <v>2710</v>
      </c>
      <c r="G257" t="s">
        <v>212</v>
      </c>
      <c r="H257">
        <v>194</v>
      </c>
      <c r="I257" s="1">
        <v>45565</v>
      </c>
      <c r="J257">
        <v>-42659</v>
      </c>
    </row>
    <row r="258" spans="1:10">
      <c r="A258" t="s">
        <v>173</v>
      </c>
      <c r="B258">
        <v>170</v>
      </c>
      <c r="C258" s="1">
        <v>45626</v>
      </c>
      <c r="D258">
        <v>2846</v>
      </c>
      <c r="G258" t="s">
        <v>212</v>
      </c>
      <c r="H258">
        <v>194</v>
      </c>
      <c r="I258" s="1">
        <v>45596</v>
      </c>
      <c r="J258">
        <v>-45710</v>
      </c>
    </row>
    <row r="259" spans="1:10">
      <c r="A259" t="s">
        <v>173</v>
      </c>
      <c r="B259">
        <v>170</v>
      </c>
      <c r="C259" s="1">
        <v>45657</v>
      </c>
      <c r="D259">
        <v>2988</v>
      </c>
      <c r="G259" t="s">
        <v>212</v>
      </c>
      <c r="H259">
        <v>194</v>
      </c>
      <c r="I259" s="1">
        <v>45626</v>
      </c>
      <c r="J259">
        <v>-48761</v>
      </c>
    </row>
    <row r="260" spans="1:10">
      <c r="A260" t="s">
        <v>173</v>
      </c>
      <c r="B260">
        <v>170</v>
      </c>
      <c r="C260" s="1">
        <v>45688</v>
      </c>
      <c r="D260">
        <v>3137.43</v>
      </c>
      <c r="G260" t="s">
        <v>212</v>
      </c>
      <c r="H260">
        <v>194</v>
      </c>
      <c r="I260" s="1">
        <v>45657</v>
      </c>
      <c r="J260">
        <v>-51811.5</v>
      </c>
    </row>
    <row r="261" spans="1:10">
      <c r="A261" t="s">
        <v>173</v>
      </c>
      <c r="B261">
        <v>170</v>
      </c>
      <c r="C261" s="1">
        <v>45716</v>
      </c>
      <c r="D261">
        <v>3294</v>
      </c>
      <c r="G261" t="s">
        <v>212</v>
      </c>
      <c r="H261">
        <v>194</v>
      </c>
      <c r="I261" s="1">
        <v>45688</v>
      </c>
      <c r="J261">
        <v>-54862.16</v>
      </c>
    </row>
    <row r="262" spans="1:10">
      <c r="A262" t="s">
        <v>173</v>
      </c>
      <c r="B262">
        <v>170</v>
      </c>
      <c r="C262" s="1">
        <v>45747</v>
      </c>
      <c r="D262">
        <v>3459</v>
      </c>
      <c r="G262" t="s">
        <v>212</v>
      </c>
      <c r="H262">
        <v>194</v>
      </c>
      <c r="I262" s="1">
        <v>45716</v>
      </c>
      <c r="J262">
        <v>-57912.82</v>
      </c>
    </row>
    <row r="263" spans="1:10">
      <c r="A263" t="s">
        <v>173</v>
      </c>
      <c r="B263">
        <v>170</v>
      </c>
      <c r="C263" s="1">
        <v>45777</v>
      </c>
      <c r="D263">
        <v>3632</v>
      </c>
      <c r="G263" t="s">
        <v>212</v>
      </c>
      <c r="H263">
        <v>194</v>
      </c>
      <c r="I263" s="1">
        <v>45747</v>
      </c>
      <c r="J263">
        <v>-60963.48</v>
      </c>
    </row>
    <row r="264" spans="1:10">
      <c r="A264" t="s">
        <v>173</v>
      </c>
      <c r="B264">
        <v>170</v>
      </c>
      <c r="C264" s="1">
        <v>45808</v>
      </c>
      <c r="D264">
        <v>3814</v>
      </c>
      <c r="G264" t="s">
        <v>212</v>
      </c>
      <c r="H264">
        <v>194</v>
      </c>
      <c r="I264" s="1">
        <v>45777</v>
      </c>
      <c r="J264">
        <v>-64014.14</v>
      </c>
    </row>
    <row r="265" spans="1:10">
      <c r="A265" t="s">
        <v>173</v>
      </c>
      <c r="B265">
        <v>170</v>
      </c>
      <c r="C265" s="1">
        <v>45838</v>
      </c>
      <c r="D265">
        <v>4004.25</v>
      </c>
      <c r="G265" t="s">
        <v>212</v>
      </c>
      <c r="H265">
        <v>194</v>
      </c>
      <c r="I265" s="1">
        <v>45808</v>
      </c>
      <c r="J265">
        <v>-67064.800000000003</v>
      </c>
    </row>
    <row r="266" spans="1:10">
      <c r="A266" t="s">
        <v>173</v>
      </c>
      <c r="B266">
        <v>170</v>
      </c>
      <c r="C266" s="1">
        <v>45869</v>
      </c>
      <c r="D266">
        <v>4204.46</v>
      </c>
      <c r="G266" t="s">
        <v>212</v>
      </c>
      <c r="H266">
        <v>194</v>
      </c>
      <c r="I266" s="1">
        <v>45838</v>
      </c>
      <c r="J266">
        <v>-70115.460000000006</v>
      </c>
    </row>
    <row r="267" spans="1:10">
      <c r="A267" t="s">
        <v>173</v>
      </c>
      <c r="B267">
        <v>170</v>
      </c>
      <c r="C267" s="1">
        <v>45900</v>
      </c>
      <c r="D267">
        <v>4414.68</v>
      </c>
      <c r="G267" t="s">
        <v>212</v>
      </c>
      <c r="H267">
        <v>194</v>
      </c>
      <c r="I267" s="1">
        <v>45869</v>
      </c>
      <c r="J267">
        <v>-73166.12</v>
      </c>
    </row>
    <row r="268" spans="1:10">
      <c r="A268" t="s">
        <v>173</v>
      </c>
      <c r="B268">
        <v>170</v>
      </c>
      <c r="C268" s="1">
        <v>45930</v>
      </c>
      <c r="D268">
        <v>4635.41</v>
      </c>
      <c r="G268" t="s">
        <v>212</v>
      </c>
      <c r="H268">
        <v>194</v>
      </c>
      <c r="I268" s="1">
        <v>45900</v>
      </c>
      <c r="J268">
        <v>-76216.78</v>
      </c>
    </row>
    <row r="269" spans="1:10">
      <c r="A269" t="s">
        <v>174</v>
      </c>
      <c r="B269">
        <v>171</v>
      </c>
      <c r="C269" s="1">
        <v>45291</v>
      </c>
      <c r="D269">
        <v>10367</v>
      </c>
      <c r="G269" t="s">
        <v>212</v>
      </c>
      <c r="H269">
        <v>194</v>
      </c>
      <c r="I269" s="1">
        <v>45930</v>
      </c>
      <c r="J269">
        <v>-79267.44</v>
      </c>
    </row>
    <row r="270" spans="1:10">
      <c r="A270" t="s">
        <v>174</v>
      </c>
      <c r="B270">
        <v>171</v>
      </c>
      <c r="C270" s="1">
        <v>45322</v>
      </c>
      <c r="D270">
        <v>9056</v>
      </c>
      <c r="G270" t="s">
        <v>213</v>
      </c>
      <c r="H270">
        <v>60</v>
      </c>
      <c r="I270" s="1">
        <v>45291</v>
      </c>
      <c r="J270">
        <v>52718</v>
      </c>
    </row>
    <row r="271" spans="1:10">
      <c r="A271" t="s">
        <v>174</v>
      </c>
      <c r="B271">
        <v>171</v>
      </c>
      <c r="C271" s="1">
        <v>45351</v>
      </c>
      <c r="D271">
        <v>10886</v>
      </c>
      <c r="G271" t="s">
        <v>213</v>
      </c>
      <c r="H271">
        <v>60</v>
      </c>
      <c r="I271" s="1">
        <v>45322</v>
      </c>
      <c r="J271">
        <v>52718</v>
      </c>
    </row>
    <row r="272" spans="1:10">
      <c r="A272" t="s">
        <v>174</v>
      </c>
      <c r="B272">
        <v>171</v>
      </c>
      <c r="C272" s="1">
        <v>45382</v>
      </c>
      <c r="D272">
        <v>9509</v>
      </c>
      <c r="G272" t="s">
        <v>213</v>
      </c>
      <c r="H272">
        <v>60</v>
      </c>
      <c r="I272" s="1">
        <v>45351</v>
      </c>
      <c r="J272">
        <v>52718</v>
      </c>
    </row>
    <row r="273" spans="1:10">
      <c r="A273" t="s">
        <v>174</v>
      </c>
      <c r="B273">
        <v>171</v>
      </c>
      <c r="C273" s="1">
        <v>45412</v>
      </c>
      <c r="D273">
        <v>11430</v>
      </c>
      <c r="G273" t="s">
        <v>213</v>
      </c>
      <c r="H273">
        <v>60</v>
      </c>
      <c r="I273" s="1">
        <v>45382</v>
      </c>
      <c r="J273">
        <v>52718</v>
      </c>
    </row>
    <row r="274" spans="1:10">
      <c r="A274" t="s">
        <v>174</v>
      </c>
      <c r="B274">
        <v>171</v>
      </c>
      <c r="C274" s="1">
        <v>45443</v>
      </c>
      <c r="D274">
        <v>9984</v>
      </c>
      <c r="G274" t="s">
        <v>213</v>
      </c>
      <c r="H274">
        <v>60</v>
      </c>
      <c r="I274" s="1">
        <v>45412</v>
      </c>
      <c r="J274">
        <v>52718</v>
      </c>
    </row>
    <row r="275" spans="1:10">
      <c r="A275" t="s">
        <v>174</v>
      </c>
      <c r="B275">
        <v>171</v>
      </c>
      <c r="C275" s="1">
        <v>45473</v>
      </c>
      <c r="D275">
        <v>12002</v>
      </c>
      <c r="G275" t="s">
        <v>213</v>
      </c>
      <c r="H275">
        <v>60</v>
      </c>
      <c r="I275" s="1">
        <v>45443</v>
      </c>
      <c r="J275">
        <v>52718</v>
      </c>
    </row>
    <row r="276" spans="1:10">
      <c r="A276" t="s">
        <v>174</v>
      </c>
      <c r="B276">
        <v>171</v>
      </c>
      <c r="C276" s="1">
        <v>45504</v>
      </c>
      <c r="D276">
        <v>12602</v>
      </c>
      <c r="G276" t="s">
        <v>213</v>
      </c>
      <c r="H276">
        <v>60</v>
      </c>
      <c r="I276" s="1">
        <v>45473</v>
      </c>
      <c r="J276">
        <v>52718</v>
      </c>
    </row>
    <row r="277" spans="1:10">
      <c r="A277" t="s">
        <v>174</v>
      </c>
      <c r="B277">
        <v>171</v>
      </c>
      <c r="C277" s="1">
        <v>45535</v>
      </c>
      <c r="D277">
        <v>12602</v>
      </c>
      <c r="G277" t="s">
        <v>213</v>
      </c>
      <c r="H277">
        <v>60</v>
      </c>
      <c r="I277" s="1">
        <v>45504</v>
      </c>
      <c r="J277">
        <v>52718</v>
      </c>
    </row>
    <row r="278" spans="1:10">
      <c r="A278" t="s">
        <v>174</v>
      </c>
      <c r="B278">
        <v>171</v>
      </c>
      <c r="C278" s="1">
        <v>45565</v>
      </c>
      <c r="D278">
        <v>13232</v>
      </c>
      <c r="G278" t="s">
        <v>213</v>
      </c>
      <c r="H278">
        <v>60</v>
      </c>
      <c r="I278" s="1">
        <v>45535</v>
      </c>
      <c r="J278">
        <v>52718</v>
      </c>
    </row>
    <row r="279" spans="1:10">
      <c r="A279" t="s">
        <v>174</v>
      </c>
      <c r="B279">
        <v>171</v>
      </c>
      <c r="C279" s="1">
        <v>45596</v>
      </c>
      <c r="D279">
        <v>13232</v>
      </c>
      <c r="G279" t="s">
        <v>213</v>
      </c>
      <c r="H279">
        <v>60</v>
      </c>
      <c r="I279" s="1">
        <v>45565</v>
      </c>
      <c r="J279">
        <v>52718</v>
      </c>
    </row>
    <row r="280" spans="1:10">
      <c r="A280" t="s">
        <v>174</v>
      </c>
      <c r="B280">
        <v>171</v>
      </c>
      <c r="C280" s="1">
        <v>45626</v>
      </c>
      <c r="D280">
        <v>13893</v>
      </c>
      <c r="G280" t="s">
        <v>213</v>
      </c>
      <c r="H280">
        <v>60</v>
      </c>
      <c r="I280" s="1">
        <v>45596</v>
      </c>
      <c r="J280">
        <v>52718</v>
      </c>
    </row>
    <row r="281" spans="1:10">
      <c r="A281" t="s">
        <v>174</v>
      </c>
      <c r="B281">
        <v>171</v>
      </c>
      <c r="C281" s="1">
        <v>45657</v>
      </c>
      <c r="D281">
        <v>14588</v>
      </c>
      <c r="G281" t="s">
        <v>213</v>
      </c>
      <c r="H281">
        <v>60</v>
      </c>
      <c r="I281" s="1">
        <v>45626</v>
      </c>
      <c r="J281">
        <v>52718</v>
      </c>
    </row>
    <row r="282" spans="1:10">
      <c r="A282" t="s">
        <v>174</v>
      </c>
      <c r="B282">
        <v>171</v>
      </c>
      <c r="C282" s="1">
        <v>45688</v>
      </c>
      <c r="D282">
        <v>15317.51</v>
      </c>
      <c r="G282" t="s">
        <v>213</v>
      </c>
      <c r="H282">
        <v>60</v>
      </c>
      <c r="I282" s="1">
        <v>45657</v>
      </c>
      <c r="J282">
        <v>52718</v>
      </c>
    </row>
    <row r="283" spans="1:10">
      <c r="A283" t="s">
        <v>174</v>
      </c>
      <c r="B283">
        <v>171</v>
      </c>
      <c r="C283" s="1">
        <v>45716</v>
      </c>
      <c r="D283">
        <v>16083</v>
      </c>
      <c r="G283" t="s">
        <v>213</v>
      </c>
      <c r="H283">
        <v>60</v>
      </c>
      <c r="I283" s="1">
        <v>45688</v>
      </c>
      <c r="J283">
        <v>52718</v>
      </c>
    </row>
    <row r="284" spans="1:10">
      <c r="A284" t="s">
        <v>174</v>
      </c>
      <c r="B284">
        <v>171</v>
      </c>
      <c r="C284" s="1">
        <v>45747</v>
      </c>
      <c r="D284">
        <v>16888</v>
      </c>
      <c r="G284" t="s">
        <v>213</v>
      </c>
      <c r="H284">
        <v>60</v>
      </c>
      <c r="I284" s="1">
        <v>45716</v>
      </c>
      <c r="J284">
        <v>52718</v>
      </c>
    </row>
    <row r="285" spans="1:10">
      <c r="A285" t="s">
        <v>174</v>
      </c>
      <c r="B285">
        <v>171</v>
      </c>
      <c r="C285" s="1">
        <v>45777</v>
      </c>
      <c r="D285">
        <v>17732</v>
      </c>
      <c r="G285" t="s">
        <v>213</v>
      </c>
      <c r="H285">
        <v>60</v>
      </c>
      <c r="I285" s="1">
        <v>45747</v>
      </c>
      <c r="J285">
        <v>52718</v>
      </c>
    </row>
    <row r="286" spans="1:10">
      <c r="A286" t="s">
        <v>174</v>
      </c>
      <c r="B286">
        <v>171</v>
      </c>
      <c r="C286" s="1">
        <v>45808</v>
      </c>
      <c r="D286">
        <v>18619</v>
      </c>
      <c r="G286" t="s">
        <v>213</v>
      </c>
      <c r="H286">
        <v>60</v>
      </c>
      <c r="I286" s="1">
        <v>45777</v>
      </c>
      <c r="J286">
        <v>52718</v>
      </c>
    </row>
    <row r="287" spans="1:10">
      <c r="A287" t="s">
        <v>174</v>
      </c>
      <c r="B287">
        <v>171</v>
      </c>
      <c r="C287" s="1">
        <v>45838</v>
      </c>
      <c r="D287">
        <v>19549.45</v>
      </c>
      <c r="G287" t="s">
        <v>213</v>
      </c>
      <c r="H287">
        <v>60</v>
      </c>
      <c r="I287" s="1">
        <v>45808</v>
      </c>
      <c r="J287">
        <v>52718</v>
      </c>
    </row>
    <row r="288" spans="1:10">
      <c r="A288" t="s">
        <v>174</v>
      </c>
      <c r="B288">
        <v>171</v>
      </c>
      <c r="C288" s="1">
        <v>45869</v>
      </c>
      <c r="D288">
        <v>20526.93</v>
      </c>
      <c r="G288" t="s">
        <v>213</v>
      </c>
      <c r="H288">
        <v>60</v>
      </c>
      <c r="I288" s="1">
        <v>45838</v>
      </c>
      <c r="J288">
        <v>52718</v>
      </c>
    </row>
    <row r="289" spans="1:10">
      <c r="A289" t="s">
        <v>174</v>
      </c>
      <c r="B289">
        <v>171</v>
      </c>
      <c r="C289" s="1">
        <v>45900</v>
      </c>
      <c r="D289">
        <v>21553.27</v>
      </c>
      <c r="G289" t="s">
        <v>213</v>
      </c>
      <c r="H289">
        <v>60</v>
      </c>
      <c r="I289" s="1">
        <v>45869</v>
      </c>
      <c r="J289">
        <v>52718</v>
      </c>
    </row>
    <row r="290" spans="1:10">
      <c r="A290" t="s">
        <v>174</v>
      </c>
      <c r="B290">
        <v>171</v>
      </c>
      <c r="C290" s="1">
        <v>45930</v>
      </c>
      <c r="D290">
        <v>22630.94</v>
      </c>
      <c r="G290" t="s">
        <v>213</v>
      </c>
      <c r="H290">
        <v>60</v>
      </c>
      <c r="I290" s="1">
        <v>45900</v>
      </c>
      <c r="J290">
        <v>52718</v>
      </c>
    </row>
    <row r="291" spans="1:10">
      <c r="A291" t="s">
        <v>175</v>
      </c>
      <c r="B291">
        <v>203</v>
      </c>
      <c r="C291" s="1">
        <v>45291</v>
      </c>
      <c r="D291">
        <v>1364</v>
      </c>
      <c r="G291" t="s">
        <v>213</v>
      </c>
      <c r="H291">
        <v>60</v>
      </c>
      <c r="I291" s="1">
        <v>45930</v>
      </c>
      <c r="J291">
        <v>52718</v>
      </c>
    </row>
    <row r="292" spans="1:10">
      <c r="A292" t="s">
        <v>175</v>
      </c>
      <c r="B292">
        <v>203</v>
      </c>
      <c r="C292" s="1">
        <v>45322</v>
      </c>
      <c r="D292">
        <v>808</v>
      </c>
      <c r="G292" t="s">
        <v>214</v>
      </c>
      <c r="H292">
        <v>1150040001</v>
      </c>
      <c r="I292" s="1">
        <v>45291</v>
      </c>
      <c r="J292">
        <v>7951</v>
      </c>
    </row>
    <row r="293" spans="1:10">
      <c r="A293" t="s">
        <v>175</v>
      </c>
      <c r="B293">
        <v>203</v>
      </c>
      <c r="C293" s="1">
        <v>45351</v>
      </c>
      <c r="D293">
        <v>1432</v>
      </c>
      <c r="G293" t="s">
        <v>214</v>
      </c>
      <c r="H293">
        <v>1150040001</v>
      </c>
      <c r="I293" s="1">
        <v>45322</v>
      </c>
      <c r="J293">
        <v>7951</v>
      </c>
    </row>
    <row r="294" spans="1:10">
      <c r="A294" t="s">
        <v>175</v>
      </c>
      <c r="B294">
        <v>203</v>
      </c>
      <c r="C294" s="1">
        <v>45382</v>
      </c>
      <c r="D294">
        <v>848</v>
      </c>
      <c r="G294" t="s">
        <v>214</v>
      </c>
      <c r="H294">
        <v>1150040001</v>
      </c>
      <c r="I294" s="1">
        <v>45351</v>
      </c>
      <c r="J294">
        <v>7951</v>
      </c>
    </row>
    <row r="295" spans="1:10">
      <c r="A295" t="s">
        <v>175</v>
      </c>
      <c r="B295">
        <v>203</v>
      </c>
      <c r="C295" s="1">
        <v>45412</v>
      </c>
      <c r="D295">
        <v>1504</v>
      </c>
      <c r="G295" t="s">
        <v>214</v>
      </c>
      <c r="H295">
        <v>1150040001</v>
      </c>
      <c r="I295" s="1">
        <v>45382</v>
      </c>
      <c r="J295">
        <v>7951</v>
      </c>
    </row>
    <row r="296" spans="1:10">
      <c r="A296" t="s">
        <v>175</v>
      </c>
      <c r="B296">
        <v>203</v>
      </c>
      <c r="C296" s="1">
        <v>45443</v>
      </c>
      <c r="D296">
        <v>890</v>
      </c>
      <c r="G296" t="s">
        <v>214</v>
      </c>
      <c r="H296">
        <v>1150040001</v>
      </c>
      <c r="I296" s="1">
        <v>45412</v>
      </c>
      <c r="J296">
        <v>7951</v>
      </c>
    </row>
    <row r="297" spans="1:10">
      <c r="A297" t="s">
        <v>175</v>
      </c>
      <c r="B297">
        <v>203</v>
      </c>
      <c r="C297" s="1">
        <v>45473</v>
      </c>
      <c r="D297">
        <v>1579</v>
      </c>
      <c r="G297" t="s">
        <v>214</v>
      </c>
      <c r="H297">
        <v>1150040001</v>
      </c>
      <c r="I297" s="1">
        <v>45443</v>
      </c>
      <c r="J297">
        <v>7951</v>
      </c>
    </row>
    <row r="298" spans="1:10">
      <c r="A298" t="s">
        <v>175</v>
      </c>
      <c r="B298">
        <v>203</v>
      </c>
      <c r="C298" s="1">
        <v>45504</v>
      </c>
      <c r="D298">
        <v>1658</v>
      </c>
      <c r="G298" t="s">
        <v>214</v>
      </c>
      <c r="H298">
        <v>1150040001</v>
      </c>
      <c r="I298" s="1">
        <v>45473</v>
      </c>
      <c r="J298">
        <v>7951</v>
      </c>
    </row>
    <row r="299" spans="1:10">
      <c r="A299" t="s">
        <v>175</v>
      </c>
      <c r="B299">
        <v>203</v>
      </c>
      <c r="C299" s="1">
        <v>45535</v>
      </c>
      <c r="D299">
        <v>1658</v>
      </c>
      <c r="G299" t="s">
        <v>214</v>
      </c>
      <c r="H299">
        <v>1150040001</v>
      </c>
      <c r="I299" s="1">
        <v>45504</v>
      </c>
      <c r="J299">
        <v>7951</v>
      </c>
    </row>
    <row r="300" spans="1:10">
      <c r="A300" t="s">
        <v>175</v>
      </c>
      <c r="B300">
        <v>203</v>
      </c>
      <c r="C300" s="1">
        <v>45565</v>
      </c>
      <c r="D300">
        <v>1741</v>
      </c>
      <c r="G300" t="s">
        <v>214</v>
      </c>
      <c r="H300">
        <v>1150040001</v>
      </c>
      <c r="I300" s="1">
        <v>45535</v>
      </c>
      <c r="J300">
        <v>7951</v>
      </c>
    </row>
    <row r="301" spans="1:10">
      <c r="A301" t="s">
        <v>175</v>
      </c>
      <c r="B301">
        <v>203</v>
      </c>
      <c r="C301" s="1">
        <v>45596</v>
      </c>
      <c r="D301">
        <v>1741</v>
      </c>
      <c r="G301" t="s">
        <v>214</v>
      </c>
      <c r="H301">
        <v>1150040001</v>
      </c>
      <c r="I301" s="1">
        <v>45565</v>
      </c>
      <c r="J301">
        <v>7951</v>
      </c>
    </row>
    <row r="302" spans="1:10">
      <c r="A302" t="s">
        <v>175</v>
      </c>
      <c r="B302">
        <v>203</v>
      </c>
      <c r="C302" s="1">
        <v>45626</v>
      </c>
      <c r="D302">
        <v>1828</v>
      </c>
      <c r="G302" t="s">
        <v>214</v>
      </c>
      <c r="H302">
        <v>1150040001</v>
      </c>
      <c r="I302" s="1">
        <v>45596</v>
      </c>
      <c r="J302">
        <v>7951</v>
      </c>
    </row>
    <row r="303" spans="1:10">
      <c r="A303" t="s">
        <v>175</v>
      </c>
      <c r="B303">
        <v>203</v>
      </c>
      <c r="C303" s="1">
        <v>45657</v>
      </c>
      <c r="D303">
        <v>1920</v>
      </c>
      <c r="G303" t="s">
        <v>214</v>
      </c>
      <c r="H303">
        <v>1150040001</v>
      </c>
      <c r="I303" s="1">
        <v>45626</v>
      </c>
      <c r="J303">
        <v>7951</v>
      </c>
    </row>
    <row r="304" spans="1:10">
      <c r="A304" t="s">
        <v>175</v>
      </c>
      <c r="B304">
        <v>203</v>
      </c>
      <c r="C304" s="1">
        <v>45688</v>
      </c>
      <c r="D304">
        <v>2015.65</v>
      </c>
      <c r="G304" t="s">
        <v>214</v>
      </c>
      <c r="H304">
        <v>1150040001</v>
      </c>
      <c r="I304" s="1">
        <v>45657</v>
      </c>
      <c r="J304">
        <v>7951</v>
      </c>
    </row>
    <row r="305" spans="1:10">
      <c r="A305" t="s">
        <v>175</v>
      </c>
      <c r="B305">
        <v>203</v>
      </c>
      <c r="C305" s="1">
        <v>45716</v>
      </c>
      <c r="D305">
        <v>2116</v>
      </c>
      <c r="G305" t="s">
        <v>214</v>
      </c>
      <c r="H305">
        <v>1150040001</v>
      </c>
      <c r="I305" s="1">
        <v>45688</v>
      </c>
      <c r="J305">
        <v>7951</v>
      </c>
    </row>
    <row r="306" spans="1:10">
      <c r="A306" t="s">
        <v>175</v>
      </c>
      <c r="B306">
        <v>203</v>
      </c>
      <c r="C306" s="1">
        <v>45747</v>
      </c>
      <c r="D306">
        <v>2222</v>
      </c>
      <c r="G306" t="s">
        <v>214</v>
      </c>
      <c r="H306">
        <v>1150040001</v>
      </c>
      <c r="I306" s="1">
        <v>45716</v>
      </c>
      <c r="J306">
        <v>7951</v>
      </c>
    </row>
    <row r="307" spans="1:10">
      <c r="A307" t="s">
        <v>175</v>
      </c>
      <c r="B307">
        <v>203</v>
      </c>
      <c r="C307" s="1">
        <v>45777</v>
      </c>
      <c r="D307">
        <v>2333</v>
      </c>
      <c r="G307" t="s">
        <v>214</v>
      </c>
      <c r="H307">
        <v>1150040001</v>
      </c>
      <c r="I307" s="1">
        <v>45747</v>
      </c>
      <c r="J307">
        <v>7951</v>
      </c>
    </row>
    <row r="308" spans="1:10">
      <c r="A308" t="s">
        <v>175</v>
      </c>
      <c r="B308">
        <v>203</v>
      </c>
      <c r="C308" s="1">
        <v>45808</v>
      </c>
      <c r="D308">
        <v>2450</v>
      </c>
      <c r="G308" t="s">
        <v>214</v>
      </c>
      <c r="H308">
        <v>1150040001</v>
      </c>
      <c r="I308" s="1">
        <v>45777</v>
      </c>
      <c r="J308">
        <v>7951</v>
      </c>
    </row>
    <row r="309" spans="1:10">
      <c r="A309" t="s">
        <v>175</v>
      </c>
      <c r="B309">
        <v>203</v>
      </c>
      <c r="C309" s="1">
        <v>45838</v>
      </c>
      <c r="D309">
        <v>2572.5300000000002</v>
      </c>
      <c r="G309" t="s">
        <v>214</v>
      </c>
      <c r="H309">
        <v>1150040001</v>
      </c>
      <c r="I309" s="1">
        <v>45808</v>
      </c>
      <c r="J309">
        <v>7951</v>
      </c>
    </row>
    <row r="310" spans="1:10">
      <c r="A310" t="s">
        <v>175</v>
      </c>
      <c r="B310">
        <v>203</v>
      </c>
      <c r="C310" s="1">
        <v>45869</v>
      </c>
      <c r="D310">
        <v>2701.16</v>
      </c>
      <c r="G310" t="s">
        <v>214</v>
      </c>
      <c r="H310">
        <v>1150040001</v>
      </c>
      <c r="I310" s="1">
        <v>45838</v>
      </c>
      <c r="J310">
        <v>7951</v>
      </c>
    </row>
    <row r="311" spans="1:10">
      <c r="A311" t="s">
        <v>175</v>
      </c>
      <c r="B311">
        <v>203</v>
      </c>
      <c r="C311" s="1">
        <v>45900</v>
      </c>
      <c r="D311">
        <v>2836.22</v>
      </c>
      <c r="G311" t="s">
        <v>214</v>
      </c>
      <c r="H311">
        <v>1150040001</v>
      </c>
      <c r="I311" s="1">
        <v>45869</v>
      </c>
      <c r="J311">
        <v>7951</v>
      </c>
    </row>
    <row r="312" spans="1:10">
      <c r="A312" t="s">
        <v>175</v>
      </c>
      <c r="B312">
        <v>203</v>
      </c>
      <c r="C312" s="1">
        <v>45930</v>
      </c>
      <c r="D312">
        <v>2978.03</v>
      </c>
      <c r="G312" t="s">
        <v>214</v>
      </c>
      <c r="H312">
        <v>1150040001</v>
      </c>
      <c r="I312" s="1">
        <v>45900</v>
      </c>
      <c r="J312">
        <v>7951</v>
      </c>
    </row>
    <row r="313" spans="1:10">
      <c r="A313" t="s">
        <v>177</v>
      </c>
      <c r="B313">
        <v>173</v>
      </c>
      <c r="C313" s="1">
        <v>45291</v>
      </c>
      <c r="D313">
        <v>2810</v>
      </c>
      <c r="G313" t="s">
        <v>214</v>
      </c>
      <c r="H313">
        <v>1150040001</v>
      </c>
      <c r="I313" s="1">
        <v>45930</v>
      </c>
      <c r="J313">
        <v>7951</v>
      </c>
    </row>
    <row r="314" spans="1:10">
      <c r="A314" t="s">
        <v>177</v>
      </c>
      <c r="B314">
        <v>173</v>
      </c>
      <c r="C314" s="1">
        <v>45322</v>
      </c>
      <c r="D314">
        <v>2328</v>
      </c>
      <c r="G314" t="s">
        <v>423</v>
      </c>
      <c r="H314">
        <v>0</v>
      </c>
      <c r="I314" s="1">
        <v>45291</v>
      </c>
      <c r="J314">
        <v>98467</v>
      </c>
    </row>
    <row r="315" spans="1:10">
      <c r="A315" t="s">
        <v>177</v>
      </c>
      <c r="B315">
        <v>173</v>
      </c>
      <c r="C315" s="1">
        <v>45351</v>
      </c>
      <c r="D315">
        <v>2950</v>
      </c>
      <c r="G315" t="s">
        <v>423</v>
      </c>
      <c r="H315">
        <v>0</v>
      </c>
      <c r="I315" s="1">
        <v>45322</v>
      </c>
      <c r="J315">
        <v>112416.5</v>
      </c>
    </row>
    <row r="316" spans="1:10">
      <c r="A316" t="s">
        <v>177</v>
      </c>
      <c r="B316">
        <v>173</v>
      </c>
      <c r="C316" s="1">
        <v>45382</v>
      </c>
      <c r="D316">
        <v>2445</v>
      </c>
      <c r="G316" t="s">
        <v>423</v>
      </c>
      <c r="H316">
        <v>0</v>
      </c>
      <c r="I316" s="1">
        <v>45351</v>
      </c>
      <c r="J316">
        <v>97365.5</v>
      </c>
    </row>
    <row r="317" spans="1:10">
      <c r="A317" t="s">
        <v>177</v>
      </c>
      <c r="B317">
        <v>173</v>
      </c>
      <c r="C317" s="1">
        <v>45412</v>
      </c>
      <c r="D317">
        <v>3098</v>
      </c>
      <c r="G317" t="s">
        <v>423</v>
      </c>
      <c r="H317">
        <v>0</v>
      </c>
      <c r="I317" s="1">
        <v>45382</v>
      </c>
      <c r="J317">
        <v>94315</v>
      </c>
    </row>
    <row r="318" spans="1:10">
      <c r="A318" t="s">
        <v>177</v>
      </c>
      <c r="B318">
        <v>173</v>
      </c>
      <c r="C318" s="1">
        <v>45443</v>
      </c>
      <c r="D318">
        <v>2567</v>
      </c>
      <c r="G318" t="s">
        <v>423</v>
      </c>
      <c r="H318">
        <v>0</v>
      </c>
      <c r="I318" s="1">
        <v>45412</v>
      </c>
      <c r="J318">
        <v>91264.5</v>
      </c>
    </row>
    <row r="319" spans="1:10">
      <c r="A319" t="s">
        <v>177</v>
      </c>
      <c r="B319">
        <v>173</v>
      </c>
      <c r="C319" s="1">
        <v>45473</v>
      </c>
      <c r="D319">
        <v>3253</v>
      </c>
      <c r="G319" t="s">
        <v>423</v>
      </c>
      <c r="H319">
        <v>0</v>
      </c>
      <c r="I319" s="1">
        <v>45443</v>
      </c>
      <c r="J319">
        <v>88214</v>
      </c>
    </row>
    <row r="320" spans="1:10">
      <c r="A320" t="s">
        <v>177</v>
      </c>
      <c r="B320">
        <v>173</v>
      </c>
      <c r="C320" s="1">
        <v>45504</v>
      </c>
      <c r="D320">
        <v>3416</v>
      </c>
      <c r="G320" t="s">
        <v>423</v>
      </c>
      <c r="H320">
        <v>0</v>
      </c>
      <c r="I320" s="1">
        <v>45473</v>
      </c>
      <c r="J320">
        <v>85163</v>
      </c>
    </row>
    <row r="321" spans="1:10">
      <c r="A321" t="s">
        <v>177</v>
      </c>
      <c r="B321">
        <v>173</v>
      </c>
      <c r="C321" s="1">
        <v>45535</v>
      </c>
      <c r="D321">
        <v>3416</v>
      </c>
      <c r="G321" t="s">
        <v>423</v>
      </c>
      <c r="H321">
        <v>0</v>
      </c>
      <c r="I321" s="1">
        <v>45504</v>
      </c>
      <c r="J321">
        <v>82112</v>
      </c>
    </row>
    <row r="322" spans="1:10">
      <c r="A322" t="s">
        <v>177</v>
      </c>
      <c r="B322">
        <v>173</v>
      </c>
      <c r="C322" s="1">
        <v>45565</v>
      </c>
      <c r="D322">
        <v>3586</v>
      </c>
      <c r="G322" t="s">
        <v>423</v>
      </c>
      <c r="H322">
        <v>0</v>
      </c>
      <c r="I322" s="1">
        <v>45535</v>
      </c>
      <c r="J322">
        <v>79061</v>
      </c>
    </row>
    <row r="323" spans="1:10">
      <c r="A323" t="s">
        <v>177</v>
      </c>
      <c r="B323">
        <v>173</v>
      </c>
      <c r="C323" s="1">
        <v>45596</v>
      </c>
      <c r="D323">
        <v>3586</v>
      </c>
      <c r="G323" t="s">
        <v>423</v>
      </c>
      <c r="H323">
        <v>0</v>
      </c>
      <c r="I323" s="1">
        <v>45565</v>
      </c>
      <c r="J323">
        <v>76010</v>
      </c>
    </row>
    <row r="324" spans="1:10">
      <c r="A324" t="s">
        <v>177</v>
      </c>
      <c r="B324">
        <v>173</v>
      </c>
      <c r="C324" s="1">
        <v>45626</v>
      </c>
      <c r="D324">
        <v>3766</v>
      </c>
      <c r="G324" t="s">
        <v>423</v>
      </c>
      <c r="H324">
        <v>0</v>
      </c>
      <c r="I324" s="1">
        <v>45596</v>
      </c>
      <c r="J324">
        <v>72959</v>
      </c>
    </row>
    <row r="325" spans="1:10">
      <c r="A325" t="s">
        <v>177</v>
      </c>
      <c r="B325">
        <v>173</v>
      </c>
      <c r="C325" s="1">
        <v>45657</v>
      </c>
      <c r="D325">
        <v>3954</v>
      </c>
      <c r="G325" t="s">
        <v>423</v>
      </c>
      <c r="H325">
        <v>0</v>
      </c>
      <c r="I325" s="1">
        <v>45626</v>
      </c>
      <c r="J325">
        <v>69908</v>
      </c>
    </row>
    <row r="326" spans="1:10">
      <c r="A326" t="s">
        <v>177</v>
      </c>
      <c r="B326">
        <v>173</v>
      </c>
      <c r="C326" s="1">
        <v>45688</v>
      </c>
      <c r="D326">
        <v>4151.6099999999997</v>
      </c>
      <c r="G326" t="s">
        <v>423</v>
      </c>
      <c r="H326">
        <v>0</v>
      </c>
      <c r="I326" s="1">
        <v>45657</v>
      </c>
      <c r="J326">
        <v>66857.5</v>
      </c>
    </row>
    <row r="327" spans="1:10">
      <c r="A327" t="s">
        <v>177</v>
      </c>
      <c r="B327">
        <v>173</v>
      </c>
      <c r="C327" s="1">
        <v>45716</v>
      </c>
      <c r="D327">
        <v>4359</v>
      </c>
      <c r="G327" t="s">
        <v>423</v>
      </c>
      <c r="H327">
        <v>0</v>
      </c>
      <c r="I327" s="1">
        <v>45688</v>
      </c>
      <c r="J327">
        <v>63806.84</v>
      </c>
    </row>
    <row r="328" spans="1:10">
      <c r="A328" t="s">
        <v>177</v>
      </c>
      <c r="B328">
        <v>173</v>
      </c>
      <c r="C328" s="1">
        <v>45747</v>
      </c>
      <c r="D328">
        <v>4577</v>
      </c>
      <c r="G328" t="s">
        <v>423</v>
      </c>
      <c r="H328">
        <v>0</v>
      </c>
      <c r="I328" s="1">
        <v>45716</v>
      </c>
      <c r="J328">
        <v>60756.18</v>
      </c>
    </row>
    <row r="329" spans="1:10">
      <c r="A329" t="s">
        <v>177</v>
      </c>
      <c r="B329">
        <v>173</v>
      </c>
      <c r="C329" s="1">
        <v>45777</v>
      </c>
      <c r="D329">
        <v>4806</v>
      </c>
      <c r="G329" t="s">
        <v>423</v>
      </c>
      <c r="H329">
        <v>0</v>
      </c>
      <c r="I329" s="1">
        <v>45747</v>
      </c>
      <c r="J329">
        <v>57705.52</v>
      </c>
    </row>
    <row r="330" spans="1:10">
      <c r="A330" t="s">
        <v>177</v>
      </c>
      <c r="B330">
        <v>173</v>
      </c>
      <c r="C330" s="1">
        <v>45808</v>
      </c>
      <c r="D330">
        <v>5046</v>
      </c>
      <c r="G330" t="s">
        <v>423</v>
      </c>
      <c r="H330">
        <v>0</v>
      </c>
      <c r="I330" s="1">
        <v>45777</v>
      </c>
      <c r="J330">
        <v>54654.86</v>
      </c>
    </row>
    <row r="331" spans="1:10">
      <c r="A331" t="s">
        <v>177</v>
      </c>
      <c r="B331">
        <v>173</v>
      </c>
      <c r="C331" s="1">
        <v>45838</v>
      </c>
      <c r="D331">
        <v>5298.63</v>
      </c>
      <c r="G331" t="s">
        <v>423</v>
      </c>
      <c r="H331">
        <v>0</v>
      </c>
      <c r="I331" s="1">
        <v>45808</v>
      </c>
      <c r="J331">
        <v>51604.2</v>
      </c>
    </row>
    <row r="332" spans="1:10">
      <c r="A332" t="s">
        <v>177</v>
      </c>
      <c r="B332">
        <v>173</v>
      </c>
      <c r="C332" s="1">
        <v>45869</v>
      </c>
      <c r="D332">
        <v>5563.56</v>
      </c>
      <c r="G332" t="s">
        <v>423</v>
      </c>
      <c r="H332">
        <v>0</v>
      </c>
      <c r="I332" s="1">
        <v>45838</v>
      </c>
      <c r="J332">
        <v>48553.54</v>
      </c>
    </row>
    <row r="333" spans="1:10">
      <c r="A333" t="s">
        <v>177</v>
      </c>
      <c r="B333">
        <v>173</v>
      </c>
      <c r="C333" s="1">
        <v>45900</v>
      </c>
      <c r="D333">
        <v>5841.73</v>
      </c>
      <c r="G333" t="s">
        <v>423</v>
      </c>
      <c r="H333">
        <v>0</v>
      </c>
      <c r="I333" s="1">
        <v>45869</v>
      </c>
      <c r="J333">
        <v>45502.879999999997</v>
      </c>
    </row>
    <row r="334" spans="1:10">
      <c r="A334" t="s">
        <v>177</v>
      </c>
      <c r="B334">
        <v>173</v>
      </c>
      <c r="C334" s="1">
        <v>45930</v>
      </c>
      <c r="D334">
        <v>6133.82</v>
      </c>
      <c r="G334" t="s">
        <v>423</v>
      </c>
      <c r="H334">
        <v>0</v>
      </c>
      <c r="I334" s="1">
        <v>45900</v>
      </c>
      <c r="J334">
        <v>42452.22</v>
      </c>
    </row>
    <row r="335" spans="1:10">
      <c r="A335" t="s">
        <v>178</v>
      </c>
      <c r="B335">
        <v>175</v>
      </c>
      <c r="C335" s="1">
        <v>45291</v>
      </c>
      <c r="D335">
        <v>4752</v>
      </c>
      <c r="G335" t="s">
        <v>423</v>
      </c>
      <c r="H335">
        <v>0</v>
      </c>
      <c r="I335" s="1">
        <v>45930</v>
      </c>
      <c r="J335">
        <v>39401.56</v>
      </c>
    </row>
    <row r="336" spans="1:10">
      <c r="A336" t="s">
        <v>178</v>
      </c>
      <c r="B336">
        <v>175</v>
      </c>
      <c r="C336" s="1">
        <v>45322</v>
      </c>
      <c r="D336">
        <v>2497</v>
      </c>
      <c r="G336" t="s">
        <v>55</v>
      </c>
      <c r="H336">
        <v>0</v>
      </c>
      <c r="I336" s="1">
        <v>45291</v>
      </c>
      <c r="J336">
        <v>4443756</v>
      </c>
    </row>
    <row r="337" spans="1:10">
      <c r="A337" t="s">
        <v>178</v>
      </c>
      <c r="B337">
        <v>175</v>
      </c>
      <c r="C337" s="1">
        <v>45351</v>
      </c>
      <c r="D337">
        <v>4990</v>
      </c>
      <c r="G337" t="s">
        <v>55</v>
      </c>
      <c r="H337">
        <v>0</v>
      </c>
      <c r="I337" s="1">
        <v>45322</v>
      </c>
      <c r="J337">
        <v>4370951.5</v>
      </c>
    </row>
    <row r="338" spans="1:10">
      <c r="A338" t="s">
        <v>178</v>
      </c>
      <c r="B338">
        <v>175</v>
      </c>
      <c r="C338" s="1">
        <v>45382</v>
      </c>
      <c r="D338">
        <v>2622</v>
      </c>
      <c r="G338" t="s">
        <v>55</v>
      </c>
      <c r="H338">
        <v>0</v>
      </c>
      <c r="I338" s="1">
        <v>45351</v>
      </c>
      <c r="J338">
        <v>4241631.5</v>
      </c>
    </row>
    <row r="339" spans="1:10">
      <c r="A339" t="s">
        <v>178</v>
      </c>
      <c r="B339">
        <v>175</v>
      </c>
      <c r="C339" s="1">
        <v>45412</v>
      </c>
      <c r="D339">
        <v>5239</v>
      </c>
      <c r="G339" t="s">
        <v>55</v>
      </c>
      <c r="H339">
        <v>0</v>
      </c>
      <c r="I339" s="1">
        <v>45382</v>
      </c>
      <c r="J339">
        <v>4166262</v>
      </c>
    </row>
    <row r="340" spans="1:10">
      <c r="A340" t="s">
        <v>178</v>
      </c>
      <c r="B340">
        <v>175</v>
      </c>
      <c r="C340" s="1">
        <v>45443</v>
      </c>
      <c r="D340">
        <v>2753</v>
      </c>
      <c r="G340" t="s">
        <v>55</v>
      </c>
      <c r="H340">
        <v>0</v>
      </c>
      <c r="I340" s="1">
        <v>45412</v>
      </c>
      <c r="J340">
        <v>4031551.5</v>
      </c>
    </row>
    <row r="341" spans="1:10">
      <c r="A341" t="s">
        <v>178</v>
      </c>
      <c r="B341">
        <v>175</v>
      </c>
      <c r="C341" s="1">
        <v>45473</v>
      </c>
      <c r="D341">
        <v>5501</v>
      </c>
      <c r="G341" t="s">
        <v>55</v>
      </c>
      <c r="H341">
        <v>0</v>
      </c>
      <c r="I341" s="1">
        <v>45443</v>
      </c>
      <c r="J341">
        <v>3953489</v>
      </c>
    </row>
    <row r="342" spans="1:10">
      <c r="A342" t="s">
        <v>178</v>
      </c>
      <c r="B342">
        <v>175</v>
      </c>
      <c r="C342" s="1">
        <v>45504</v>
      </c>
      <c r="D342">
        <v>5777</v>
      </c>
      <c r="G342" t="s">
        <v>55</v>
      </c>
      <c r="H342">
        <v>0</v>
      </c>
      <c r="I342" s="1">
        <v>45473</v>
      </c>
      <c r="J342">
        <v>3813117</v>
      </c>
    </row>
    <row r="343" spans="1:10">
      <c r="A343" t="s">
        <v>178</v>
      </c>
      <c r="B343">
        <v>175</v>
      </c>
      <c r="C343" s="1">
        <v>45535</v>
      </c>
      <c r="D343">
        <v>5777</v>
      </c>
      <c r="G343" t="s">
        <v>55</v>
      </c>
      <c r="H343">
        <v>0</v>
      </c>
      <c r="I343" s="1">
        <v>45504</v>
      </c>
      <c r="J343">
        <v>3666801</v>
      </c>
    </row>
    <row r="344" spans="1:10">
      <c r="A344" t="s">
        <v>178</v>
      </c>
      <c r="B344">
        <v>175</v>
      </c>
      <c r="C344" s="1">
        <v>45565</v>
      </c>
      <c r="D344">
        <v>6065</v>
      </c>
      <c r="G344" t="s">
        <v>55</v>
      </c>
      <c r="H344">
        <v>0</v>
      </c>
      <c r="I344" s="1">
        <v>45535</v>
      </c>
      <c r="J344">
        <v>3520486</v>
      </c>
    </row>
    <row r="345" spans="1:10">
      <c r="A345" t="s">
        <v>178</v>
      </c>
      <c r="B345">
        <v>175</v>
      </c>
      <c r="C345" s="1">
        <v>45596</v>
      </c>
      <c r="D345">
        <v>6065</v>
      </c>
      <c r="G345" t="s">
        <v>55</v>
      </c>
      <c r="H345">
        <v>0</v>
      </c>
      <c r="I345" s="1">
        <v>45565</v>
      </c>
      <c r="J345">
        <v>3367930</v>
      </c>
    </row>
    <row r="346" spans="1:10">
      <c r="A346" t="s">
        <v>178</v>
      </c>
      <c r="B346">
        <v>175</v>
      </c>
      <c r="C346" s="1">
        <v>45626</v>
      </c>
      <c r="D346">
        <v>6369</v>
      </c>
      <c r="G346" t="s">
        <v>55</v>
      </c>
      <c r="H346">
        <v>0</v>
      </c>
      <c r="I346" s="1">
        <v>45596</v>
      </c>
      <c r="J346">
        <v>3215373</v>
      </c>
    </row>
    <row r="347" spans="1:10">
      <c r="A347" t="s">
        <v>178</v>
      </c>
      <c r="B347">
        <v>175</v>
      </c>
      <c r="C347" s="1">
        <v>45657</v>
      </c>
      <c r="D347">
        <v>6687</v>
      </c>
      <c r="G347" t="s">
        <v>55</v>
      </c>
      <c r="H347">
        <v>0</v>
      </c>
      <c r="I347" s="1">
        <v>45626</v>
      </c>
      <c r="J347">
        <v>3056263</v>
      </c>
    </row>
    <row r="348" spans="1:10">
      <c r="A348" t="s">
        <v>178</v>
      </c>
      <c r="B348">
        <v>175</v>
      </c>
      <c r="C348" s="1">
        <v>45688</v>
      </c>
      <c r="D348">
        <v>7021.37</v>
      </c>
      <c r="G348" t="s">
        <v>55</v>
      </c>
      <c r="H348">
        <v>0</v>
      </c>
      <c r="I348" s="1">
        <v>45657</v>
      </c>
      <c r="J348">
        <v>2890273.5</v>
      </c>
    </row>
    <row r="349" spans="1:10">
      <c r="A349" t="s">
        <v>178</v>
      </c>
      <c r="B349">
        <v>175</v>
      </c>
      <c r="C349" s="1">
        <v>45716</v>
      </c>
      <c r="D349">
        <v>7372</v>
      </c>
      <c r="G349" t="s">
        <v>55</v>
      </c>
      <c r="H349">
        <v>0</v>
      </c>
      <c r="I349" s="1">
        <v>45688</v>
      </c>
      <c r="J349">
        <v>2717058.59</v>
      </c>
    </row>
    <row r="350" spans="1:10">
      <c r="A350" t="s">
        <v>178</v>
      </c>
      <c r="B350">
        <v>175</v>
      </c>
      <c r="C350" s="1">
        <v>45747</v>
      </c>
      <c r="D350">
        <v>7741</v>
      </c>
      <c r="G350" t="s">
        <v>55</v>
      </c>
      <c r="H350">
        <v>0</v>
      </c>
      <c r="I350" s="1">
        <v>45716</v>
      </c>
      <c r="J350">
        <v>2536257.9300000002</v>
      </c>
    </row>
    <row r="351" spans="1:10">
      <c r="A351" t="s">
        <v>178</v>
      </c>
      <c r="B351">
        <v>175</v>
      </c>
      <c r="C351" s="1">
        <v>45777</v>
      </c>
      <c r="D351">
        <v>8128</v>
      </c>
      <c r="G351" t="s">
        <v>55</v>
      </c>
      <c r="H351">
        <v>0</v>
      </c>
      <c r="I351" s="1">
        <v>45747</v>
      </c>
      <c r="J351">
        <v>2347491.27</v>
      </c>
    </row>
    <row r="352" spans="1:10">
      <c r="A352" t="s">
        <v>178</v>
      </c>
      <c r="B352">
        <v>175</v>
      </c>
      <c r="C352" s="1">
        <v>45808</v>
      </c>
      <c r="D352">
        <v>8535</v>
      </c>
      <c r="G352" t="s">
        <v>55</v>
      </c>
      <c r="H352">
        <v>0</v>
      </c>
      <c r="I352" s="1">
        <v>45777</v>
      </c>
      <c r="J352">
        <v>2150361.61</v>
      </c>
    </row>
    <row r="353" spans="1:10">
      <c r="A353" t="s">
        <v>178</v>
      </c>
      <c r="B353">
        <v>175</v>
      </c>
      <c r="C353" s="1">
        <v>45838</v>
      </c>
      <c r="D353">
        <v>8961.25</v>
      </c>
      <c r="G353" t="s">
        <v>55</v>
      </c>
      <c r="H353">
        <v>0</v>
      </c>
      <c r="I353" s="1">
        <v>45808</v>
      </c>
      <c r="J353">
        <v>1944447.95</v>
      </c>
    </row>
    <row r="354" spans="1:10">
      <c r="A354" t="s">
        <v>178</v>
      </c>
      <c r="B354">
        <v>175</v>
      </c>
      <c r="C354" s="1">
        <v>45869</v>
      </c>
      <c r="D354">
        <v>9409.31</v>
      </c>
      <c r="G354" t="s">
        <v>55</v>
      </c>
      <c r="H354">
        <v>0</v>
      </c>
      <c r="I354" s="1">
        <v>45838</v>
      </c>
      <c r="J354">
        <v>1737715.74</v>
      </c>
    </row>
    <row r="355" spans="1:10">
      <c r="A355" t="s">
        <v>178</v>
      </c>
      <c r="B355">
        <v>175</v>
      </c>
      <c r="C355" s="1">
        <v>45900</v>
      </c>
      <c r="D355">
        <v>9879.7800000000007</v>
      </c>
      <c r="G355" t="s">
        <v>55</v>
      </c>
      <c r="H355">
        <v>0</v>
      </c>
      <c r="I355" s="1">
        <v>45869</v>
      </c>
      <c r="J355">
        <v>1513901.69</v>
      </c>
    </row>
    <row r="356" spans="1:10">
      <c r="A356" t="s">
        <v>178</v>
      </c>
      <c r="B356">
        <v>175</v>
      </c>
      <c r="C356" s="1">
        <v>45930</v>
      </c>
      <c r="D356">
        <v>10373.77</v>
      </c>
      <c r="G356" t="s">
        <v>55</v>
      </c>
      <c r="H356">
        <v>0</v>
      </c>
      <c r="I356" s="1">
        <v>45900</v>
      </c>
      <c r="J356">
        <v>1278921.7</v>
      </c>
    </row>
    <row r="357" spans="1:10">
      <c r="A357" t="s">
        <v>424</v>
      </c>
      <c r="B357">
        <v>0</v>
      </c>
      <c r="C357" s="1">
        <v>45291</v>
      </c>
      <c r="D357">
        <v>7562</v>
      </c>
      <c r="G357" t="s">
        <v>55</v>
      </c>
      <c r="H357">
        <v>0</v>
      </c>
      <c r="I357" s="1">
        <v>45930</v>
      </c>
      <c r="J357">
        <v>1033267.49</v>
      </c>
    </row>
    <row r="358" spans="1:10">
      <c r="A358" t="s">
        <v>424</v>
      </c>
      <c r="B358">
        <v>0</v>
      </c>
      <c r="C358" s="1">
        <v>45322</v>
      </c>
      <c r="D358">
        <v>4825</v>
      </c>
      <c r="G358" t="s">
        <v>216</v>
      </c>
      <c r="H358">
        <v>155</v>
      </c>
      <c r="I358" s="1">
        <v>45291</v>
      </c>
      <c r="J358">
        <v>55349.5</v>
      </c>
    </row>
    <row r="359" spans="1:10">
      <c r="A359" t="s">
        <v>424</v>
      </c>
      <c r="B359">
        <v>0</v>
      </c>
      <c r="C359" s="1">
        <v>45351</v>
      </c>
      <c r="D359">
        <v>7940</v>
      </c>
      <c r="G359" t="s">
        <v>216</v>
      </c>
      <c r="H359">
        <v>155</v>
      </c>
      <c r="I359" s="1">
        <v>45322</v>
      </c>
      <c r="J359">
        <v>55349.5</v>
      </c>
    </row>
    <row r="360" spans="1:10">
      <c r="A360" t="s">
        <v>424</v>
      </c>
      <c r="B360">
        <v>0</v>
      </c>
      <c r="C360" s="1">
        <v>45382</v>
      </c>
      <c r="D360">
        <v>5067</v>
      </c>
      <c r="G360" t="s">
        <v>216</v>
      </c>
      <c r="H360">
        <v>155</v>
      </c>
      <c r="I360" s="1">
        <v>45351</v>
      </c>
      <c r="J360">
        <v>55349.5</v>
      </c>
    </row>
    <row r="361" spans="1:10">
      <c r="A361" t="s">
        <v>424</v>
      </c>
      <c r="B361">
        <v>0</v>
      </c>
      <c r="C361" s="1">
        <v>45412</v>
      </c>
      <c r="D361">
        <v>8337</v>
      </c>
      <c r="G361" t="s">
        <v>216</v>
      </c>
      <c r="H361">
        <v>155</v>
      </c>
      <c r="I361" s="1">
        <v>45382</v>
      </c>
      <c r="J361">
        <v>55349.5</v>
      </c>
    </row>
    <row r="362" spans="1:10">
      <c r="A362" t="s">
        <v>424</v>
      </c>
      <c r="B362">
        <v>0</v>
      </c>
      <c r="C362" s="1">
        <v>45443</v>
      </c>
      <c r="D362">
        <v>5320</v>
      </c>
      <c r="G362" t="s">
        <v>216</v>
      </c>
      <c r="H362">
        <v>155</v>
      </c>
      <c r="I362" s="1">
        <v>45412</v>
      </c>
      <c r="J362">
        <v>55349.5</v>
      </c>
    </row>
    <row r="363" spans="1:10">
      <c r="A363" t="s">
        <v>424</v>
      </c>
      <c r="B363">
        <v>0</v>
      </c>
      <c r="C363" s="1">
        <v>45473</v>
      </c>
      <c r="D363">
        <v>8754</v>
      </c>
      <c r="G363" t="s">
        <v>216</v>
      </c>
      <c r="H363">
        <v>155</v>
      </c>
      <c r="I363" s="1">
        <v>45443</v>
      </c>
      <c r="J363">
        <v>55349.5</v>
      </c>
    </row>
    <row r="364" spans="1:10">
      <c r="A364" t="s">
        <v>424</v>
      </c>
      <c r="B364">
        <v>0</v>
      </c>
      <c r="C364" s="1">
        <v>45504</v>
      </c>
      <c r="D364">
        <v>9193</v>
      </c>
      <c r="G364" t="s">
        <v>216</v>
      </c>
      <c r="H364">
        <v>155</v>
      </c>
      <c r="I364" s="1">
        <v>45473</v>
      </c>
      <c r="J364">
        <v>55349.5</v>
      </c>
    </row>
    <row r="365" spans="1:10">
      <c r="A365" t="s">
        <v>424</v>
      </c>
      <c r="B365">
        <v>0</v>
      </c>
      <c r="C365" s="1">
        <v>45535</v>
      </c>
      <c r="D365">
        <v>9193</v>
      </c>
      <c r="G365" t="s">
        <v>216</v>
      </c>
      <c r="H365">
        <v>155</v>
      </c>
      <c r="I365" s="1">
        <v>45504</v>
      </c>
      <c r="J365">
        <v>55349.5</v>
      </c>
    </row>
    <row r="366" spans="1:10">
      <c r="A366" t="s">
        <v>424</v>
      </c>
      <c r="B366">
        <v>0</v>
      </c>
      <c r="C366" s="1">
        <v>45565</v>
      </c>
      <c r="D366">
        <v>9651</v>
      </c>
      <c r="G366" t="s">
        <v>216</v>
      </c>
      <c r="H366">
        <v>155</v>
      </c>
      <c r="I366" s="1">
        <v>45535</v>
      </c>
      <c r="J366">
        <v>55349.5</v>
      </c>
    </row>
    <row r="367" spans="1:10">
      <c r="A367" t="s">
        <v>424</v>
      </c>
      <c r="B367">
        <v>0</v>
      </c>
      <c r="C367" s="1">
        <v>45596</v>
      </c>
      <c r="D367">
        <v>9651</v>
      </c>
      <c r="G367" t="s">
        <v>216</v>
      </c>
      <c r="H367">
        <v>155</v>
      </c>
      <c r="I367" s="1">
        <v>45565</v>
      </c>
      <c r="J367">
        <v>55349.5</v>
      </c>
    </row>
    <row r="368" spans="1:10">
      <c r="A368" t="s">
        <v>424</v>
      </c>
      <c r="B368">
        <v>0</v>
      </c>
      <c r="C368" s="1">
        <v>45626</v>
      </c>
      <c r="D368">
        <v>10135</v>
      </c>
      <c r="G368" t="s">
        <v>216</v>
      </c>
      <c r="H368">
        <v>155</v>
      </c>
      <c r="I368" s="1">
        <v>45596</v>
      </c>
      <c r="J368">
        <v>55349.5</v>
      </c>
    </row>
    <row r="369" spans="1:10">
      <c r="A369" t="s">
        <v>424</v>
      </c>
      <c r="B369">
        <v>0</v>
      </c>
      <c r="C369" s="1">
        <v>45657</v>
      </c>
      <c r="D369">
        <v>10641</v>
      </c>
      <c r="G369" t="s">
        <v>216</v>
      </c>
      <c r="H369">
        <v>155</v>
      </c>
      <c r="I369" s="1">
        <v>45626</v>
      </c>
      <c r="J369">
        <v>55349.5</v>
      </c>
    </row>
    <row r="370" spans="1:10">
      <c r="A370" t="s">
        <v>424</v>
      </c>
      <c r="B370">
        <v>0</v>
      </c>
      <c r="C370" s="1">
        <v>45688</v>
      </c>
      <c r="D370">
        <v>11172.98</v>
      </c>
      <c r="G370" t="s">
        <v>216</v>
      </c>
      <c r="H370">
        <v>155</v>
      </c>
      <c r="I370" s="1">
        <v>45657</v>
      </c>
      <c r="J370">
        <v>55349.5</v>
      </c>
    </row>
    <row r="371" spans="1:10">
      <c r="A371" t="s">
        <v>424</v>
      </c>
      <c r="B371">
        <v>0</v>
      </c>
      <c r="C371" s="1">
        <v>45716</v>
      </c>
      <c r="D371">
        <v>11731</v>
      </c>
      <c r="G371" t="s">
        <v>216</v>
      </c>
      <c r="H371">
        <v>155</v>
      </c>
      <c r="I371" s="1">
        <v>45688</v>
      </c>
      <c r="J371">
        <v>55349.5</v>
      </c>
    </row>
    <row r="372" spans="1:10">
      <c r="A372" t="s">
        <v>424</v>
      </c>
      <c r="B372">
        <v>0</v>
      </c>
      <c r="C372" s="1">
        <v>45747</v>
      </c>
      <c r="D372">
        <v>12318</v>
      </c>
      <c r="G372" t="s">
        <v>216</v>
      </c>
      <c r="H372">
        <v>155</v>
      </c>
      <c r="I372" s="1">
        <v>45716</v>
      </c>
      <c r="J372">
        <v>55349.5</v>
      </c>
    </row>
    <row r="373" spans="1:10">
      <c r="A373" t="s">
        <v>424</v>
      </c>
      <c r="B373">
        <v>0</v>
      </c>
      <c r="C373" s="1">
        <v>45777</v>
      </c>
      <c r="D373">
        <v>12934</v>
      </c>
      <c r="G373" t="s">
        <v>216</v>
      </c>
      <c r="H373">
        <v>155</v>
      </c>
      <c r="I373" s="1">
        <v>45747</v>
      </c>
      <c r="J373">
        <v>55349.5</v>
      </c>
    </row>
    <row r="374" spans="1:10">
      <c r="A374" t="s">
        <v>424</v>
      </c>
      <c r="B374">
        <v>0</v>
      </c>
      <c r="C374" s="1">
        <v>45808</v>
      </c>
      <c r="D374">
        <v>13581</v>
      </c>
      <c r="G374" t="s">
        <v>216</v>
      </c>
      <c r="H374">
        <v>155</v>
      </c>
      <c r="I374" s="1">
        <v>45777</v>
      </c>
      <c r="J374">
        <v>55349.5</v>
      </c>
    </row>
    <row r="375" spans="1:10">
      <c r="A375" t="s">
        <v>424</v>
      </c>
      <c r="B375">
        <v>0</v>
      </c>
      <c r="C375" s="1">
        <v>45838</v>
      </c>
      <c r="D375">
        <v>14259.88</v>
      </c>
      <c r="G375" t="s">
        <v>216</v>
      </c>
      <c r="H375">
        <v>155</v>
      </c>
      <c r="I375" s="1">
        <v>45808</v>
      </c>
      <c r="J375">
        <v>55349.5</v>
      </c>
    </row>
    <row r="376" spans="1:10">
      <c r="A376" t="s">
        <v>424</v>
      </c>
      <c r="B376">
        <v>0</v>
      </c>
      <c r="C376" s="1">
        <v>45869</v>
      </c>
      <c r="D376">
        <v>14972.87</v>
      </c>
      <c r="G376" t="s">
        <v>216</v>
      </c>
      <c r="H376">
        <v>155</v>
      </c>
      <c r="I376" s="1">
        <v>45838</v>
      </c>
      <c r="J376">
        <v>55349.5</v>
      </c>
    </row>
    <row r="377" spans="1:10">
      <c r="A377" t="s">
        <v>424</v>
      </c>
      <c r="B377">
        <v>0</v>
      </c>
      <c r="C377" s="1">
        <v>45900</v>
      </c>
      <c r="D377">
        <v>15721.51</v>
      </c>
      <c r="G377" t="s">
        <v>216</v>
      </c>
      <c r="H377">
        <v>155</v>
      </c>
      <c r="I377" s="1">
        <v>45869</v>
      </c>
      <c r="J377">
        <v>55349.5</v>
      </c>
    </row>
    <row r="378" spans="1:10">
      <c r="A378" t="s">
        <v>424</v>
      </c>
      <c r="B378">
        <v>0</v>
      </c>
      <c r="C378" s="1">
        <v>45930</v>
      </c>
      <c r="D378">
        <v>16507.59</v>
      </c>
      <c r="G378" t="s">
        <v>216</v>
      </c>
      <c r="H378">
        <v>155</v>
      </c>
      <c r="I378" s="1">
        <v>45900</v>
      </c>
      <c r="J378">
        <v>55349.5</v>
      </c>
    </row>
    <row r="379" spans="1:10">
      <c r="A379" t="s">
        <v>179</v>
      </c>
      <c r="B379">
        <v>176</v>
      </c>
      <c r="C379" s="1">
        <v>45291</v>
      </c>
      <c r="D379">
        <v>5903</v>
      </c>
      <c r="G379" t="s">
        <v>216</v>
      </c>
      <c r="H379">
        <v>155</v>
      </c>
      <c r="I379" s="1">
        <v>45930</v>
      </c>
      <c r="J379">
        <v>55349.5</v>
      </c>
    </row>
    <row r="380" spans="1:10">
      <c r="A380" t="s">
        <v>179</v>
      </c>
      <c r="B380">
        <v>176</v>
      </c>
      <c r="C380" s="1">
        <v>45322</v>
      </c>
      <c r="D380">
        <v>3343</v>
      </c>
      <c r="G380" t="s">
        <v>221</v>
      </c>
      <c r="H380">
        <v>7</v>
      </c>
      <c r="I380" s="1">
        <v>45838</v>
      </c>
      <c r="J380">
        <v>1000</v>
      </c>
    </row>
    <row r="381" spans="1:10">
      <c r="A381" t="s">
        <v>179</v>
      </c>
      <c r="B381">
        <v>176</v>
      </c>
      <c r="C381" s="1">
        <v>45351</v>
      </c>
      <c r="D381">
        <v>6198</v>
      </c>
      <c r="G381" t="s">
        <v>221</v>
      </c>
      <c r="H381">
        <v>7</v>
      </c>
      <c r="I381" s="1">
        <v>45869</v>
      </c>
      <c r="J381">
        <v>1000</v>
      </c>
    </row>
    <row r="382" spans="1:10">
      <c r="A382" t="s">
        <v>179</v>
      </c>
      <c r="B382">
        <v>176</v>
      </c>
      <c r="C382" s="1">
        <v>45382</v>
      </c>
      <c r="D382">
        <v>3510</v>
      </c>
      <c r="G382" t="s">
        <v>221</v>
      </c>
      <c r="H382">
        <v>7</v>
      </c>
      <c r="I382" s="1">
        <v>45900</v>
      </c>
      <c r="J382">
        <v>1000</v>
      </c>
    </row>
    <row r="383" spans="1:10">
      <c r="A383" t="s">
        <v>179</v>
      </c>
      <c r="B383">
        <v>176</v>
      </c>
      <c r="C383" s="1">
        <v>45412</v>
      </c>
      <c r="D383">
        <v>6508</v>
      </c>
      <c r="G383" t="s">
        <v>221</v>
      </c>
      <c r="H383">
        <v>7</v>
      </c>
      <c r="I383" s="1">
        <v>45930</v>
      </c>
      <c r="J383">
        <v>1000</v>
      </c>
    </row>
    <row r="384" spans="1:10">
      <c r="A384" t="s">
        <v>179</v>
      </c>
      <c r="B384">
        <v>176</v>
      </c>
      <c r="C384" s="1">
        <v>45443</v>
      </c>
      <c r="D384">
        <v>3685</v>
      </c>
      <c r="G384" t="s">
        <v>425</v>
      </c>
      <c r="H384">
        <v>0</v>
      </c>
      <c r="I384" s="1">
        <v>45291</v>
      </c>
      <c r="J384">
        <v>55349.5</v>
      </c>
    </row>
    <row r="385" spans="1:10">
      <c r="A385" t="s">
        <v>179</v>
      </c>
      <c r="B385">
        <v>176</v>
      </c>
      <c r="C385" s="1">
        <v>45473</v>
      </c>
      <c r="D385">
        <v>6833</v>
      </c>
      <c r="G385" t="s">
        <v>425</v>
      </c>
      <c r="H385">
        <v>0</v>
      </c>
      <c r="I385" s="1">
        <v>45322</v>
      </c>
      <c r="J385">
        <v>55349.5</v>
      </c>
    </row>
    <row r="386" spans="1:10">
      <c r="A386" t="s">
        <v>179</v>
      </c>
      <c r="B386">
        <v>176</v>
      </c>
      <c r="C386" s="1">
        <v>45504</v>
      </c>
      <c r="D386">
        <v>7175</v>
      </c>
      <c r="G386" t="s">
        <v>425</v>
      </c>
      <c r="H386">
        <v>0</v>
      </c>
      <c r="I386" s="1">
        <v>45351</v>
      </c>
      <c r="J386">
        <v>55349.5</v>
      </c>
    </row>
    <row r="387" spans="1:10">
      <c r="A387" t="s">
        <v>179</v>
      </c>
      <c r="B387">
        <v>176</v>
      </c>
      <c r="C387" s="1">
        <v>45535</v>
      </c>
      <c r="D387">
        <v>7175</v>
      </c>
      <c r="G387" t="s">
        <v>425</v>
      </c>
      <c r="H387">
        <v>0</v>
      </c>
      <c r="I387" s="1">
        <v>45382</v>
      </c>
      <c r="J387">
        <v>55349.5</v>
      </c>
    </row>
    <row r="388" spans="1:10">
      <c r="A388" t="s">
        <v>179</v>
      </c>
      <c r="B388">
        <v>176</v>
      </c>
      <c r="C388" s="1">
        <v>45565</v>
      </c>
      <c r="D388">
        <v>7533</v>
      </c>
      <c r="G388" t="s">
        <v>425</v>
      </c>
      <c r="H388">
        <v>0</v>
      </c>
      <c r="I388" s="1">
        <v>45412</v>
      </c>
      <c r="J388">
        <v>55349.5</v>
      </c>
    </row>
    <row r="389" spans="1:10">
      <c r="A389" t="s">
        <v>179</v>
      </c>
      <c r="B389">
        <v>176</v>
      </c>
      <c r="C389" s="1">
        <v>45596</v>
      </c>
      <c r="D389">
        <v>7533</v>
      </c>
      <c r="G389" t="s">
        <v>425</v>
      </c>
      <c r="H389">
        <v>0</v>
      </c>
      <c r="I389" s="1">
        <v>45443</v>
      </c>
      <c r="J389">
        <v>55349.5</v>
      </c>
    </row>
    <row r="390" spans="1:10">
      <c r="A390" t="s">
        <v>179</v>
      </c>
      <c r="B390">
        <v>176</v>
      </c>
      <c r="C390" s="1">
        <v>45626</v>
      </c>
      <c r="D390">
        <v>7910</v>
      </c>
      <c r="G390" t="s">
        <v>425</v>
      </c>
      <c r="H390">
        <v>0</v>
      </c>
      <c r="I390" s="1">
        <v>45473</v>
      </c>
      <c r="J390">
        <v>55349.5</v>
      </c>
    </row>
    <row r="391" spans="1:10">
      <c r="A391" t="s">
        <v>179</v>
      </c>
      <c r="B391">
        <v>176</v>
      </c>
      <c r="C391" s="1">
        <v>45657</v>
      </c>
      <c r="D391">
        <v>8305</v>
      </c>
      <c r="G391" t="s">
        <v>425</v>
      </c>
      <c r="H391">
        <v>0</v>
      </c>
      <c r="I391" s="1">
        <v>45504</v>
      </c>
      <c r="J391">
        <v>55349.5</v>
      </c>
    </row>
    <row r="392" spans="1:10">
      <c r="A392" t="s">
        <v>179</v>
      </c>
      <c r="B392">
        <v>176</v>
      </c>
      <c r="C392" s="1">
        <v>45688</v>
      </c>
      <c r="D392">
        <v>8720.74</v>
      </c>
      <c r="G392" t="s">
        <v>425</v>
      </c>
      <c r="H392">
        <v>0</v>
      </c>
      <c r="I392" s="1">
        <v>45535</v>
      </c>
      <c r="J392">
        <v>55349.5</v>
      </c>
    </row>
    <row r="393" spans="1:10">
      <c r="A393" t="s">
        <v>179</v>
      </c>
      <c r="B393">
        <v>176</v>
      </c>
      <c r="C393" s="1">
        <v>45716</v>
      </c>
      <c r="D393">
        <v>9157</v>
      </c>
      <c r="G393" t="s">
        <v>425</v>
      </c>
      <c r="H393">
        <v>0</v>
      </c>
      <c r="I393" s="1">
        <v>45565</v>
      </c>
      <c r="J393">
        <v>55349.5</v>
      </c>
    </row>
    <row r="394" spans="1:10">
      <c r="A394" t="s">
        <v>179</v>
      </c>
      <c r="B394">
        <v>176</v>
      </c>
      <c r="C394" s="1">
        <v>45747</v>
      </c>
      <c r="D394">
        <v>9615</v>
      </c>
      <c r="G394" t="s">
        <v>425</v>
      </c>
      <c r="H394">
        <v>0</v>
      </c>
      <c r="I394" s="1">
        <v>45596</v>
      </c>
      <c r="J394">
        <v>55349.5</v>
      </c>
    </row>
    <row r="395" spans="1:10">
      <c r="A395" t="s">
        <v>179</v>
      </c>
      <c r="B395">
        <v>176</v>
      </c>
      <c r="C395" s="1">
        <v>45777</v>
      </c>
      <c r="D395">
        <v>10095</v>
      </c>
      <c r="G395" t="s">
        <v>425</v>
      </c>
      <c r="H395">
        <v>0</v>
      </c>
      <c r="I395" s="1">
        <v>45626</v>
      </c>
      <c r="J395">
        <v>55349.5</v>
      </c>
    </row>
    <row r="396" spans="1:10">
      <c r="A396" t="s">
        <v>179</v>
      </c>
      <c r="B396">
        <v>176</v>
      </c>
      <c r="C396" s="1">
        <v>45808</v>
      </c>
      <c r="D396">
        <v>10600</v>
      </c>
      <c r="G396" t="s">
        <v>425</v>
      </c>
      <c r="H396">
        <v>0</v>
      </c>
      <c r="I396" s="1">
        <v>45657</v>
      </c>
      <c r="J396">
        <v>55349.5</v>
      </c>
    </row>
    <row r="397" spans="1:10">
      <c r="A397" t="s">
        <v>179</v>
      </c>
      <c r="B397">
        <v>176</v>
      </c>
      <c r="C397" s="1">
        <v>45838</v>
      </c>
      <c r="D397">
        <v>11130.12</v>
      </c>
      <c r="G397" t="s">
        <v>425</v>
      </c>
      <c r="H397">
        <v>0</v>
      </c>
      <c r="I397" s="1">
        <v>45688</v>
      </c>
      <c r="J397">
        <v>55349.5</v>
      </c>
    </row>
    <row r="398" spans="1:10">
      <c r="A398" t="s">
        <v>179</v>
      </c>
      <c r="B398">
        <v>176</v>
      </c>
      <c r="C398" s="1">
        <v>45869</v>
      </c>
      <c r="D398">
        <v>11686.62</v>
      </c>
      <c r="G398" t="s">
        <v>425</v>
      </c>
      <c r="H398">
        <v>0</v>
      </c>
      <c r="I398" s="1">
        <v>45716</v>
      </c>
      <c r="J398">
        <v>55349.5</v>
      </c>
    </row>
    <row r="399" spans="1:10">
      <c r="A399" t="s">
        <v>179</v>
      </c>
      <c r="B399">
        <v>176</v>
      </c>
      <c r="C399" s="1">
        <v>45900</v>
      </c>
      <c r="D399">
        <v>12270.95</v>
      </c>
      <c r="G399" t="s">
        <v>425</v>
      </c>
      <c r="H399">
        <v>0</v>
      </c>
      <c r="I399" s="1">
        <v>45747</v>
      </c>
      <c r="J399">
        <v>55349.5</v>
      </c>
    </row>
    <row r="400" spans="1:10">
      <c r="A400" t="s">
        <v>179</v>
      </c>
      <c r="B400">
        <v>176</v>
      </c>
      <c r="C400" s="1">
        <v>45930</v>
      </c>
      <c r="D400">
        <v>12884.5</v>
      </c>
      <c r="G400" t="s">
        <v>425</v>
      </c>
      <c r="H400">
        <v>0</v>
      </c>
      <c r="I400" s="1">
        <v>45777</v>
      </c>
      <c r="J400">
        <v>55349.5</v>
      </c>
    </row>
    <row r="401" spans="1:10">
      <c r="A401" t="s">
        <v>180</v>
      </c>
      <c r="B401">
        <v>178</v>
      </c>
      <c r="C401" s="1">
        <v>45291</v>
      </c>
      <c r="D401">
        <v>32623</v>
      </c>
      <c r="G401" t="s">
        <v>425</v>
      </c>
      <c r="H401">
        <v>0</v>
      </c>
      <c r="I401" s="1">
        <v>45808</v>
      </c>
      <c r="J401">
        <v>55349.5</v>
      </c>
    </row>
    <row r="402" spans="1:10">
      <c r="A402" t="s">
        <v>180</v>
      </c>
      <c r="B402">
        <v>178</v>
      </c>
      <c r="C402" s="1">
        <v>45322</v>
      </c>
      <c r="D402">
        <v>19075</v>
      </c>
      <c r="G402" t="s">
        <v>425</v>
      </c>
      <c r="H402">
        <v>0</v>
      </c>
      <c r="I402" s="1">
        <v>45838</v>
      </c>
      <c r="J402">
        <v>56349.5</v>
      </c>
    </row>
    <row r="403" spans="1:10">
      <c r="A403" t="s">
        <v>180</v>
      </c>
      <c r="B403">
        <v>178</v>
      </c>
      <c r="C403" s="1">
        <v>45351</v>
      </c>
      <c r="D403">
        <v>34254</v>
      </c>
      <c r="G403" t="s">
        <v>425</v>
      </c>
      <c r="H403">
        <v>0</v>
      </c>
      <c r="I403" s="1">
        <v>45869</v>
      </c>
      <c r="J403">
        <v>56349.5</v>
      </c>
    </row>
    <row r="404" spans="1:10">
      <c r="A404" t="s">
        <v>180</v>
      </c>
      <c r="B404">
        <v>178</v>
      </c>
      <c r="C404" s="1">
        <v>45382</v>
      </c>
      <c r="D404">
        <v>20028</v>
      </c>
      <c r="G404" t="s">
        <v>425</v>
      </c>
      <c r="H404">
        <v>0</v>
      </c>
      <c r="I404" s="1">
        <v>45900</v>
      </c>
      <c r="J404">
        <v>56349.5</v>
      </c>
    </row>
    <row r="405" spans="1:10">
      <c r="A405" t="s">
        <v>180</v>
      </c>
      <c r="B405">
        <v>178</v>
      </c>
      <c r="C405" s="1">
        <v>45412</v>
      </c>
      <c r="D405">
        <v>35967</v>
      </c>
      <c r="G405" t="s">
        <v>425</v>
      </c>
      <c r="H405">
        <v>0</v>
      </c>
      <c r="I405" s="1">
        <v>45930</v>
      </c>
      <c r="J405">
        <v>56349.5</v>
      </c>
    </row>
    <row r="406" spans="1:10">
      <c r="A406" t="s">
        <v>180</v>
      </c>
      <c r="B406">
        <v>178</v>
      </c>
      <c r="C406" s="1">
        <v>45443</v>
      </c>
      <c r="D406">
        <v>21030</v>
      </c>
      <c r="G406" t="s">
        <v>217</v>
      </c>
      <c r="H406">
        <v>156</v>
      </c>
      <c r="I406" s="1">
        <v>45291</v>
      </c>
      <c r="J406">
        <v>1624.5</v>
      </c>
    </row>
    <row r="407" spans="1:10">
      <c r="A407" t="s">
        <v>180</v>
      </c>
      <c r="B407">
        <v>178</v>
      </c>
      <c r="C407" s="1">
        <v>45473</v>
      </c>
      <c r="D407">
        <v>37765</v>
      </c>
      <c r="G407" t="s">
        <v>217</v>
      </c>
      <c r="H407">
        <v>156</v>
      </c>
      <c r="I407" s="1">
        <v>45322</v>
      </c>
      <c r="J407">
        <v>1624.5</v>
      </c>
    </row>
    <row r="408" spans="1:10">
      <c r="A408" t="s">
        <v>180</v>
      </c>
      <c r="B408">
        <v>178</v>
      </c>
      <c r="C408" s="1">
        <v>45504</v>
      </c>
      <c r="D408">
        <v>39653</v>
      </c>
      <c r="G408" t="s">
        <v>217</v>
      </c>
      <c r="H408">
        <v>156</v>
      </c>
      <c r="I408" s="1">
        <v>45351</v>
      </c>
      <c r="J408">
        <v>1624.5</v>
      </c>
    </row>
    <row r="409" spans="1:10">
      <c r="A409" t="s">
        <v>180</v>
      </c>
      <c r="B409">
        <v>178</v>
      </c>
      <c r="C409" s="1">
        <v>45535</v>
      </c>
      <c r="D409">
        <v>39653</v>
      </c>
      <c r="G409" t="s">
        <v>217</v>
      </c>
      <c r="H409">
        <v>156</v>
      </c>
      <c r="I409" s="1">
        <v>45382</v>
      </c>
      <c r="J409">
        <v>1624.5</v>
      </c>
    </row>
    <row r="410" spans="1:10">
      <c r="A410" t="s">
        <v>180</v>
      </c>
      <c r="B410">
        <v>178</v>
      </c>
      <c r="C410" s="1">
        <v>45565</v>
      </c>
      <c r="D410">
        <v>41636</v>
      </c>
      <c r="G410" t="s">
        <v>217</v>
      </c>
      <c r="H410">
        <v>156</v>
      </c>
      <c r="I410" s="1">
        <v>45412</v>
      </c>
      <c r="J410">
        <v>1624.5</v>
      </c>
    </row>
    <row r="411" spans="1:10">
      <c r="A411" t="s">
        <v>180</v>
      </c>
      <c r="B411">
        <v>178</v>
      </c>
      <c r="C411" s="1">
        <v>45596</v>
      </c>
      <c r="D411">
        <v>41636</v>
      </c>
      <c r="G411" t="s">
        <v>217</v>
      </c>
      <c r="H411">
        <v>156</v>
      </c>
      <c r="I411" s="1">
        <v>45443</v>
      </c>
      <c r="J411">
        <v>1624.5</v>
      </c>
    </row>
    <row r="412" spans="1:10">
      <c r="A412" t="s">
        <v>180</v>
      </c>
      <c r="B412">
        <v>178</v>
      </c>
      <c r="C412" s="1">
        <v>45626</v>
      </c>
      <c r="D412">
        <v>43718</v>
      </c>
      <c r="G412" t="s">
        <v>217</v>
      </c>
      <c r="H412">
        <v>156</v>
      </c>
      <c r="I412" s="1">
        <v>45473</v>
      </c>
      <c r="J412">
        <v>1624.5</v>
      </c>
    </row>
    <row r="413" spans="1:10">
      <c r="A413" t="s">
        <v>180</v>
      </c>
      <c r="B413">
        <v>178</v>
      </c>
      <c r="C413" s="1">
        <v>45657</v>
      </c>
      <c r="D413">
        <v>45904</v>
      </c>
      <c r="G413" t="s">
        <v>217</v>
      </c>
      <c r="H413">
        <v>156</v>
      </c>
      <c r="I413" s="1">
        <v>45504</v>
      </c>
      <c r="J413">
        <v>1624.5</v>
      </c>
    </row>
    <row r="414" spans="1:10">
      <c r="A414" t="s">
        <v>180</v>
      </c>
      <c r="B414">
        <v>178</v>
      </c>
      <c r="C414" s="1">
        <v>45688</v>
      </c>
      <c r="D414">
        <v>48198.73</v>
      </c>
      <c r="G414" t="s">
        <v>217</v>
      </c>
      <c r="H414">
        <v>156</v>
      </c>
      <c r="I414" s="1">
        <v>45535</v>
      </c>
      <c r="J414">
        <v>1624.5</v>
      </c>
    </row>
    <row r="415" spans="1:10">
      <c r="A415" t="s">
        <v>180</v>
      </c>
      <c r="B415">
        <v>178</v>
      </c>
      <c r="C415" s="1">
        <v>45716</v>
      </c>
      <c r="D415">
        <v>50609</v>
      </c>
      <c r="G415" t="s">
        <v>217</v>
      </c>
      <c r="H415">
        <v>156</v>
      </c>
      <c r="I415" s="1">
        <v>45565</v>
      </c>
      <c r="J415">
        <v>1624.5</v>
      </c>
    </row>
    <row r="416" spans="1:10">
      <c r="A416" t="s">
        <v>180</v>
      </c>
      <c r="B416">
        <v>178</v>
      </c>
      <c r="C416" s="1">
        <v>45747</v>
      </c>
      <c r="D416">
        <v>53139</v>
      </c>
      <c r="G416" t="s">
        <v>217</v>
      </c>
      <c r="H416">
        <v>156</v>
      </c>
      <c r="I416" s="1">
        <v>45596</v>
      </c>
      <c r="J416">
        <v>1624.5</v>
      </c>
    </row>
    <row r="417" spans="1:10">
      <c r="A417" t="s">
        <v>180</v>
      </c>
      <c r="B417">
        <v>178</v>
      </c>
      <c r="C417" s="1">
        <v>45777</v>
      </c>
      <c r="D417">
        <v>55796</v>
      </c>
      <c r="G417" t="s">
        <v>217</v>
      </c>
      <c r="H417">
        <v>156</v>
      </c>
      <c r="I417" s="1">
        <v>45626</v>
      </c>
      <c r="J417">
        <v>1624.5</v>
      </c>
    </row>
    <row r="418" spans="1:10">
      <c r="A418" t="s">
        <v>180</v>
      </c>
      <c r="B418">
        <v>178</v>
      </c>
      <c r="C418" s="1">
        <v>45808</v>
      </c>
      <c r="D418">
        <v>58586</v>
      </c>
      <c r="G418" t="s">
        <v>217</v>
      </c>
      <c r="H418">
        <v>156</v>
      </c>
      <c r="I418" s="1">
        <v>45657</v>
      </c>
      <c r="J418">
        <v>1624.5</v>
      </c>
    </row>
    <row r="419" spans="1:10">
      <c r="A419" t="s">
        <v>180</v>
      </c>
      <c r="B419">
        <v>178</v>
      </c>
      <c r="C419" s="1">
        <v>45838</v>
      </c>
      <c r="D419">
        <v>61515.15</v>
      </c>
      <c r="G419" t="s">
        <v>217</v>
      </c>
      <c r="H419">
        <v>156</v>
      </c>
      <c r="I419" s="1">
        <v>45688</v>
      </c>
      <c r="J419">
        <v>1624.5</v>
      </c>
    </row>
    <row r="420" spans="1:10">
      <c r="A420" t="s">
        <v>180</v>
      </c>
      <c r="B420">
        <v>178</v>
      </c>
      <c r="C420" s="1">
        <v>45869</v>
      </c>
      <c r="D420">
        <v>64590.9</v>
      </c>
      <c r="G420" t="s">
        <v>217</v>
      </c>
      <c r="H420">
        <v>156</v>
      </c>
      <c r="I420" s="1">
        <v>45716</v>
      </c>
      <c r="J420">
        <v>1624.5</v>
      </c>
    </row>
    <row r="421" spans="1:10">
      <c r="A421" t="s">
        <v>180</v>
      </c>
      <c r="B421">
        <v>178</v>
      </c>
      <c r="C421" s="1">
        <v>45900</v>
      </c>
      <c r="D421">
        <v>67820.45</v>
      </c>
      <c r="G421" t="s">
        <v>217</v>
      </c>
      <c r="H421">
        <v>156</v>
      </c>
      <c r="I421" s="1">
        <v>45747</v>
      </c>
      <c r="J421">
        <v>1624.5</v>
      </c>
    </row>
    <row r="422" spans="1:10">
      <c r="A422" t="s">
        <v>180</v>
      </c>
      <c r="B422">
        <v>178</v>
      </c>
      <c r="C422" s="1">
        <v>45930</v>
      </c>
      <c r="D422">
        <v>71211.47</v>
      </c>
      <c r="G422" t="s">
        <v>217</v>
      </c>
      <c r="H422">
        <v>156</v>
      </c>
      <c r="I422" s="1">
        <v>45777</v>
      </c>
      <c r="J422">
        <v>1624.5</v>
      </c>
    </row>
    <row r="423" spans="1:10">
      <c r="A423" t="s">
        <v>181</v>
      </c>
      <c r="B423">
        <v>179</v>
      </c>
      <c r="C423" s="1">
        <v>45291</v>
      </c>
      <c r="D423">
        <v>3229</v>
      </c>
      <c r="G423" t="s">
        <v>217</v>
      </c>
      <c r="H423">
        <v>156</v>
      </c>
      <c r="I423" s="1">
        <v>45808</v>
      </c>
      <c r="J423">
        <v>1624.5</v>
      </c>
    </row>
    <row r="424" spans="1:10">
      <c r="A424" t="s">
        <v>181</v>
      </c>
      <c r="B424">
        <v>179</v>
      </c>
      <c r="C424" s="1">
        <v>45322</v>
      </c>
      <c r="D424">
        <v>1768</v>
      </c>
      <c r="G424" t="s">
        <v>217</v>
      </c>
      <c r="H424">
        <v>156</v>
      </c>
      <c r="I424" s="1">
        <v>45838</v>
      </c>
      <c r="J424">
        <v>1624.5</v>
      </c>
    </row>
    <row r="425" spans="1:10">
      <c r="A425" t="s">
        <v>181</v>
      </c>
      <c r="B425">
        <v>179</v>
      </c>
      <c r="C425" s="1">
        <v>45351</v>
      </c>
      <c r="D425">
        <v>3390</v>
      </c>
      <c r="G425" t="s">
        <v>217</v>
      </c>
      <c r="H425">
        <v>156</v>
      </c>
      <c r="I425" s="1">
        <v>45869</v>
      </c>
      <c r="J425">
        <v>1624.5</v>
      </c>
    </row>
    <row r="426" spans="1:10">
      <c r="A426" t="s">
        <v>181</v>
      </c>
      <c r="B426">
        <v>179</v>
      </c>
      <c r="C426" s="1">
        <v>45382</v>
      </c>
      <c r="D426">
        <v>1857</v>
      </c>
      <c r="G426" t="s">
        <v>217</v>
      </c>
      <c r="H426">
        <v>156</v>
      </c>
      <c r="I426" s="1">
        <v>45900</v>
      </c>
      <c r="J426">
        <v>1624.5</v>
      </c>
    </row>
    <row r="427" spans="1:10">
      <c r="A427" t="s">
        <v>181</v>
      </c>
      <c r="B427">
        <v>179</v>
      </c>
      <c r="C427" s="1">
        <v>45412</v>
      </c>
      <c r="D427">
        <v>3560</v>
      </c>
      <c r="G427" t="s">
        <v>217</v>
      </c>
      <c r="H427">
        <v>156</v>
      </c>
      <c r="I427" s="1">
        <v>45930</v>
      </c>
      <c r="J427">
        <v>1624.5</v>
      </c>
    </row>
    <row r="428" spans="1:10">
      <c r="A428" t="s">
        <v>181</v>
      </c>
      <c r="B428">
        <v>179</v>
      </c>
      <c r="C428" s="1">
        <v>45443</v>
      </c>
      <c r="D428">
        <v>1950</v>
      </c>
      <c r="G428" t="s">
        <v>218</v>
      </c>
      <c r="H428">
        <v>157</v>
      </c>
      <c r="I428" s="1">
        <v>45291</v>
      </c>
      <c r="J428">
        <v>1353.5</v>
      </c>
    </row>
    <row r="429" spans="1:10">
      <c r="A429" t="s">
        <v>181</v>
      </c>
      <c r="B429">
        <v>179</v>
      </c>
      <c r="C429" s="1">
        <v>45473</v>
      </c>
      <c r="D429">
        <v>3738</v>
      </c>
      <c r="G429" t="s">
        <v>218</v>
      </c>
      <c r="H429">
        <v>157</v>
      </c>
      <c r="I429" s="1">
        <v>45322</v>
      </c>
      <c r="J429">
        <v>1353.5</v>
      </c>
    </row>
    <row r="430" spans="1:10">
      <c r="A430" t="s">
        <v>181</v>
      </c>
      <c r="B430">
        <v>179</v>
      </c>
      <c r="C430" s="1">
        <v>45504</v>
      </c>
      <c r="D430">
        <v>3925</v>
      </c>
      <c r="G430" t="s">
        <v>218</v>
      </c>
      <c r="H430">
        <v>157</v>
      </c>
      <c r="I430" s="1">
        <v>45351</v>
      </c>
      <c r="J430">
        <v>1353.5</v>
      </c>
    </row>
    <row r="431" spans="1:10">
      <c r="A431" t="s">
        <v>181</v>
      </c>
      <c r="B431">
        <v>179</v>
      </c>
      <c r="C431" s="1">
        <v>45535</v>
      </c>
      <c r="D431">
        <v>3925</v>
      </c>
      <c r="G431" t="s">
        <v>218</v>
      </c>
      <c r="H431">
        <v>157</v>
      </c>
      <c r="I431" s="1">
        <v>45382</v>
      </c>
      <c r="J431">
        <v>1353.5</v>
      </c>
    </row>
    <row r="432" spans="1:10">
      <c r="A432" t="s">
        <v>181</v>
      </c>
      <c r="B432">
        <v>179</v>
      </c>
      <c r="C432" s="1">
        <v>45565</v>
      </c>
      <c r="D432">
        <v>4121</v>
      </c>
      <c r="G432" t="s">
        <v>218</v>
      </c>
      <c r="H432">
        <v>157</v>
      </c>
      <c r="I432" s="1">
        <v>45412</v>
      </c>
      <c r="J432">
        <v>1353.5</v>
      </c>
    </row>
    <row r="433" spans="1:10">
      <c r="A433" t="s">
        <v>181</v>
      </c>
      <c r="B433">
        <v>179</v>
      </c>
      <c r="C433" s="1">
        <v>45596</v>
      </c>
      <c r="D433">
        <v>4121</v>
      </c>
      <c r="G433" t="s">
        <v>218</v>
      </c>
      <c r="H433">
        <v>157</v>
      </c>
      <c r="I433" s="1">
        <v>45443</v>
      </c>
      <c r="J433">
        <v>1353.5</v>
      </c>
    </row>
    <row r="434" spans="1:10">
      <c r="A434" t="s">
        <v>181</v>
      </c>
      <c r="B434">
        <v>179</v>
      </c>
      <c r="C434" s="1">
        <v>45626</v>
      </c>
      <c r="D434">
        <v>4327</v>
      </c>
      <c r="G434" t="s">
        <v>218</v>
      </c>
      <c r="H434">
        <v>157</v>
      </c>
      <c r="I434" s="1">
        <v>45473</v>
      </c>
      <c r="J434">
        <v>1353.5</v>
      </c>
    </row>
    <row r="435" spans="1:10">
      <c r="A435" t="s">
        <v>181</v>
      </c>
      <c r="B435">
        <v>179</v>
      </c>
      <c r="C435" s="1">
        <v>45657</v>
      </c>
      <c r="D435">
        <v>4544</v>
      </c>
      <c r="G435" t="s">
        <v>218</v>
      </c>
      <c r="H435">
        <v>157</v>
      </c>
      <c r="I435" s="1">
        <v>45504</v>
      </c>
      <c r="J435">
        <v>1353.5</v>
      </c>
    </row>
    <row r="436" spans="1:10">
      <c r="A436" t="s">
        <v>181</v>
      </c>
      <c r="B436">
        <v>179</v>
      </c>
      <c r="C436" s="1">
        <v>45688</v>
      </c>
      <c r="D436">
        <v>4770.7</v>
      </c>
      <c r="G436" t="s">
        <v>218</v>
      </c>
      <c r="H436">
        <v>157</v>
      </c>
      <c r="I436" s="1">
        <v>45535</v>
      </c>
      <c r="J436">
        <v>1353.5</v>
      </c>
    </row>
    <row r="437" spans="1:10">
      <c r="A437" t="s">
        <v>181</v>
      </c>
      <c r="B437">
        <v>179</v>
      </c>
      <c r="C437" s="1">
        <v>45716</v>
      </c>
      <c r="D437">
        <v>5009</v>
      </c>
      <c r="G437" t="s">
        <v>218</v>
      </c>
      <c r="H437">
        <v>157</v>
      </c>
      <c r="I437" s="1">
        <v>45565</v>
      </c>
      <c r="J437">
        <v>1353.5</v>
      </c>
    </row>
    <row r="438" spans="1:10">
      <c r="A438" t="s">
        <v>181</v>
      </c>
      <c r="B438">
        <v>179</v>
      </c>
      <c r="C438" s="1">
        <v>45747</v>
      </c>
      <c r="D438">
        <v>5260</v>
      </c>
      <c r="G438" t="s">
        <v>218</v>
      </c>
      <c r="H438">
        <v>157</v>
      </c>
      <c r="I438" s="1">
        <v>45596</v>
      </c>
      <c r="J438">
        <v>1353.5</v>
      </c>
    </row>
    <row r="439" spans="1:10">
      <c r="A439" t="s">
        <v>181</v>
      </c>
      <c r="B439">
        <v>179</v>
      </c>
      <c r="C439" s="1">
        <v>45777</v>
      </c>
      <c r="D439">
        <v>5523</v>
      </c>
      <c r="G439" t="s">
        <v>218</v>
      </c>
      <c r="H439">
        <v>157</v>
      </c>
      <c r="I439" s="1">
        <v>45626</v>
      </c>
      <c r="J439">
        <v>1353.5</v>
      </c>
    </row>
    <row r="440" spans="1:10">
      <c r="A440" t="s">
        <v>181</v>
      </c>
      <c r="B440">
        <v>179</v>
      </c>
      <c r="C440" s="1">
        <v>45808</v>
      </c>
      <c r="D440">
        <v>5799</v>
      </c>
      <c r="G440" t="s">
        <v>218</v>
      </c>
      <c r="H440">
        <v>157</v>
      </c>
      <c r="I440" s="1">
        <v>45657</v>
      </c>
      <c r="J440">
        <v>1353.5</v>
      </c>
    </row>
    <row r="441" spans="1:10">
      <c r="A441" t="s">
        <v>181</v>
      </c>
      <c r="B441">
        <v>179</v>
      </c>
      <c r="C441" s="1">
        <v>45838</v>
      </c>
      <c r="D441">
        <v>6088.78</v>
      </c>
      <c r="G441" t="s">
        <v>218</v>
      </c>
      <c r="H441">
        <v>157</v>
      </c>
      <c r="I441" s="1">
        <v>45688</v>
      </c>
      <c r="J441">
        <v>1353.5</v>
      </c>
    </row>
    <row r="442" spans="1:10">
      <c r="A442" t="s">
        <v>181</v>
      </c>
      <c r="B442">
        <v>179</v>
      </c>
      <c r="C442" s="1">
        <v>45869</v>
      </c>
      <c r="D442">
        <v>6393.19</v>
      </c>
      <c r="G442" t="s">
        <v>218</v>
      </c>
      <c r="H442">
        <v>157</v>
      </c>
      <c r="I442" s="1">
        <v>45716</v>
      </c>
      <c r="J442">
        <v>1353.5</v>
      </c>
    </row>
    <row r="443" spans="1:10">
      <c r="A443" t="s">
        <v>181</v>
      </c>
      <c r="B443">
        <v>179</v>
      </c>
      <c r="C443" s="1">
        <v>45900</v>
      </c>
      <c r="D443">
        <v>6712.85</v>
      </c>
      <c r="G443" t="s">
        <v>218</v>
      </c>
      <c r="H443">
        <v>157</v>
      </c>
      <c r="I443" s="1">
        <v>45747</v>
      </c>
      <c r="J443">
        <v>1353.5</v>
      </c>
    </row>
    <row r="444" spans="1:10">
      <c r="A444" t="s">
        <v>181</v>
      </c>
      <c r="B444">
        <v>179</v>
      </c>
      <c r="C444" s="1">
        <v>45930</v>
      </c>
      <c r="D444">
        <v>7048.49</v>
      </c>
      <c r="G444" t="s">
        <v>218</v>
      </c>
      <c r="H444">
        <v>157</v>
      </c>
      <c r="I444" s="1">
        <v>45777</v>
      </c>
      <c r="J444">
        <v>1353.5</v>
      </c>
    </row>
    <row r="445" spans="1:10">
      <c r="A445" t="s">
        <v>182</v>
      </c>
      <c r="B445">
        <v>180</v>
      </c>
      <c r="C445" s="1">
        <v>45291</v>
      </c>
      <c r="D445">
        <v>1436</v>
      </c>
      <c r="G445" t="s">
        <v>218</v>
      </c>
      <c r="H445">
        <v>157</v>
      </c>
      <c r="I445" s="1">
        <v>45808</v>
      </c>
      <c r="J445">
        <v>1353.5</v>
      </c>
    </row>
    <row r="446" spans="1:10">
      <c r="A446" t="s">
        <v>182</v>
      </c>
      <c r="B446">
        <v>180</v>
      </c>
      <c r="C446" s="1">
        <v>45322</v>
      </c>
      <c r="D446">
        <v>1285</v>
      </c>
      <c r="G446" t="s">
        <v>218</v>
      </c>
      <c r="H446">
        <v>157</v>
      </c>
      <c r="I446" s="1">
        <v>45838</v>
      </c>
      <c r="J446">
        <v>1353.5</v>
      </c>
    </row>
    <row r="447" spans="1:10">
      <c r="A447" t="s">
        <v>182</v>
      </c>
      <c r="B447">
        <v>180</v>
      </c>
      <c r="C447" s="1">
        <v>45351</v>
      </c>
      <c r="D447">
        <v>1508</v>
      </c>
      <c r="G447" t="s">
        <v>218</v>
      </c>
      <c r="H447">
        <v>157</v>
      </c>
      <c r="I447" s="1">
        <v>45869</v>
      </c>
      <c r="J447">
        <v>1353.5</v>
      </c>
    </row>
    <row r="448" spans="1:10">
      <c r="A448" t="s">
        <v>182</v>
      </c>
      <c r="B448">
        <v>180</v>
      </c>
      <c r="C448" s="1">
        <v>45382</v>
      </c>
      <c r="D448">
        <v>1349</v>
      </c>
      <c r="G448" t="s">
        <v>218</v>
      </c>
      <c r="H448">
        <v>157</v>
      </c>
      <c r="I448" s="1">
        <v>45900</v>
      </c>
      <c r="J448">
        <v>1353.5</v>
      </c>
    </row>
    <row r="449" spans="1:10">
      <c r="A449" t="s">
        <v>182</v>
      </c>
      <c r="B449">
        <v>180</v>
      </c>
      <c r="C449" s="1">
        <v>45412</v>
      </c>
      <c r="D449">
        <v>1583</v>
      </c>
      <c r="G449" t="s">
        <v>218</v>
      </c>
      <c r="H449">
        <v>157</v>
      </c>
      <c r="I449" s="1">
        <v>45930</v>
      </c>
      <c r="J449">
        <v>1353.5</v>
      </c>
    </row>
    <row r="450" spans="1:10">
      <c r="A450" t="s">
        <v>182</v>
      </c>
      <c r="B450">
        <v>180</v>
      </c>
      <c r="C450" s="1">
        <v>45443</v>
      </c>
      <c r="D450">
        <v>1416</v>
      </c>
      <c r="G450" t="s">
        <v>219</v>
      </c>
      <c r="H450">
        <v>158</v>
      </c>
      <c r="I450" s="1">
        <v>45291</v>
      </c>
      <c r="J450">
        <v>23270</v>
      </c>
    </row>
    <row r="451" spans="1:10">
      <c r="A451" t="s">
        <v>182</v>
      </c>
      <c r="B451">
        <v>180</v>
      </c>
      <c r="C451" s="1">
        <v>45473</v>
      </c>
      <c r="D451">
        <v>1662</v>
      </c>
      <c r="G451" t="s">
        <v>219</v>
      </c>
      <c r="H451">
        <v>158</v>
      </c>
      <c r="I451" s="1">
        <v>45322</v>
      </c>
      <c r="J451">
        <v>23270</v>
      </c>
    </row>
    <row r="452" spans="1:10">
      <c r="A452" t="s">
        <v>182</v>
      </c>
      <c r="B452">
        <v>180</v>
      </c>
      <c r="C452" s="1">
        <v>45504</v>
      </c>
      <c r="D452">
        <v>1745</v>
      </c>
      <c r="G452" t="s">
        <v>219</v>
      </c>
      <c r="H452">
        <v>158</v>
      </c>
      <c r="I452" s="1">
        <v>45351</v>
      </c>
      <c r="J452">
        <v>23270</v>
      </c>
    </row>
    <row r="453" spans="1:10">
      <c r="A453" t="s">
        <v>182</v>
      </c>
      <c r="B453">
        <v>180</v>
      </c>
      <c r="C453" s="1">
        <v>45535</v>
      </c>
      <c r="D453">
        <v>1745</v>
      </c>
      <c r="G453" t="s">
        <v>219</v>
      </c>
      <c r="H453">
        <v>158</v>
      </c>
      <c r="I453" s="1">
        <v>45382</v>
      </c>
      <c r="J453">
        <v>23270</v>
      </c>
    </row>
    <row r="454" spans="1:10">
      <c r="A454" t="s">
        <v>182</v>
      </c>
      <c r="B454">
        <v>180</v>
      </c>
      <c r="C454" s="1">
        <v>45565</v>
      </c>
      <c r="D454">
        <v>1833</v>
      </c>
      <c r="G454" t="s">
        <v>219</v>
      </c>
      <c r="H454">
        <v>158</v>
      </c>
      <c r="I454" s="1">
        <v>45412</v>
      </c>
      <c r="J454">
        <v>23270</v>
      </c>
    </row>
    <row r="455" spans="1:10">
      <c r="A455" t="s">
        <v>182</v>
      </c>
      <c r="B455">
        <v>180</v>
      </c>
      <c r="C455" s="1">
        <v>45596</v>
      </c>
      <c r="D455">
        <v>1833</v>
      </c>
      <c r="G455" t="s">
        <v>219</v>
      </c>
      <c r="H455">
        <v>158</v>
      </c>
      <c r="I455" s="1">
        <v>45443</v>
      </c>
      <c r="J455">
        <v>23270</v>
      </c>
    </row>
    <row r="456" spans="1:10">
      <c r="A456" t="s">
        <v>182</v>
      </c>
      <c r="B456">
        <v>180</v>
      </c>
      <c r="C456" s="1">
        <v>45626</v>
      </c>
      <c r="D456">
        <v>1924</v>
      </c>
      <c r="G456" t="s">
        <v>219</v>
      </c>
      <c r="H456">
        <v>158</v>
      </c>
      <c r="I456" s="1">
        <v>45473</v>
      </c>
      <c r="J456">
        <v>23270</v>
      </c>
    </row>
    <row r="457" spans="1:10">
      <c r="A457" t="s">
        <v>182</v>
      </c>
      <c r="B457">
        <v>180</v>
      </c>
      <c r="C457" s="1">
        <v>45657</v>
      </c>
      <c r="D457">
        <v>2021</v>
      </c>
      <c r="G457" t="s">
        <v>219</v>
      </c>
      <c r="H457">
        <v>158</v>
      </c>
      <c r="I457" s="1">
        <v>45504</v>
      </c>
      <c r="J457">
        <v>23270</v>
      </c>
    </row>
    <row r="458" spans="1:10">
      <c r="A458" t="s">
        <v>182</v>
      </c>
      <c r="B458">
        <v>180</v>
      </c>
      <c r="C458" s="1">
        <v>45688</v>
      </c>
      <c r="D458">
        <v>2121.61</v>
      </c>
      <c r="G458" t="s">
        <v>219</v>
      </c>
      <c r="H458">
        <v>158</v>
      </c>
      <c r="I458" s="1">
        <v>45535</v>
      </c>
      <c r="J458">
        <v>23270</v>
      </c>
    </row>
    <row r="459" spans="1:10">
      <c r="A459" t="s">
        <v>182</v>
      </c>
      <c r="B459">
        <v>180</v>
      </c>
      <c r="C459" s="1">
        <v>45716</v>
      </c>
      <c r="D459">
        <v>2228</v>
      </c>
      <c r="G459" t="s">
        <v>219</v>
      </c>
      <c r="H459">
        <v>158</v>
      </c>
      <c r="I459" s="1">
        <v>45565</v>
      </c>
      <c r="J459">
        <v>23270</v>
      </c>
    </row>
    <row r="460" spans="1:10">
      <c r="A460" t="s">
        <v>182</v>
      </c>
      <c r="B460">
        <v>180</v>
      </c>
      <c r="C460" s="1">
        <v>45747</v>
      </c>
      <c r="D460">
        <v>2339</v>
      </c>
      <c r="G460" t="s">
        <v>219</v>
      </c>
      <c r="H460">
        <v>158</v>
      </c>
      <c r="I460" s="1">
        <v>45596</v>
      </c>
      <c r="J460">
        <v>23270</v>
      </c>
    </row>
    <row r="461" spans="1:10">
      <c r="A461" t="s">
        <v>182</v>
      </c>
      <c r="B461">
        <v>180</v>
      </c>
      <c r="C461" s="1">
        <v>45777</v>
      </c>
      <c r="D461">
        <v>2456</v>
      </c>
      <c r="G461" t="s">
        <v>219</v>
      </c>
      <c r="H461">
        <v>158</v>
      </c>
      <c r="I461" s="1">
        <v>45626</v>
      </c>
      <c r="J461">
        <v>23270</v>
      </c>
    </row>
    <row r="462" spans="1:10">
      <c r="A462" t="s">
        <v>182</v>
      </c>
      <c r="B462">
        <v>180</v>
      </c>
      <c r="C462" s="1">
        <v>45808</v>
      </c>
      <c r="D462">
        <v>2579</v>
      </c>
      <c r="G462" t="s">
        <v>219</v>
      </c>
      <c r="H462">
        <v>158</v>
      </c>
      <c r="I462" s="1">
        <v>45657</v>
      </c>
      <c r="J462">
        <v>23270</v>
      </c>
    </row>
    <row r="463" spans="1:10">
      <c r="A463" t="s">
        <v>182</v>
      </c>
      <c r="B463">
        <v>180</v>
      </c>
      <c r="C463" s="1">
        <v>45838</v>
      </c>
      <c r="D463">
        <v>2707.78</v>
      </c>
      <c r="G463" t="s">
        <v>219</v>
      </c>
      <c r="H463">
        <v>158</v>
      </c>
      <c r="I463" s="1">
        <v>45688</v>
      </c>
      <c r="J463">
        <v>23270</v>
      </c>
    </row>
    <row r="464" spans="1:10">
      <c r="A464" t="s">
        <v>182</v>
      </c>
      <c r="B464">
        <v>180</v>
      </c>
      <c r="C464" s="1">
        <v>45869</v>
      </c>
      <c r="D464">
        <v>2843.16</v>
      </c>
      <c r="G464" t="s">
        <v>219</v>
      </c>
      <c r="H464">
        <v>158</v>
      </c>
      <c r="I464" s="1">
        <v>45716</v>
      </c>
      <c r="J464">
        <v>23270</v>
      </c>
    </row>
    <row r="465" spans="1:10">
      <c r="A465" t="s">
        <v>182</v>
      </c>
      <c r="B465">
        <v>180</v>
      </c>
      <c r="C465" s="1">
        <v>45900</v>
      </c>
      <c r="D465">
        <v>2985.31</v>
      </c>
      <c r="G465" t="s">
        <v>219</v>
      </c>
      <c r="H465">
        <v>158</v>
      </c>
      <c r="I465" s="1">
        <v>45747</v>
      </c>
      <c r="J465">
        <v>23270</v>
      </c>
    </row>
    <row r="466" spans="1:10">
      <c r="A466" t="s">
        <v>182</v>
      </c>
      <c r="B466">
        <v>180</v>
      </c>
      <c r="C466" s="1">
        <v>45930</v>
      </c>
      <c r="D466">
        <v>3134.58</v>
      </c>
      <c r="G466" t="s">
        <v>219</v>
      </c>
      <c r="H466">
        <v>158</v>
      </c>
      <c r="I466" s="1">
        <v>45777</v>
      </c>
      <c r="J466">
        <v>23270</v>
      </c>
    </row>
    <row r="467" spans="1:10">
      <c r="A467" t="s">
        <v>183</v>
      </c>
      <c r="B467">
        <v>181</v>
      </c>
      <c r="C467" s="1">
        <v>45291</v>
      </c>
      <c r="D467">
        <v>99</v>
      </c>
      <c r="G467" t="s">
        <v>219</v>
      </c>
      <c r="H467">
        <v>158</v>
      </c>
      <c r="I467" s="1">
        <v>45808</v>
      </c>
      <c r="J467">
        <v>23270</v>
      </c>
    </row>
    <row r="468" spans="1:10">
      <c r="A468" t="s">
        <v>183</v>
      </c>
      <c r="B468">
        <v>181</v>
      </c>
      <c r="C468" s="1">
        <v>45322</v>
      </c>
      <c r="D468">
        <v>60</v>
      </c>
      <c r="G468" t="s">
        <v>219</v>
      </c>
      <c r="H468">
        <v>158</v>
      </c>
      <c r="I468" s="1">
        <v>45838</v>
      </c>
      <c r="J468">
        <v>23270</v>
      </c>
    </row>
    <row r="469" spans="1:10">
      <c r="A469" t="s">
        <v>183</v>
      </c>
      <c r="B469">
        <v>181</v>
      </c>
      <c r="C469" s="1">
        <v>45351</v>
      </c>
      <c r="D469">
        <v>104</v>
      </c>
      <c r="G469" t="s">
        <v>219</v>
      </c>
      <c r="H469">
        <v>158</v>
      </c>
      <c r="I469" s="1">
        <v>45869</v>
      </c>
      <c r="J469">
        <v>23270</v>
      </c>
    </row>
    <row r="470" spans="1:10">
      <c r="A470" t="s">
        <v>183</v>
      </c>
      <c r="B470">
        <v>181</v>
      </c>
      <c r="C470" s="1">
        <v>45382</v>
      </c>
      <c r="D470">
        <v>63</v>
      </c>
      <c r="G470" t="s">
        <v>219</v>
      </c>
      <c r="H470">
        <v>158</v>
      </c>
      <c r="I470" s="1">
        <v>45900</v>
      </c>
      <c r="J470">
        <v>23270</v>
      </c>
    </row>
    <row r="471" spans="1:10">
      <c r="A471" t="s">
        <v>183</v>
      </c>
      <c r="B471">
        <v>181</v>
      </c>
      <c r="C471" s="1">
        <v>45412</v>
      </c>
      <c r="D471">
        <v>109</v>
      </c>
      <c r="G471" t="s">
        <v>219</v>
      </c>
      <c r="H471">
        <v>158</v>
      </c>
      <c r="I471" s="1">
        <v>45930</v>
      </c>
      <c r="J471">
        <v>23270</v>
      </c>
    </row>
    <row r="472" spans="1:10">
      <c r="A472" t="s">
        <v>183</v>
      </c>
      <c r="B472">
        <v>181</v>
      </c>
      <c r="C472" s="1">
        <v>45443</v>
      </c>
      <c r="D472">
        <v>67</v>
      </c>
      <c r="G472" t="s">
        <v>220</v>
      </c>
      <c r="H472">
        <v>159</v>
      </c>
      <c r="I472" s="1">
        <v>45291</v>
      </c>
      <c r="J472">
        <v>1260.5</v>
      </c>
    </row>
    <row r="473" spans="1:10">
      <c r="A473" t="s">
        <v>183</v>
      </c>
      <c r="B473">
        <v>181</v>
      </c>
      <c r="C473" s="1">
        <v>45473</v>
      </c>
      <c r="D473">
        <v>114</v>
      </c>
      <c r="G473" t="s">
        <v>220</v>
      </c>
      <c r="H473">
        <v>159</v>
      </c>
      <c r="I473" s="1">
        <v>45322</v>
      </c>
      <c r="J473">
        <v>1260.5</v>
      </c>
    </row>
    <row r="474" spans="1:10">
      <c r="A474" t="s">
        <v>183</v>
      </c>
      <c r="B474">
        <v>181</v>
      </c>
      <c r="C474" s="1">
        <v>45504</v>
      </c>
      <c r="D474">
        <v>120</v>
      </c>
      <c r="G474" t="s">
        <v>220</v>
      </c>
      <c r="H474">
        <v>159</v>
      </c>
      <c r="I474" s="1">
        <v>45351</v>
      </c>
      <c r="J474">
        <v>1260.5</v>
      </c>
    </row>
    <row r="475" spans="1:10">
      <c r="A475" t="s">
        <v>183</v>
      </c>
      <c r="B475">
        <v>181</v>
      </c>
      <c r="C475" s="1">
        <v>45535</v>
      </c>
      <c r="D475">
        <v>120</v>
      </c>
      <c r="G475" t="s">
        <v>220</v>
      </c>
      <c r="H475">
        <v>159</v>
      </c>
      <c r="I475" s="1">
        <v>45382</v>
      </c>
      <c r="J475">
        <v>1260.5</v>
      </c>
    </row>
    <row r="476" spans="1:10">
      <c r="A476" t="s">
        <v>183</v>
      </c>
      <c r="B476">
        <v>181</v>
      </c>
      <c r="C476" s="1">
        <v>45565</v>
      </c>
      <c r="D476">
        <v>126</v>
      </c>
      <c r="G476" t="s">
        <v>220</v>
      </c>
      <c r="H476">
        <v>159</v>
      </c>
      <c r="I476" s="1">
        <v>45412</v>
      </c>
      <c r="J476">
        <v>1260.5</v>
      </c>
    </row>
    <row r="477" spans="1:10">
      <c r="A477" t="s">
        <v>183</v>
      </c>
      <c r="B477">
        <v>181</v>
      </c>
      <c r="C477" s="1">
        <v>45596</v>
      </c>
      <c r="D477">
        <v>126.34</v>
      </c>
      <c r="G477" t="s">
        <v>220</v>
      </c>
      <c r="H477">
        <v>159</v>
      </c>
      <c r="I477" s="1">
        <v>45443</v>
      </c>
      <c r="J477">
        <v>1260.5</v>
      </c>
    </row>
    <row r="478" spans="1:10">
      <c r="A478" t="s">
        <v>183</v>
      </c>
      <c r="B478">
        <v>181</v>
      </c>
      <c r="C478" s="1">
        <v>45626</v>
      </c>
      <c r="D478">
        <v>132.34</v>
      </c>
      <c r="G478" t="s">
        <v>220</v>
      </c>
      <c r="H478">
        <v>159</v>
      </c>
      <c r="I478" s="1">
        <v>45473</v>
      </c>
      <c r="J478">
        <v>1260.5</v>
      </c>
    </row>
    <row r="479" spans="1:10">
      <c r="A479" t="s">
        <v>183</v>
      </c>
      <c r="B479">
        <v>181</v>
      </c>
      <c r="C479" s="1">
        <v>45657</v>
      </c>
      <c r="D479">
        <v>139</v>
      </c>
      <c r="G479" t="s">
        <v>220</v>
      </c>
      <c r="H479">
        <v>159</v>
      </c>
      <c r="I479" s="1">
        <v>45504</v>
      </c>
      <c r="J479">
        <v>1260.5</v>
      </c>
    </row>
    <row r="480" spans="1:10">
      <c r="A480" t="s">
        <v>183</v>
      </c>
      <c r="B480">
        <v>181</v>
      </c>
      <c r="C480" s="1">
        <v>45688</v>
      </c>
      <c r="D480">
        <v>145.83000000000001</v>
      </c>
      <c r="G480" t="s">
        <v>220</v>
      </c>
      <c r="H480">
        <v>159</v>
      </c>
      <c r="I480" s="1">
        <v>45535</v>
      </c>
      <c r="J480">
        <v>1260.5</v>
      </c>
    </row>
    <row r="481" spans="1:10">
      <c r="A481" t="s">
        <v>183</v>
      </c>
      <c r="B481">
        <v>181</v>
      </c>
      <c r="C481" s="1">
        <v>45716</v>
      </c>
      <c r="D481">
        <v>153</v>
      </c>
      <c r="G481" t="s">
        <v>220</v>
      </c>
      <c r="H481">
        <v>159</v>
      </c>
      <c r="I481" s="1">
        <v>45565</v>
      </c>
      <c r="J481">
        <v>1260.5</v>
      </c>
    </row>
    <row r="482" spans="1:10">
      <c r="A482" t="s">
        <v>183</v>
      </c>
      <c r="B482">
        <v>181</v>
      </c>
      <c r="C482" s="1">
        <v>45747</v>
      </c>
      <c r="D482">
        <v>161</v>
      </c>
      <c r="G482" t="s">
        <v>220</v>
      </c>
      <c r="H482">
        <v>159</v>
      </c>
      <c r="I482" s="1">
        <v>45596</v>
      </c>
      <c r="J482">
        <v>1260.5</v>
      </c>
    </row>
    <row r="483" spans="1:10">
      <c r="A483" t="s">
        <v>183</v>
      </c>
      <c r="B483">
        <v>181</v>
      </c>
      <c r="C483" s="1">
        <v>45777</v>
      </c>
      <c r="D483">
        <v>169</v>
      </c>
      <c r="G483" t="s">
        <v>220</v>
      </c>
      <c r="H483">
        <v>159</v>
      </c>
      <c r="I483" s="1">
        <v>45626</v>
      </c>
      <c r="J483">
        <v>1260.5</v>
      </c>
    </row>
    <row r="484" spans="1:10">
      <c r="A484" t="s">
        <v>183</v>
      </c>
      <c r="B484">
        <v>181</v>
      </c>
      <c r="C484" s="1">
        <v>45808</v>
      </c>
      <c r="D484">
        <v>177</v>
      </c>
      <c r="G484" t="s">
        <v>220</v>
      </c>
      <c r="H484">
        <v>159</v>
      </c>
      <c r="I484" s="1">
        <v>45657</v>
      </c>
      <c r="J484">
        <v>1260.5</v>
      </c>
    </row>
    <row r="485" spans="1:10">
      <c r="A485" t="s">
        <v>183</v>
      </c>
      <c r="B485">
        <v>181</v>
      </c>
      <c r="C485" s="1">
        <v>45838</v>
      </c>
      <c r="D485">
        <v>186.13</v>
      </c>
      <c r="G485" t="s">
        <v>220</v>
      </c>
      <c r="H485">
        <v>159</v>
      </c>
      <c r="I485" s="1">
        <v>45688</v>
      </c>
      <c r="J485">
        <v>1260.5</v>
      </c>
    </row>
    <row r="486" spans="1:10">
      <c r="A486" t="s">
        <v>183</v>
      </c>
      <c r="B486">
        <v>181</v>
      </c>
      <c r="C486" s="1">
        <v>45869</v>
      </c>
      <c r="D486">
        <v>195.43</v>
      </c>
      <c r="G486" t="s">
        <v>220</v>
      </c>
      <c r="H486">
        <v>159</v>
      </c>
      <c r="I486" s="1">
        <v>45716</v>
      </c>
      <c r="J486">
        <v>1260.5</v>
      </c>
    </row>
    <row r="487" spans="1:10">
      <c r="A487" t="s">
        <v>183</v>
      </c>
      <c r="B487">
        <v>181</v>
      </c>
      <c r="C487" s="1">
        <v>45900</v>
      </c>
      <c r="D487">
        <v>205.2</v>
      </c>
      <c r="G487" t="s">
        <v>220</v>
      </c>
      <c r="H487">
        <v>159</v>
      </c>
      <c r="I487" s="1">
        <v>45747</v>
      </c>
      <c r="J487">
        <v>1260.5</v>
      </c>
    </row>
    <row r="488" spans="1:10">
      <c r="A488" t="s">
        <v>183</v>
      </c>
      <c r="B488">
        <v>181</v>
      </c>
      <c r="C488" s="1">
        <v>45930</v>
      </c>
      <c r="D488">
        <v>215.46</v>
      </c>
      <c r="G488" t="s">
        <v>220</v>
      </c>
      <c r="H488">
        <v>159</v>
      </c>
      <c r="I488" s="1">
        <v>45777</v>
      </c>
      <c r="J488">
        <v>1260.5</v>
      </c>
    </row>
    <row r="489" spans="1:10">
      <c r="A489" t="s">
        <v>185</v>
      </c>
      <c r="B489">
        <v>183</v>
      </c>
      <c r="C489" s="1">
        <v>45291</v>
      </c>
      <c r="D489">
        <v>586</v>
      </c>
      <c r="G489" t="s">
        <v>220</v>
      </c>
      <c r="H489">
        <v>159</v>
      </c>
      <c r="I489" s="1">
        <v>45808</v>
      </c>
      <c r="J489">
        <v>1260.5</v>
      </c>
    </row>
    <row r="490" spans="1:10">
      <c r="A490" t="s">
        <v>185</v>
      </c>
      <c r="B490">
        <v>183</v>
      </c>
      <c r="C490" s="1">
        <v>45322</v>
      </c>
      <c r="D490">
        <v>406</v>
      </c>
      <c r="G490" t="s">
        <v>220</v>
      </c>
      <c r="H490">
        <v>159</v>
      </c>
      <c r="I490" s="1">
        <v>45838</v>
      </c>
      <c r="J490">
        <v>1260.5</v>
      </c>
    </row>
    <row r="491" spans="1:10">
      <c r="A491" t="s">
        <v>185</v>
      </c>
      <c r="B491">
        <v>183</v>
      </c>
      <c r="C491" s="1">
        <v>45351</v>
      </c>
      <c r="D491">
        <v>615</v>
      </c>
      <c r="G491" t="s">
        <v>220</v>
      </c>
      <c r="H491">
        <v>159</v>
      </c>
      <c r="I491" s="1">
        <v>45869</v>
      </c>
      <c r="J491">
        <v>1260.5</v>
      </c>
    </row>
    <row r="492" spans="1:10">
      <c r="A492" t="s">
        <v>185</v>
      </c>
      <c r="B492">
        <v>183</v>
      </c>
      <c r="C492" s="1">
        <v>45382</v>
      </c>
      <c r="D492">
        <v>426</v>
      </c>
      <c r="G492" t="s">
        <v>220</v>
      </c>
      <c r="H492">
        <v>159</v>
      </c>
      <c r="I492" s="1">
        <v>45900</v>
      </c>
      <c r="J492">
        <v>1260.5</v>
      </c>
    </row>
    <row r="493" spans="1:10">
      <c r="A493" t="s">
        <v>185</v>
      </c>
      <c r="B493">
        <v>183</v>
      </c>
      <c r="C493" s="1">
        <v>45412</v>
      </c>
      <c r="D493">
        <v>646</v>
      </c>
      <c r="G493" t="s">
        <v>220</v>
      </c>
      <c r="H493">
        <v>159</v>
      </c>
      <c r="I493" s="1">
        <v>45930</v>
      </c>
      <c r="J493">
        <v>1260.5</v>
      </c>
    </row>
    <row r="494" spans="1:10">
      <c r="A494" t="s">
        <v>185</v>
      </c>
      <c r="B494">
        <v>183</v>
      </c>
      <c r="C494" s="1">
        <v>45443</v>
      </c>
      <c r="D494">
        <v>447</v>
      </c>
      <c r="G494" t="s">
        <v>222</v>
      </c>
      <c r="H494">
        <v>63</v>
      </c>
      <c r="I494" s="1">
        <v>45291</v>
      </c>
      <c r="J494">
        <v>-9180.5</v>
      </c>
    </row>
    <row r="495" spans="1:10">
      <c r="A495" t="s">
        <v>185</v>
      </c>
      <c r="B495">
        <v>183</v>
      </c>
      <c r="C495" s="1">
        <v>45473</v>
      </c>
      <c r="D495">
        <v>678</v>
      </c>
      <c r="G495" t="s">
        <v>222</v>
      </c>
      <c r="H495">
        <v>63</v>
      </c>
      <c r="I495" s="1">
        <v>45322</v>
      </c>
      <c r="J495">
        <v>-9180.5</v>
      </c>
    </row>
    <row r="496" spans="1:10">
      <c r="A496" t="s">
        <v>185</v>
      </c>
      <c r="B496">
        <v>183</v>
      </c>
      <c r="C496" s="1">
        <v>45504</v>
      </c>
      <c r="D496">
        <v>712</v>
      </c>
      <c r="G496" t="s">
        <v>222</v>
      </c>
      <c r="H496">
        <v>63</v>
      </c>
      <c r="I496" s="1">
        <v>45351</v>
      </c>
      <c r="J496">
        <v>-9180.5</v>
      </c>
    </row>
    <row r="497" spans="1:10">
      <c r="A497" t="s">
        <v>185</v>
      </c>
      <c r="B497">
        <v>183</v>
      </c>
      <c r="C497" s="1">
        <v>45535</v>
      </c>
      <c r="D497">
        <v>712</v>
      </c>
      <c r="G497" t="s">
        <v>222</v>
      </c>
      <c r="H497">
        <v>63</v>
      </c>
      <c r="I497" s="1">
        <v>45382</v>
      </c>
      <c r="J497">
        <v>-9180.5</v>
      </c>
    </row>
    <row r="498" spans="1:10">
      <c r="A498" t="s">
        <v>185</v>
      </c>
      <c r="B498">
        <v>183</v>
      </c>
      <c r="C498" s="1">
        <v>45565</v>
      </c>
      <c r="D498">
        <v>748</v>
      </c>
      <c r="G498" t="s">
        <v>222</v>
      </c>
      <c r="H498">
        <v>63</v>
      </c>
      <c r="I498" s="1">
        <v>45412</v>
      </c>
      <c r="J498">
        <v>-9180.5</v>
      </c>
    </row>
    <row r="499" spans="1:10">
      <c r="A499" t="s">
        <v>185</v>
      </c>
      <c r="B499">
        <v>183</v>
      </c>
      <c r="C499" s="1">
        <v>45596</v>
      </c>
      <c r="D499">
        <v>748</v>
      </c>
      <c r="G499" t="s">
        <v>222</v>
      </c>
      <c r="H499">
        <v>63</v>
      </c>
      <c r="I499" s="1">
        <v>45443</v>
      </c>
      <c r="J499">
        <v>-9180.5</v>
      </c>
    </row>
    <row r="500" spans="1:10">
      <c r="A500" t="s">
        <v>185</v>
      </c>
      <c r="B500">
        <v>183</v>
      </c>
      <c r="C500" s="1">
        <v>45626</v>
      </c>
      <c r="D500">
        <v>785</v>
      </c>
      <c r="G500" t="s">
        <v>222</v>
      </c>
      <c r="H500">
        <v>63</v>
      </c>
      <c r="I500" s="1">
        <v>45473</v>
      </c>
      <c r="J500">
        <v>-9180.5</v>
      </c>
    </row>
    <row r="501" spans="1:10">
      <c r="A501" t="s">
        <v>185</v>
      </c>
      <c r="B501">
        <v>183</v>
      </c>
      <c r="C501" s="1">
        <v>45657</v>
      </c>
      <c r="D501">
        <v>824</v>
      </c>
      <c r="G501" t="s">
        <v>222</v>
      </c>
      <c r="H501">
        <v>63</v>
      </c>
      <c r="I501" s="1">
        <v>45504</v>
      </c>
      <c r="J501">
        <v>-9180.5</v>
      </c>
    </row>
    <row r="502" spans="1:10">
      <c r="A502" t="s">
        <v>185</v>
      </c>
      <c r="B502">
        <v>183</v>
      </c>
      <c r="C502" s="1">
        <v>45688</v>
      </c>
      <c r="D502">
        <v>865.53</v>
      </c>
      <c r="G502" t="s">
        <v>222</v>
      </c>
      <c r="H502">
        <v>63</v>
      </c>
      <c r="I502" s="1">
        <v>45535</v>
      </c>
      <c r="J502">
        <v>-9180.5</v>
      </c>
    </row>
    <row r="503" spans="1:10">
      <c r="A503" t="s">
        <v>185</v>
      </c>
      <c r="B503">
        <v>183</v>
      </c>
      <c r="C503" s="1">
        <v>45716</v>
      </c>
      <c r="D503">
        <v>909</v>
      </c>
      <c r="G503" t="s">
        <v>222</v>
      </c>
      <c r="H503">
        <v>63</v>
      </c>
      <c r="I503" s="1">
        <v>45565</v>
      </c>
      <c r="J503">
        <v>-9180.5</v>
      </c>
    </row>
    <row r="504" spans="1:10">
      <c r="A504" t="s">
        <v>185</v>
      </c>
      <c r="B504">
        <v>183</v>
      </c>
      <c r="C504" s="1">
        <v>45747</v>
      </c>
      <c r="D504">
        <v>954</v>
      </c>
      <c r="G504" t="s">
        <v>222</v>
      </c>
      <c r="H504">
        <v>63</v>
      </c>
      <c r="I504" s="1">
        <v>45596</v>
      </c>
      <c r="J504">
        <v>-9180.5</v>
      </c>
    </row>
    <row r="505" spans="1:10">
      <c r="A505" t="s">
        <v>185</v>
      </c>
      <c r="B505">
        <v>183</v>
      </c>
      <c r="C505" s="1">
        <v>45777</v>
      </c>
      <c r="D505">
        <v>1002</v>
      </c>
      <c r="G505" t="s">
        <v>222</v>
      </c>
      <c r="H505">
        <v>63</v>
      </c>
      <c r="I505" s="1">
        <v>45626</v>
      </c>
      <c r="J505">
        <v>-9180.5</v>
      </c>
    </row>
    <row r="506" spans="1:10">
      <c r="A506" t="s">
        <v>185</v>
      </c>
      <c r="B506">
        <v>183</v>
      </c>
      <c r="C506" s="1">
        <v>45808</v>
      </c>
      <c r="D506">
        <v>1052</v>
      </c>
      <c r="G506" t="s">
        <v>222</v>
      </c>
      <c r="H506">
        <v>63</v>
      </c>
      <c r="I506" s="1">
        <v>45657</v>
      </c>
      <c r="J506">
        <v>-9180.5</v>
      </c>
    </row>
    <row r="507" spans="1:10">
      <c r="A507" t="s">
        <v>185</v>
      </c>
      <c r="B507">
        <v>183</v>
      </c>
      <c r="C507" s="1">
        <v>45838</v>
      </c>
      <c r="D507">
        <v>1104.6600000000001</v>
      </c>
      <c r="G507" t="s">
        <v>222</v>
      </c>
      <c r="H507">
        <v>63</v>
      </c>
      <c r="I507" s="1">
        <v>45688</v>
      </c>
      <c r="J507">
        <v>-9180.5</v>
      </c>
    </row>
    <row r="508" spans="1:10">
      <c r="A508" t="s">
        <v>185</v>
      </c>
      <c r="B508">
        <v>183</v>
      </c>
      <c r="C508" s="1">
        <v>45869</v>
      </c>
      <c r="D508">
        <v>1159.9000000000001</v>
      </c>
      <c r="G508" t="s">
        <v>222</v>
      </c>
      <c r="H508">
        <v>63</v>
      </c>
      <c r="I508" s="1">
        <v>45716</v>
      </c>
      <c r="J508">
        <v>-9180.5</v>
      </c>
    </row>
    <row r="509" spans="1:10">
      <c r="A509" t="s">
        <v>185</v>
      </c>
      <c r="B509">
        <v>183</v>
      </c>
      <c r="C509" s="1">
        <v>45900</v>
      </c>
      <c r="D509">
        <v>1217.8900000000001</v>
      </c>
      <c r="G509" t="s">
        <v>222</v>
      </c>
      <c r="H509">
        <v>63</v>
      </c>
      <c r="I509" s="1">
        <v>45747</v>
      </c>
      <c r="J509">
        <v>-9180.5</v>
      </c>
    </row>
    <row r="510" spans="1:10">
      <c r="A510" t="s">
        <v>185</v>
      </c>
      <c r="B510">
        <v>183</v>
      </c>
      <c r="C510" s="1">
        <v>45930</v>
      </c>
      <c r="D510">
        <v>1278.79</v>
      </c>
      <c r="G510" t="s">
        <v>222</v>
      </c>
      <c r="H510">
        <v>63</v>
      </c>
      <c r="I510" s="1">
        <v>45777</v>
      </c>
      <c r="J510">
        <v>-9180.5</v>
      </c>
    </row>
    <row r="511" spans="1:10">
      <c r="A511" t="s">
        <v>187</v>
      </c>
      <c r="B511">
        <v>185</v>
      </c>
      <c r="C511" s="1">
        <v>45291</v>
      </c>
      <c r="D511">
        <v>1796</v>
      </c>
      <c r="G511" t="s">
        <v>222</v>
      </c>
      <c r="H511">
        <v>63</v>
      </c>
      <c r="I511" s="1">
        <v>45808</v>
      </c>
      <c r="J511">
        <v>-9180.5</v>
      </c>
    </row>
    <row r="512" spans="1:10">
      <c r="A512" t="s">
        <v>187</v>
      </c>
      <c r="B512">
        <v>185</v>
      </c>
      <c r="C512" s="1">
        <v>45322</v>
      </c>
      <c r="D512">
        <v>1238</v>
      </c>
      <c r="G512" t="s">
        <v>222</v>
      </c>
      <c r="H512">
        <v>63</v>
      </c>
      <c r="I512" s="1">
        <v>45838</v>
      </c>
      <c r="J512">
        <v>-9180.5</v>
      </c>
    </row>
    <row r="513" spans="1:10">
      <c r="A513" t="s">
        <v>187</v>
      </c>
      <c r="B513">
        <v>185</v>
      </c>
      <c r="C513" s="1">
        <v>45351</v>
      </c>
      <c r="D513">
        <v>1886</v>
      </c>
      <c r="G513" t="s">
        <v>222</v>
      </c>
      <c r="H513">
        <v>63</v>
      </c>
      <c r="I513" s="1">
        <v>45869</v>
      </c>
      <c r="J513">
        <v>-9180.5</v>
      </c>
    </row>
    <row r="514" spans="1:10">
      <c r="A514" t="s">
        <v>187</v>
      </c>
      <c r="B514">
        <v>185</v>
      </c>
      <c r="C514" s="1">
        <v>45382</v>
      </c>
      <c r="D514">
        <v>1300</v>
      </c>
      <c r="G514" t="s">
        <v>222</v>
      </c>
      <c r="H514">
        <v>63</v>
      </c>
      <c r="I514" s="1">
        <v>45900</v>
      </c>
      <c r="J514">
        <v>-9180.5</v>
      </c>
    </row>
    <row r="515" spans="1:10">
      <c r="A515" t="s">
        <v>187</v>
      </c>
      <c r="B515">
        <v>185</v>
      </c>
      <c r="C515" s="1">
        <v>45412</v>
      </c>
      <c r="D515">
        <v>1981</v>
      </c>
      <c r="G515" t="s">
        <v>222</v>
      </c>
      <c r="H515">
        <v>63</v>
      </c>
      <c r="I515" s="1">
        <v>45930</v>
      </c>
      <c r="J515">
        <v>-9180.5</v>
      </c>
    </row>
    <row r="516" spans="1:10">
      <c r="A516" t="s">
        <v>187</v>
      </c>
      <c r="B516">
        <v>185</v>
      </c>
      <c r="C516" s="1">
        <v>45443</v>
      </c>
      <c r="D516">
        <v>1365</v>
      </c>
      <c r="G516" t="s">
        <v>426</v>
      </c>
      <c r="H516">
        <v>0</v>
      </c>
      <c r="I516" s="1">
        <v>45291</v>
      </c>
      <c r="J516">
        <v>18328</v>
      </c>
    </row>
    <row r="517" spans="1:10">
      <c r="A517" t="s">
        <v>187</v>
      </c>
      <c r="B517">
        <v>185</v>
      </c>
      <c r="C517" s="1">
        <v>45473</v>
      </c>
      <c r="D517">
        <v>2080</v>
      </c>
      <c r="G517" t="s">
        <v>426</v>
      </c>
      <c r="H517">
        <v>0</v>
      </c>
      <c r="I517" s="1">
        <v>45322</v>
      </c>
      <c r="J517">
        <v>18328</v>
      </c>
    </row>
    <row r="518" spans="1:10">
      <c r="A518" t="s">
        <v>187</v>
      </c>
      <c r="B518">
        <v>185</v>
      </c>
      <c r="C518" s="1">
        <v>45504</v>
      </c>
      <c r="D518">
        <v>2184</v>
      </c>
      <c r="G518" t="s">
        <v>426</v>
      </c>
      <c r="H518">
        <v>0</v>
      </c>
      <c r="I518" s="1">
        <v>45351</v>
      </c>
      <c r="J518">
        <v>18328</v>
      </c>
    </row>
    <row r="519" spans="1:10">
      <c r="A519" t="s">
        <v>187</v>
      </c>
      <c r="B519">
        <v>185</v>
      </c>
      <c r="C519" s="1">
        <v>45535</v>
      </c>
      <c r="D519">
        <v>2184</v>
      </c>
      <c r="G519" t="s">
        <v>426</v>
      </c>
      <c r="H519">
        <v>0</v>
      </c>
      <c r="I519" s="1">
        <v>45382</v>
      </c>
      <c r="J519">
        <v>18328</v>
      </c>
    </row>
    <row r="520" spans="1:10">
      <c r="A520" t="s">
        <v>187</v>
      </c>
      <c r="B520">
        <v>185</v>
      </c>
      <c r="C520" s="1">
        <v>45565</v>
      </c>
      <c r="D520">
        <v>2293</v>
      </c>
      <c r="G520" t="s">
        <v>426</v>
      </c>
      <c r="H520">
        <v>0</v>
      </c>
      <c r="I520" s="1">
        <v>45412</v>
      </c>
      <c r="J520">
        <v>18328</v>
      </c>
    </row>
    <row r="521" spans="1:10">
      <c r="A521" t="s">
        <v>187</v>
      </c>
      <c r="B521">
        <v>185</v>
      </c>
      <c r="C521" s="1">
        <v>45596</v>
      </c>
      <c r="D521">
        <v>2293</v>
      </c>
      <c r="G521" t="s">
        <v>426</v>
      </c>
      <c r="H521">
        <v>0</v>
      </c>
      <c r="I521" s="1">
        <v>45443</v>
      </c>
      <c r="J521">
        <v>18328</v>
      </c>
    </row>
    <row r="522" spans="1:10">
      <c r="A522" t="s">
        <v>187</v>
      </c>
      <c r="B522">
        <v>185</v>
      </c>
      <c r="C522" s="1">
        <v>45626</v>
      </c>
      <c r="D522">
        <v>2407</v>
      </c>
      <c r="G522" t="s">
        <v>426</v>
      </c>
      <c r="H522">
        <v>0</v>
      </c>
      <c r="I522" s="1">
        <v>45473</v>
      </c>
      <c r="J522">
        <v>18328</v>
      </c>
    </row>
    <row r="523" spans="1:10">
      <c r="A523" t="s">
        <v>187</v>
      </c>
      <c r="B523">
        <v>185</v>
      </c>
      <c r="C523" s="1">
        <v>45657</v>
      </c>
      <c r="D523">
        <v>2528</v>
      </c>
      <c r="G523" t="s">
        <v>426</v>
      </c>
      <c r="H523">
        <v>0</v>
      </c>
      <c r="I523" s="1">
        <v>45504</v>
      </c>
      <c r="J523">
        <v>18328</v>
      </c>
    </row>
    <row r="524" spans="1:10">
      <c r="A524" t="s">
        <v>187</v>
      </c>
      <c r="B524">
        <v>185</v>
      </c>
      <c r="C524" s="1">
        <v>45688</v>
      </c>
      <c r="D524">
        <v>2654.23</v>
      </c>
      <c r="G524" t="s">
        <v>426</v>
      </c>
      <c r="H524">
        <v>0</v>
      </c>
      <c r="I524" s="1">
        <v>45535</v>
      </c>
      <c r="J524">
        <v>18328</v>
      </c>
    </row>
    <row r="525" spans="1:10">
      <c r="A525" t="s">
        <v>187</v>
      </c>
      <c r="B525">
        <v>185</v>
      </c>
      <c r="C525" s="1">
        <v>45716</v>
      </c>
      <c r="D525">
        <v>2787</v>
      </c>
      <c r="G525" t="s">
        <v>426</v>
      </c>
      <c r="H525">
        <v>0</v>
      </c>
      <c r="I525" s="1">
        <v>45565</v>
      </c>
      <c r="J525">
        <v>18328</v>
      </c>
    </row>
    <row r="526" spans="1:10">
      <c r="A526" t="s">
        <v>187</v>
      </c>
      <c r="B526">
        <v>185</v>
      </c>
      <c r="C526" s="1">
        <v>45747</v>
      </c>
      <c r="D526">
        <v>2926</v>
      </c>
      <c r="G526" t="s">
        <v>426</v>
      </c>
      <c r="H526">
        <v>0</v>
      </c>
      <c r="I526" s="1">
        <v>45596</v>
      </c>
      <c r="J526">
        <v>18328</v>
      </c>
    </row>
    <row r="527" spans="1:10">
      <c r="A527" t="s">
        <v>187</v>
      </c>
      <c r="B527">
        <v>185</v>
      </c>
      <c r="C527" s="1">
        <v>45777</v>
      </c>
      <c r="D527">
        <v>3073</v>
      </c>
      <c r="G527" t="s">
        <v>426</v>
      </c>
      <c r="H527">
        <v>0</v>
      </c>
      <c r="I527" s="1">
        <v>45626</v>
      </c>
      <c r="J527">
        <v>18328</v>
      </c>
    </row>
    <row r="528" spans="1:10">
      <c r="A528" t="s">
        <v>187</v>
      </c>
      <c r="B528">
        <v>185</v>
      </c>
      <c r="C528" s="1">
        <v>45808</v>
      </c>
      <c r="D528">
        <v>3226</v>
      </c>
      <c r="G528" t="s">
        <v>426</v>
      </c>
      <c r="H528">
        <v>0</v>
      </c>
      <c r="I528" s="1">
        <v>45657</v>
      </c>
      <c r="J528">
        <v>18328</v>
      </c>
    </row>
    <row r="529" spans="1:10">
      <c r="A529" t="s">
        <v>187</v>
      </c>
      <c r="B529">
        <v>185</v>
      </c>
      <c r="C529" s="1">
        <v>45838</v>
      </c>
      <c r="D529">
        <v>3387.55</v>
      </c>
      <c r="G529" t="s">
        <v>426</v>
      </c>
      <c r="H529">
        <v>0</v>
      </c>
      <c r="I529" s="1">
        <v>45688</v>
      </c>
      <c r="J529">
        <v>18328</v>
      </c>
    </row>
    <row r="530" spans="1:10">
      <c r="A530" t="s">
        <v>187</v>
      </c>
      <c r="B530">
        <v>185</v>
      </c>
      <c r="C530" s="1">
        <v>45869</v>
      </c>
      <c r="D530">
        <v>3556.93</v>
      </c>
      <c r="G530" t="s">
        <v>426</v>
      </c>
      <c r="H530">
        <v>0</v>
      </c>
      <c r="I530" s="1">
        <v>45716</v>
      </c>
      <c r="J530">
        <v>18328</v>
      </c>
    </row>
    <row r="531" spans="1:10">
      <c r="A531" t="s">
        <v>187</v>
      </c>
      <c r="B531">
        <v>185</v>
      </c>
      <c r="C531" s="1">
        <v>45900</v>
      </c>
      <c r="D531">
        <v>3734.77</v>
      </c>
      <c r="G531" t="s">
        <v>426</v>
      </c>
      <c r="H531">
        <v>0</v>
      </c>
      <c r="I531" s="1">
        <v>45747</v>
      </c>
      <c r="J531">
        <v>18328</v>
      </c>
    </row>
    <row r="532" spans="1:10">
      <c r="A532" t="s">
        <v>187</v>
      </c>
      <c r="B532">
        <v>185</v>
      </c>
      <c r="C532" s="1">
        <v>45930</v>
      </c>
      <c r="D532">
        <v>3921.51</v>
      </c>
      <c r="G532" t="s">
        <v>426</v>
      </c>
      <c r="H532">
        <v>0</v>
      </c>
      <c r="I532" s="1">
        <v>45777</v>
      </c>
      <c r="J532">
        <v>18328</v>
      </c>
    </row>
    <row r="533" spans="1:10">
      <c r="A533" t="s">
        <v>188</v>
      </c>
      <c r="B533">
        <v>186</v>
      </c>
      <c r="C533" s="1">
        <v>45291</v>
      </c>
      <c r="D533">
        <v>1973</v>
      </c>
      <c r="G533" t="s">
        <v>426</v>
      </c>
      <c r="H533">
        <v>0</v>
      </c>
      <c r="I533" s="1">
        <v>45808</v>
      </c>
      <c r="J533">
        <v>18328</v>
      </c>
    </row>
    <row r="534" spans="1:10">
      <c r="A534" t="s">
        <v>188</v>
      </c>
      <c r="B534">
        <v>186</v>
      </c>
      <c r="C534" s="1">
        <v>45322</v>
      </c>
      <c r="D534">
        <v>1167</v>
      </c>
      <c r="G534" t="s">
        <v>426</v>
      </c>
      <c r="H534">
        <v>0</v>
      </c>
      <c r="I534" s="1">
        <v>45838</v>
      </c>
      <c r="J534">
        <v>18328</v>
      </c>
    </row>
    <row r="535" spans="1:10">
      <c r="A535" t="s">
        <v>188</v>
      </c>
      <c r="B535">
        <v>186</v>
      </c>
      <c r="C535" s="1">
        <v>45351</v>
      </c>
      <c r="D535">
        <v>2071</v>
      </c>
      <c r="G535" t="s">
        <v>426</v>
      </c>
      <c r="H535">
        <v>0</v>
      </c>
      <c r="I535" s="1">
        <v>45869</v>
      </c>
      <c r="J535">
        <v>18328</v>
      </c>
    </row>
    <row r="536" spans="1:10">
      <c r="A536" t="s">
        <v>188</v>
      </c>
      <c r="B536">
        <v>186</v>
      </c>
      <c r="C536" s="1">
        <v>45382</v>
      </c>
      <c r="D536">
        <v>1225</v>
      </c>
      <c r="G536" t="s">
        <v>426</v>
      </c>
      <c r="H536">
        <v>0</v>
      </c>
      <c r="I536" s="1">
        <v>45900</v>
      </c>
      <c r="J536">
        <v>18328</v>
      </c>
    </row>
    <row r="537" spans="1:10">
      <c r="A537" t="s">
        <v>188</v>
      </c>
      <c r="B537">
        <v>186</v>
      </c>
      <c r="C537" s="1">
        <v>45412</v>
      </c>
      <c r="D537">
        <v>2175</v>
      </c>
      <c r="G537" t="s">
        <v>426</v>
      </c>
      <c r="H537">
        <v>0</v>
      </c>
      <c r="I537" s="1">
        <v>45930</v>
      </c>
      <c r="J537">
        <v>18328</v>
      </c>
    </row>
    <row r="538" spans="1:10">
      <c r="A538" t="s">
        <v>188</v>
      </c>
      <c r="B538">
        <v>186</v>
      </c>
      <c r="C538" s="1">
        <v>45443</v>
      </c>
      <c r="D538">
        <v>1286</v>
      </c>
      <c r="G538" t="s">
        <v>427</v>
      </c>
      <c r="H538">
        <v>0</v>
      </c>
      <c r="I538" s="1">
        <v>45291</v>
      </c>
      <c r="J538">
        <v>73677.5</v>
      </c>
    </row>
    <row r="539" spans="1:10">
      <c r="A539" t="s">
        <v>188</v>
      </c>
      <c r="B539">
        <v>186</v>
      </c>
      <c r="C539" s="1">
        <v>45473</v>
      </c>
      <c r="D539">
        <v>2284</v>
      </c>
      <c r="G539" t="s">
        <v>427</v>
      </c>
      <c r="H539">
        <v>0</v>
      </c>
      <c r="I539" s="1">
        <v>45322</v>
      </c>
      <c r="J539">
        <v>73677.5</v>
      </c>
    </row>
    <row r="540" spans="1:10">
      <c r="A540" t="s">
        <v>188</v>
      </c>
      <c r="B540">
        <v>186</v>
      </c>
      <c r="C540" s="1">
        <v>45504</v>
      </c>
      <c r="D540">
        <v>2398</v>
      </c>
      <c r="G540" t="s">
        <v>427</v>
      </c>
      <c r="H540">
        <v>0</v>
      </c>
      <c r="I540" s="1">
        <v>45351</v>
      </c>
      <c r="J540">
        <v>73677.5</v>
      </c>
    </row>
    <row r="541" spans="1:10">
      <c r="A541" t="s">
        <v>188</v>
      </c>
      <c r="B541">
        <v>186</v>
      </c>
      <c r="C541" s="1">
        <v>45535</v>
      </c>
      <c r="D541">
        <v>2398</v>
      </c>
      <c r="G541" t="s">
        <v>427</v>
      </c>
      <c r="H541">
        <v>0</v>
      </c>
      <c r="I541" s="1">
        <v>45382</v>
      </c>
      <c r="J541">
        <v>73677.5</v>
      </c>
    </row>
    <row r="542" spans="1:10">
      <c r="A542" t="s">
        <v>188</v>
      </c>
      <c r="B542">
        <v>186</v>
      </c>
      <c r="C542" s="1">
        <v>45565</v>
      </c>
      <c r="D542">
        <v>2518</v>
      </c>
      <c r="G542" t="s">
        <v>427</v>
      </c>
      <c r="H542">
        <v>0</v>
      </c>
      <c r="I542" s="1">
        <v>45412</v>
      </c>
      <c r="J542">
        <v>73677.5</v>
      </c>
    </row>
    <row r="543" spans="1:10">
      <c r="A543" t="s">
        <v>188</v>
      </c>
      <c r="B543">
        <v>186</v>
      </c>
      <c r="C543" s="1">
        <v>45596</v>
      </c>
      <c r="D543">
        <v>2518</v>
      </c>
      <c r="G543" t="s">
        <v>427</v>
      </c>
      <c r="H543">
        <v>0</v>
      </c>
      <c r="I543" s="1">
        <v>45443</v>
      </c>
      <c r="J543">
        <v>73677.5</v>
      </c>
    </row>
    <row r="544" spans="1:10">
      <c r="A544" t="s">
        <v>188</v>
      </c>
      <c r="B544">
        <v>186</v>
      </c>
      <c r="C544" s="1">
        <v>45626</v>
      </c>
      <c r="D544">
        <v>2644</v>
      </c>
      <c r="G544" t="s">
        <v>427</v>
      </c>
      <c r="H544">
        <v>0</v>
      </c>
      <c r="I544" s="1">
        <v>45473</v>
      </c>
      <c r="J544">
        <v>73677.5</v>
      </c>
    </row>
    <row r="545" spans="1:10">
      <c r="A545" t="s">
        <v>188</v>
      </c>
      <c r="B545">
        <v>186</v>
      </c>
      <c r="C545" s="1">
        <v>45657</v>
      </c>
      <c r="D545">
        <v>2776</v>
      </c>
      <c r="G545" t="s">
        <v>427</v>
      </c>
      <c r="H545">
        <v>0</v>
      </c>
      <c r="I545" s="1">
        <v>45504</v>
      </c>
      <c r="J545">
        <v>73677.5</v>
      </c>
    </row>
    <row r="546" spans="1:10">
      <c r="A546" t="s">
        <v>188</v>
      </c>
      <c r="B546">
        <v>186</v>
      </c>
      <c r="C546" s="1">
        <v>45688</v>
      </c>
      <c r="D546">
        <v>2914.68</v>
      </c>
      <c r="G546" t="s">
        <v>427</v>
      </c>
      <c r="H546">
        <v>0</v>
      </c>
      <c r="I546" s="1">
        <v>45535</v>
      </c>
      <c r="J546">
        <v>73677.5</v>
      </c>
    </row>
    <row r="547" spans="1:10">
      <c r="A547" t="s">
        <v>188</v>
      </c>
      <c r="B547">
        <v>186</v>
      </c>
      <c r="C547" s="1">
        <v>45716</v>
      </c>
      <c r="D547">
        <v>3060</v>
      </c>
      <c r="G547" t="s">
        <v>427</v>
      </c>
      <c r="H547">
        <v>0</v>
      </c>
      <c r="I547" s="1">
        <v>45565</v>
      </c>
      <c r="J547">
        <v>73677.5</v>
      </c>
    </row>
    <row r="548" spans="1:10">
      <c r="A548" t="s">
        <v>188</v>
      </c>
      <c r="B548">
        <v>186</v>
      </c>
      <c r="C548" s="1">
        <v>45747</v>
      </c>
      <c r="D548">
        <v>3213</v>
      </c>
      <c r="G548" t="s">
        <v>427</v>
      </c>
      <c r="H548">
        <v>0</v>
      </c>
      <c r="I548" s="1">
        <v>45596</v>
      </c>
      <c r="J548">
        <v>73677.5</v>
      </c>
    </row>
    <row r="549" spans="1:10">
      <c r="A549" t="s">
        <v>188</v>
      </c>
      <c r="B549">
        <v>186</v>
      </c>
      <c r="C549" s="1">
        <v>45777</v>
      </c>
      <c r="D549">
        <v>3374</v>
      </c>
      <c r="G549" t="s">
        <v>427</v>
      </c>
      <c r="H549">
        <v>0</v>
      </c>
      <c r="I549" s="1">
        <v>45626</v>
      </c>
      <c r="J549">
        <v>73677.5</v>
      </c>
    </row>
    <row r="550" spans="1:10">
      <c r="A550" t="s">
        <v>188</v>
      </c>
      <c r="B550">
        <v>186</v>
      </c>
      <c r="C550" s="1">
        <v>45808</v>
      </c>
      <c r="D550">
        <v>3543</v>
      </c>
      <c r="G550" t="s">
        <v>427</v>
      </c>
      <c r="H550">
        <v>0</v>
      </c>
      <c r="I550" s="1">
        <v>45657</v>
      </c>
      <c r="J550">
        <v>73677.5</v>
      </c>
    </row>
    <row r="551" spans="1:10">
      <c r="A551" t="s">
        <v>188</v>
      </c>
      <c r="B551">
        <v>186</v>
      </c>
      <c r="C551" s="1">
        <v>45838</v>
      </c>
      <c r="D551">
        <v>3719.9</v>
      </c>
      <c r="G551" t="s">
        <v>427</v>
      </c>
      <c r="H551">
        <v>0</v>
      </c>
      <c r="I551" s="1">
        <v>45688</v>
      </c>
      <c r="J551">
        <v>73677.5</v>
      </c>
    </row>
    <row r="552" spans="1:10">
      <c r="A552" t="s">
        <v>188</v>
      </c>
      <c r="B552">
        <v>186</v>
      </c>
      <c r="C552" s="1">
        <v>45869</v>
      </c>
      <c r="D552">
        <v>3905.95</v>
      </c>
      <c r="G552" t="s">
        <v>427</v>
      </c>
      <c r="H552">
        <v>0</v>
      </c>
      <c r="I552" s="1">
        <v>45716</v>
      </c>
      <c r="J552">
        <v>73677.5</v>
      </c>
    </row>
    <row r="553" spans="1:10">
      <c r="A553" t="s">
        <v>188</v>
      </c>
      <c r="B553">
        <v>186</v>
      </c>
      <c r="C553" s="1">
        <v>45900</v>
      </c>
      <c r="D553">
        <v>4101.25</v>
      </c>
      <c r="G553" t="s">
        <v>427</v>
      </c>
      <c r="H553">
        <v>0</v>
      </c>
      <c r="I553" s="1">
        <v>45747</v>
      </c>
      <c r="J553">
        <v>73677.5</v>
      </c>
    </row>
    <row r="554" spans="1:10">
      <c r="A554" t="s">
        <v>188</v>
      </c>
      <c r="B554">
        <v>186</v>
      </c>
      <c r="C554" s="1">
        <v>45930</v>
      </c>
      <c r="D554">
        <v>4306.32</v>
      </c>
      <c r="G554" t="s">
        <v>427</v>
      </c>
      <c r="H554">
        <v>0</v>
      </c>
      <c r="I554" s="1">
        <v>45777</v>
      </c>
      <c r="J554">
        <v>73677.5</v>
      </c>
    </row>
    <row r="555" spans="1:10">
      <c r="A555" t="s">
        <v>189</v>
      </c>
      <c r="B555">
        <v>205</v>
      </c>
      <c r="C555" s="1">
        <v>45291</v>
      </c>
      <c r="D555">
        <v>766.5</v>
      </c>
      <c r="G555" t="s">
        <v>427</v>
      </c>
      <c r="H555">
        <v>0</v>
      </c>
      <c r="I555" s="1">
        <v>45808</v>
      </c>
      <c r="J555">
        <v>73677.5</v>
      </c>
    </row>
    <row r="556" spans="1:10">
      <c r="A556" t="s">
        <v>189</v>
      </c>
      <c r="B556">
        <v>205</v>
      </c>
      <c r="C556" s="1">
        <v>45322</v>
      </c>
      <c r="D556">
        <v>626</v>
      </c>
      <c r="G556" t="s">
        <v>427</v>
      </c>
      <c r="H556">
        <v>0</v>
      </c>
      <c r="I556" s="1">
        <v>45838</v>
      </c>
      <c r="J556">
        <v>74677.5</v>
      </c>
    </row>
    <row r="557" spans="1:10">
      <c r="A557" t="s">
        <v>189</v>
      </c>
      <c r="B557">
        <v>205</v>
      </c>
      <c r="C557" s="1">
        <v>45351</v>
      </c>
      <c r="D557">
        <v>805</v>
      </c>
      <c r="G557" t="s">
        <v>427</v>
      </c>
      <c r="H557">
        <v>0</v>
      </c>
      <c r="I557" s="1">
        <v>45869</v>
      </c>
      <c r="J557">
        <v>74677.5</v>
      </c>
    </row>
    <row r="558" spans="1:10">
      <c r="A558" t="s">
        <v>189</v>
      </c>
      <c r="B558">
        <v>205</v>
      </c>
      <c r="C558" s="1">
        <v>45382</v>
      </c>
      <c r="D558">
        <v>658</v>
      </c>
      <c r="G558" t="s">
        <v>427</v>
      </c>
      <c r="H558">
        <v>0</v>
      </c>
      <c r="I558" s="1">
        <v>45900</v>
      </c>
      <c r="J558">
        <v>74677.5</v>
      </c>
    </row>
    <row r="559" spans="1:10">
      <c r="A559" t="s">
        <v>189</v>
      </c>
      <c r="B559">
        <v>205</v>
      </c>
      <c r="C559" s="1">
        <v>45412</v>
      </c>
      <c r="D559">
        <v>845</v>
      </c>
      <c r="G559" t="s">
        <v>427</v>
      </c>
      <c r="H559">
        <v>0</v>
      </c>
      <c r="I559" s="1">
        <v>45930</v>
      </c>
      <c r="J559">
        <v>74677.5</v>
      </c>
    </row>
    <row r="560" spans="1:10">
      <c r="A560" t="s">
        <v>189</v>
      </c>
      <c r="B560">
        <v>205</v>
      </c>
      <c r="C560" s="1">
        <v>45443</v>
      </c>
      <c r="D560">
        <v>690</v>
      </c>
      <c r="G560" t="s">
        <v>223</v>
      </c>
      <c r="H560">
        <v>162</v>
      </c>
      <c r="I560" s="1">
        <v>45291</v>
      </c>
      <c r="J560">
        <v>1500000</v>
      </c>
    </row>
    <row r="561" spans="1:10">
      <c r="A561" t="s">
        <v>189</v>
      </c>
      <c r="B561">
        <v>205</v>
      </c>
      <c r="C561" s="1">
        <v>45473</v>
      </c>
      <c r="D561">
        <v>887</v>
      </c>
      <c r="G561" t="s">
        <v>223</v>
      </c>
      <c r="H561">
        <v>162</v>
      </c>
      <c r="I561" s="1">
        <v>45322</v>
      </c>
      <c r="J561">
        <v>1500000</v>
      </c>
    </row>
    <row r="562" spans="1:10">
      <c r="A562" t="s">
        <v>189</v>
      </c>
      <c r="B562">
        <v>205</v>
      </c>
      <c r="C562" s="1">
        <v>45504</v>
      </c>
      <c r="D562">
        <v>932</v>
      </c>
      <c r="G562" t="s">
        <v>223</v>
      </c>
      <c r="H562">
        <v>162</v>
      </c>
      <c r="I562" s="1">
        <v>45351</v>
      </c>
      <c r="J562">
        <v>1500000</v>
      </c>
    </row>
    <row r="563" spans="1:10">
      <c r="A563" t="s">
        <v>189</v>
      </c>
      <c r="B563">
        <v>205</v>
      </c>
      <c r="C563" s="1">
        <v>45535</v>
      </c>
      <c r="D563">
        <v>932</v>
      </c>
      <c r="G563" t="s">
        <v>223</v>
      </c>
      <c r="H563">
        <v>162</v>
      </c>
      <c r="I563" s="1">
        <v>45382</v>
      </c>
      <c r="J563">
        <v>1500000</v>
      </c>
    </row>
    <row r="564" spans="1:10">
      <c r="A564" t="s">
        <v>189</v>
      </c>
      <c r="B564">
        <v>205</v>
      </c>
      <c r="C564" s="1">
        <v>45565</v>
      </c>
      <c r="D564">
        <v>978</v>
      </c>
      <c r="G564" t="s">
        <v>223</v>
      </c>
      <c r="H564">
        <v>162</v>
      </c>
      <c r="I564" s="1">
        <v>45412</v>
      </c>
      <c r="J564">
        <v>1500000</v>
      </c>
    </row>
    <row r="565" spans="1:10">
      <c r="A565" t="s">
        <v>189</v>
      </c>
      <c r="B565">
        <v>205</v>
      </c>
      <c r="C565" s="1">
        <v>45596</v>
      </c>
      <c r="D565">
        <v>978</v>
      </c>
      <c r="G565" t="s">
        <v>223</v>
      </c>
      <c r="H565">
        <v>162</v>
      </c>
      <c r="I565" s="1">
        <v>45443</v>
      </c>
      <c r="J565">
        <v>1500000</v>
      </c>
    </row>
    <row r="566" spans="1:10">
      <c r="A566" t="s">
        <v>189</v>
      </c>
      <c r="B566">
        <v>205</v>
      </c>
      <c r="C566" s="1">
        <v>45626</v>
      </c>
      <c r="D566">
        <v>1027</v>
      </c>
      <c r="G566" t="s">
        <v>223</v>
      </c>
      <c r="H566">
        <v>162</v>
      </c>
      <c r="I566" s="1">
        <v>45473</v>
      </c>
      <c r="J566">
        <v>1500000</v>
      </c>
    </row>
    <row r="567" spans="1:10">
      <c r="A567" t="s">
        <v>189</v>
      </c>
      <c r="B567">
        <v>205</v>
      </c>
      <c r="C567" s="1">
        <v>45657</v>
      </c>
      <c r="D567">
        <v>1079</v>
      </c>
      <c r="G567" t="s">
        <v>223</v>
      </c>
      <c r="H567">
        <v>162</v>
      </c>
      <c r="I567" s="1">
        <v>45504</v>
      </c>
      <c r="J567">
        <v>1500000</v>
      </c>
    </row>
    <row r="568" spans="1:10">
      <c r="A568" t="s">
        <v>189</v>
      </c>
      <c r="B568">
        <v>205</v>
      </c>
      <c r="C568" s="1">
        <v>45688</v>
      </c>
      <c r="D568">
        <v>1132.55</v>
      </c>
      <c r="G568" t="s">
        <v>223</v>
      </c>
      <c r="H568">
        <v>162</v>
      </c>
      <c r="I568" s="1">
        <v>45535</v>
      </c>
      <c r="J568">
        <v>1500000</v>
      </c>
    </row>
    <row r="569" spans="1:10">
      <c r="A569" t="s">
        <v>189</v>
      </c>
      <c r="B569">
        <v>205</v>
      </c>
      <c r="C569" s="1">
        <v>45716</v>
      </c>
      <c r="D569">
        <v>1189</v>
      </c>
      <c r="G569" t="s">
        <v>223</v>
      </c>
      <c r="H569">
        <v>162</v>
      </c>
      <c r="I569" s="1">
        <v>45565</v>
      </c>
      <c r="J569">
        <v>1500000</v>
      </c>
    </row>
    <row r="570" spans="1:10">
      <c r="A570" t="s">
        <v>189</v>
      </c>
      <c r="B570">
        <v>205</v>
      </c>
      <c r="C570" s="1">
        <v>45747</v>
      </c>
      <c r="D570">
        <v>1249</v>
      </c>
      <c r="G570" t="s">
        <v>223</v>
      </c>
      <c r="H570">
        <v>162</v>
      </c>
      <c r="I570" s="1">
        <v>45596</v>
      </c>
      <c r="J570">
        <v>1500000</v>
      </c>
    </row>
    <row r="571" spans="1:10">
      <c r="A571" t="s">
        <v>189</v>
      </c>
      <c r="B571">
        <v>205</v>
      </c>
      <c r="C571" s="1">
        <v>45777</v>
      </c>
      <c r="D571">
        <v>1311</v>
      </c>
      <c r="G571" t="s">
        <v>223</v>
      </c>
      <c r="H571">
        <v>162</v>
      </c>
      <c r="I571" s="1">
        <v>45626</v>
      </c>
      <c r="J571">
        <v>1500000</v>
      </c>
    </row>
    <row r="572" spans="1:10">
      <c r="A572" t="s">
        <v>189</v>
      </c>
      <c r="B572">
        <v>205</v>
      </c>
      <c r="C572" s="1">
        <v>45808</v>
      </c>
      <c r="D572">
        <v>1377</v>
      </c>
      <c r="G572" t="s">
        <v>223</v>
      </c>
      <c r="H572">
        <v>162</v>
      </c>
      <c r="I572" s="1">
        <v>45657</v>
      </c>
      <c r="J572">
        <v>1500000</v>
      </c>
    </row>
    <row r="573" spans="1:10">
      <c r="A573" t="s">
        <v>189</v>
      </c>
      <c r="B573">
        <v>205</v>
      </c>
      <c r="C573" s="1">
        <v>45838</v>
      </c>
      <c r="D573">
        <v>1445.45</v>
      </c>
      <c r="G573" t="s">
        <v>223</v>
      </c>
      <c r="H573">
        <v>162</v>
      </c>
      <c r="I573" s="1">
        <v>45688</v>
      </c>
      <c r="J573">
        <v>1500000</v>
      </c>
    </row>
    <row r="574" spans="1:10">
      <c r="A574" t="s">
        <v>189</v>
      </c>
      <c r="B574">
        <v>205</v>
      </c>
      <c r="C574" s="1">
        <v>45869</v>
      </c>
      <c r="D574">
        <v>1517.72</v>
      </c>
      <c r="G574" t="s">
        <v>223</v>
      </c>
      <c r="H574">
        <v>162</v>
      </c>
      <c r="I574" s="1">
        <v>45716</v>
      </c>
      <c r="J574">
        <v>1500000</v>
      </c>
    </row>
    <row r="575" spans="1:10">
      <c r="A575" t="s">
        <v>189</v>
      </c>
      <c r="B575">
        <v>205</v>
      </c>
      <c r="C575" s="1">
        <v>45900</v>
      </c>
      <c r="D575">
        <v>1593.63</v>
      </c>
      <c r="G575" t="s">
        <v>223</v>
      </c>
      <c r="H575">
        <v>162</v>
      </c>
      <c r="I575" s="1">
        <v>45747</v>
      </c>
      <c r="J575">
        <v>1500000</v>
      </c>
    </row>
    <row r="576" spans="1:10">
      <c r="A576" t="s">
        <v>189</v>
      </c>
      <c r="B576">
        <v>205</v>
      </c>
      <c r="C576" s="1">
        <v>45930</v>
      </c>
      <c r="D576">
        <v>1673.28</v>
      </c>
      <c r="G576" t="s">
        <v>223</v>
      </c>
      <c r="H576">
        <v>162</v>
      </c>
      <c r="I576" s="1">
        <v>45777</v>
      </c>
      <c r="J576">
        <v>1500000</v>
      </c>
    </row>
    <row r="577" spans="1:10">
      <c r="A577" t="s">
        <v>428</v>
      </c>
      <c r="B577">
        <v>0</v>
      </c>
      <c r="C577" s="1">
        <v>45291</v>
      </c>
      <c r="D577">
        <v>4535.5</v>
      </c>
      <c r="G577" t="s">
        <v>223</v>
      </c>
      <c r="H577">
        <v>162</v>
      </c>
      <c r="I577" s="1">
        <v>45808</v>
      </c>
      <c r="J577">
        <v>1500000</v>
      </c>
    </row>
    <row r="578" spans="1:10">
      <c r="A578" t="s">
        <v>428</v>
      </c>
      <c r="B578">
        <v>0</v>
      </c>
      <c r="C578" s="1">
        <v>45322</v>
      </c>
      <c r="D578">
        <v>3031</v>
      </c>
      <c r="G578" t="s">
        <v>223</v>
      </c>
      <c r="H578">
        <v>162</v>
      </c>
      <c r="I578" s="1">
        <v>45838</v>
      </c>
      <c r="J578">
        <v>1500000</v>
      </c>
    </row>
    <row r="579" spans="1:10">
      <c r="A579" t="s">
        <v>428</v>
      </c>
      <c r="B579">
        <v>0</v>
      </c>
      <c r="C579" s="1">
        <v>45351</v>
      </c>
      <c r="D579">
        <v>4762</v>
      </c>
      <c r="G579" t="s">
        <v>223</v>
      </c>
      <c r="H579">
        <v>162</v>
      </c>
      <c r="I579" s="1">
        <v>45869</v>
      </c>
      <c r="J579">
        <v>1500000</v>
      </c>
    </row>
    <row r="580" spans="1:10">
      <c r="A580" t="s">
        <v>428</v>
      </c>
      <c r="B580">
        <v>0</v>
      </c>
      <c r="C580" s="1">
        <v>45382</v>
      </c>
      <c r="D580">
        <v>3183</v>
      </c>
      <c r="G580" t="s">
        <v>223</v>
      </c>
      <c r="H580">
        <v>162</v>
      </c>
      <c r="I580" s="1">
        <v>45900</v>
      </c>
      <c r="J580">
        <v>1500000</v>
      </c>
    </row>
    <row r="581" spans="1:10">
      <c r="A581" t="s">
        <v>428</v>
      </c>
      <c r="B581">
        <v>0</v>
      </c>
      <c r="C581" s="1">
        <v>45412</v>
      </c>
      <c r="D581">
        <v>5001</v>
      </c>
      <c r="G581" t="s">
        <v>223</v>
      </c>
      <c r="H581">
        <v>162</v>
      </c>
      <c r="I581" s="1">
        <v>45930</v>
      </c>
      <c r="J581">
        <v>1500000</v>
      </c>
    </row>
    <row r="582" spans="1:10">
      <c r="A582" t="s">
        <v>428</v>
      </c>
      <c r="B582">
        <v>0</v>
      </c>
      <c r="C582" s="1">
        <v>45443</v>
      </c>
      <c r="D582">
        <v>3341</v>
      </c>
      <c r="G582" t="s">
        <v>224</v>
      </c>
      <c r="H582">
        <v>163</v>
      </c>
      <c r="I582" s="1">
        <v>45291</v>
      </c>
      <c r="J582">
        <v>30000</v>
      </c>
    </row>
    <row r="583" spans="1:10">
      <c r="A583" t="s">
        <v>428</v>
      </c>
      <c r="B583">
        <v>0</v>
      </c>
      <c r="C583" s="1">
        <v>45473</v>
      </c>
      <c r="D583">
        <v>5251</v>
      </c>
      <c r="G583" t="s">
        <v>224</v>
      </c>
      <c r="H583">
        <v>163</v>
      </c>
      <c r="I583" s="1">
        <v>45322</v>
      </c>
      <c r="J583">
        <v>30000</v>
      </c>
    </row>
    <row r="584" spans="1:10">
      <c r="A584" t="s">
        <v>428</v>
      </c>
      <c r="B584">
        <v>0</v>
      </c>
      <c r="C584" s="1">
        <v>45504</v>
      </c>
      <c r="D584">
        <v>5514</v>
      </c>
      <c r="G584" t="s">
        <v>224</v>
      </c>
      <c r="H584">
        <v>163</v>
      </c>
      <c r="I584" s="1">
        <v>45351</v>
      </c>
      <c r="J584">
        <v>30000</v>
      </c>
    </row>
    <row r="585" spans="1:10">
      <c r="A585" t="s">
        <v>428</v>
      </c>
      <c r="B585">
        <v>0</v>
      </c>
      <c r="C585" s="1">
        <v>45535</v>
      </c>
      <c r="D585">
        <v>5514</v>
      </c>
      <c r="G585" t="s">
        <v>224</v>
      </c>
      <c r="H585">
        <v>163</v>
      </c>
      <c r="I585" s="1">
        <v>45382</v>
      </c>
      <c r="J585">
        <v>30000</v>
      </c>
    </row>
    <row r="586" spans="1:10">
      <c r="A586" t="s">
        <v>428</v>
      </c>
      <c r="B586">
        <v>0</v>
      </c>
      <c r="C586" s="1">
        <v>45565</v>
      </c>
      <c r="D586">
        <v>5789</v>
      </c>
      <c r="G586" t="s">
        <v>224</v>
      </c>
      <c r="H586">
        <v>163</v>
      </c>
      <c r="I586" s="1">
        <v>45412</v>
      </c>
      <c r="J586">
        <v>30000</v>
      </c>
    </row>
    <row r="587" spans="1:10">
      <c r="A587" t="s">
        <v>428</v>
      </c>
      <c r="B587">
        <v>0</v>
      </c>
      <c r="C587" s="1">
        <v>45596</v>
      </c>
      <c r="D587">
        <v>5789</v>
      </c>
      <c r="G587" t="s">
        <v>224</v>
      </c>
      <c r="H587">
        <v>163</v>
      </c>
      <c r="I587" s="1">
        <v>45443</v>
      </c>
      <c r="J587">
        <v>30000</v>
      </c>
    </row>
    <row r="588" spans="1:10">
      <c r="A588" t="s">
        <v>428</v>
      </c>
      <c r="B588">
        <v>0</v>
      </c>
      <c r="C588" s="1">
        <v>45626</v>
      </c>
      <c r="D588">
        <v>6078</v>
      </c>
      <c r="G588" t="s">
        <v>224</v>
      </c>
      <c r="H588">
        <v>163</v>
      </c>
      <c r="I588" s="1">
        <v>45473</v>
      </c>
      <c r="J588">
        <v>30000</v>
      </c>
    </row>
    <row r="589" spans="1:10">
      <c r="A589" t="s">
        <v>428</v>
      </c>
      <c r="B589">
        <v>0</v>
      </c>
      <c r="C589" s="1">
        <v>45657</v>
      </c>
      <c r="D589">
        <v>6383</v>
      </c>
      <c r="G589" t="s">
        <v>224</v>
      </c>
      <c r="H589">
        <v>163</v>
      </c>
      <c r="I589" s="1">
        <v>45504</v>
      </c>
      <c r="J589">
        <v>30000</v>
      </c>
    </row>
    <row r="590" spans="1:10">
      <c r="A590" t="s">
        <v>428</v>
      </c>
      <c r="B590">
        <v>0</v>
      </c>
      <c r="C590" s="1">
        <v>45688</v>
      </c>
      <c r="D590">
        <v>6701.46</v>
      </c>
      <c r="G590" t="s">
        <v>224</v>
      </c>
      <c r="H590">
        <v>163</v>
      </c>
      <c r="I590" s="1">
        <v>45535</v>
      </c>
      <c r="J590">
        <v>30000</v>
      </c>
    </row>
    <row r="591" spans="1:10">
      <c r="A591" t="s">
        <v>428</v>
      </c>
      <c r="B591">
        <v>0</v>
      </c>
      <c r="C591" s="1">
        <v>45716</v>
      </c>
      <c r="D591">
        <v>7036</v>
      </c>
      <c r="G591" t="s">
        <v>224</v>
      </c>
      <c r="H591">
        <v>163</v>
      </c>
      <c r="I591" s="1">
        <v>45565</v>
      </c>
      <c r="J591">
        <v>30000</v>
      </c>
    </row>
    <row r="592" spans="1:10">
      <c r="A592" t="s">
        <v>428</v>
      </c>
      <c r="B592">
        <v>0</v>
      </c>
      <c r="C592" s="1">
        <v>45747</v>
      </c>
      <c r="D592">
        <v>7388</v>
      </c>
      <c r="G592" t="s">
        <v>224</v>
      </c>
      <c r="H592">
        <v>163</v>
      </c>
      <c r="I592" s="1">
        <v>45596</v>
      </c>
      <c r="J592">
        <v>30000</v>
      </c>
    </row>
    <row r="593" spans="1:10">
      <c r="A593" t="s">
        <v>428</v>
      </c>
      <c r="B593">
        <v>0</v>
      </c>
      <c r="C593" s="1">
        <v>45777</v>
      </c>
      <c r="D593">
        <v>7758</v>
      </c>
      <c r="G593" t="s">
        <v>224</v>
      </c>
      <c r="H593">
        <v>163</v>
      </c>
      <c r="I593" s="1">
        <v>45626</v>
      </c>
      <c r="J593">
        <v>30000</v>
      </c>
    </row>
    <row r="594" spans="1:10">
      <c r="A594" t="s">
        <v>428</v>
      </c>
      <c r="B594">
        <v>0</v>
      </c>
      <c r="C594" s="1">
        <v>45808</v>
      </c>
      <c r="D594">
        <v>8146</v>
      </c>
      <c r="G594" t="s">
        <v>224</v>
      </c>
      <c r="H594">
        <v>163</v>
      </c>
      <c r="I594" s="1">
        <v>45657</v>
      </c>
      <c r="J594">
        <v>30000</v>
      </c>
    </row>
    <row r="595" spans="1:10">
      <c r="A595" t="s">
        <v>428</v>
      </c>
      <c r="B595">
        <v>0</v>
      </c>
      <c r="C595" s="1">
        <v>45838</v>
      </c>
      <c r="D595">
        <v>8552.9</v>
      </c>
      <c r="G595" t="s">
        <v>224</v>
      </c>
      <c r="H595">
        <v>163</v>
      </c>
      <c r="I595" s="1">
        <v>45688</v>
      </c>
      <c r="J595">
        <v>30000</v>
      </c>
    </row>
    <row r="596" spans="1:10">
      <c r="A596" t="s">
        <v>428</v>
      </c>
      <c r="B596">
        <v>0</v>
      </c>
      <c r="C596" s="1">
        <v>45869</v>
      </c>
      <c r="D596">
        <v>8980.6</v>
      </c>
      <c r="G596" t="s">
        <v>224</v>
      </c>
      <c r="H596">
        <v>163</v>
      </c>
      <c r="I596" s="1">
        <v>45716</v>
      </c>
      <c r="J596">
        <v>30000</v>
      </c>
    </row>
    <row r="597" spans="1:10">
      <c r="A597" t="s">
        <v>428</v>
      </c>
      <c r="B597">
        <v>0</v>
      </c>
      <c r="C597" s="1">
        <v>45900</v>
      </c>
      <c r="D597">
        <v>9429.65</v>
      </c>
      <c r="G597" t="s">
        <v>224</v>
      </c>
      <c r="H597">
        <v>163</v>
      </c>
      <c r="I597" s="1">
        <v>45747</v>
      </c>
      <c r="J597">
        <v>30000</v>
      </c>
    </row>
    <row r="598" spans="1:10">
      <c r="A598" t="s">
        <v>428</v>
      </c>
      <c r="B598">
        <v>0</v>
      </c>
      <c r="C598" s="1">
        <v>45930</v>
      </c>
      <c r="D598">
        <v>9901.11</v>
      </c>
      <c r="G598" t="s">
        <v>224</v>
      </c>
      <c r="H598">
        <v>163</v>
      </c>
      <c r="I598" s="1">
        <v>45777</v>
      </c>
      <c r="J598">
        <v>30000</v>
      </c>
    </row>
    <row r="599" spans="1:10">
      <c r="A599" t="s">
        <v>190</v>
      </c>
      <c r="B599">
        <v>206</v>
      </c>
      <c r="C599" s="1">
        <v>45838</v>
      </c>
      <c r="D599">
        <v>1000</v>
      </c>
      <c r="G599" t="s">
        <v>224</v>
      </c>
      <c r="H599">
        <v>163</v>
      </c>
      <c r="I599" s="1">
        <v>45808</v>
      </c>
      <c r="J599">
        <v>30000</v>
      </c>
    </row>
    <row r="600" spans="1:10">
      <c r="A600" t="s">
        <v>429</v>
      </c>
      <c r="B600">
        <v>0</v>
      </c>
      <c r="C600" s="1">
        <v>45291</v>
      </c>
      <c r="D600">
        <v>138892</v>
      </c>
      <c r="G600" t="s">
        <v>224</v>
      </c>
      <c r="H600">
        <v>163</v>
      </c>
      <c r="I600" s="1">
        <v>45838</v>
      </c>
      <c r="J600">
        <v>30000</v>
      </c>
    </row>
    <row r="601" spans="1:10">
      <c r="A601" t="s">
        <v>429</v>
      </c>
      <c r="B601">
        <v>0</v>
      </c>
      <c r="C601" s="1">
        <v>45322</v>
      </c>
      <c r="D601">
        <v>96166.5</v>
      </c>
      <c r="G601" t="s">
        <v>224</v>
      </c>
      <c r="H601">
        <v>163</v>
      </c>
      <c r="I601" s="1">
        <v>45869</v>
      </c>
      <c r="J601">
        <v>30000</v>
      </c>
    </row>
    <row r="602" spans="1:10">
      <c r="A602" t="s">
        <v>429</v>
      </c>
      <c r="B602">
        <v>0</v>
      </c>
      <c r="C602" s="1">
        <v>45351</v>
      </c>
      <c r="D602">
        <v>145836</v>
      </c>
      <c r="G602" t="s">
        <v>224</v>
      </c>
      <c r="H602">
        <v>163</v>
      </c>
      <c r="I602" s="1">
        <v>45900</v>
      </c>
      <c r="J602">
        <v>30000</v>
      </c>
    </row>
    <row r="603" spans="1:10">
      <c r="A603" t="s">
        <v>429</v>
      </c>
      <c r="B603">
        <v>0</v>
      </c>
      <c r="C603" s="1">
        <v>45382</v>
      </c>
      <c r="D603">
        <v>100974</v>
      </c>
      <c r="G603" t="s">
        <v>224</v>
      </c>
      <c r="H603">
        <v>163</v>
      </c>
      <c r="I603" s="1">
        <v>45930</v>
      </c>
      <c r="J603">
        <v>30000</v>
      </c>
    </row>
    <row r="604" spans="1:10">
      <c r="A604" t="s">
        <v>429</v>
      </c>
      <c r="B604">
        <v>0</v>
      </c>
      <c r="C604" s="1">
        <v>45412</v>
      </c>
      <c r="D604">
        <v>153128</v>
      </c>
      <c r="G604" t="s">
        <v>430</v>
      </c>
      <c r="H604">
        <v>0</v>
      </c>
      <c r="I604" s="1">
        <v>45291</v>
      </c>
      <c r="J604">
        <v>1530000</v>
      </c>
    </row>
    <row r="605" spans="1:10">
      <c r="A605" t="s">
        <v>429</v>
      </c>
      <c r="B605">
        <v>0</v>
      </c>
      <c r="C605" s="1">
        <v>45443</v>
      </c>
      <c r="D605">
        <v>106022</v>
      </c>
      <c r="G605" t="s">
        <v>430</v>
      </c>
      <c r="H605">
        <v>0</v>
      </c>
      <c r="I605" s="1">
        <v>45322</v>
      </c>
      <c r="J605">
        <v>1530000</v>
      </c>
    </row>
    <row r="606" spans="1:10">
      <c r="A606" t="s">
        <v>429</v>
      </c>
      <c r="B606">
        <v>0</v>
      </c>
      <c r="C606" s="1">
        <v>45473</v>
      </c>
      <c r="D606">
        <v>160784.5</v>
      </c>
      <c r="G606" t="s">
        <v>430</v>
      </c>
      <c r="H606">
        <v>0</v>
      </c>
      <c r="I606" s="1">
        <v>45351</v>
      </c>
      <c r="J606">
        <v>1530000</v>
      </c>
    </row>
    <row r="607" spans="1:10">
      <c r="A607" t="s">
        <v>429</v>
      </c>
      <c r="B607">
        <v>0</v>
      </c>
      <c r="C607" s="1">
        <v>45504</v>
      </c>
      <c r="D607">
        <v>168825</v>
      </c>
      <c r="G607" t="s">
        <v>430</v>
      </c>
      <c r="H607">
        <v>0</v>
      </c>
      <c r="I607" s="1">
        <v>45382</v>
      </c>
      <c r="J607">
        <v>1530000</v>
      </c>
    </row>
    <row r="608" spans="1:10">
      <c r="A608" t="s">
        <v>429</v>
      </c>
      <c r="B608">
        <v>0</v>
      </c>
      <c r="C608" s="1">
        <v>45535</v>
      </c>
      <c r="D608">
        <v>168824.5</v>
      </c>
      <c r="G608" t="s">
        <v>430</v>
      </c>
      <c r="H608">
        <v>0</v>
      </c>
      <c r="I608" s="1">
        <v>45412</v>
      </c>
      <c r="J608">
        <v>1530000</v>
      </c>
    </row>
    <row r="609" spans="1:10">
      <c r="A609" t="s">
        <v>429</v>
      </c>
      <c r="B609">
        <v>0</v>
      </c>
      <c r="C609" s="1">
        <v>45565</v>
      </c>
      <c r="D609">
        <v>177265</v>
      </c>
      <c r="G609" t="s">
        <v>430</v>
      </c>
      <c r="H609">
        <v>0</v>
      </c>
      <c r="I609" s="1">
        <v>45443</v>
      </c>
      <c r="J609">
        <v>1530000</v>
      </c>
    </row>
    <row r="610" spans="1:10">
      <c r="A610" t="s">
        <v>429</v>
      </c>
      <c r="B610">
        <v>0</v>
      </c>
      <c r="C610" s="1">
        <v>45596</v>
      </c>
      <c r="D610">
        <v>177265.67</v>
      </c>
      <c r="G610" t="s">
        <v>430</v>
      </c>
      <c r="H610">
        <v>0</v>
      </c>
      <c r="I610" s="1">
        <v>45473</v>
      </c>
      <c r="J610">
        <v>1530000</v>
      </c>
    </row>
    <row r="611" spans="1:10">
      <c r="A611" t="s">
        <v>429</v>
      </c>
      <c r="B611">
        <v>0</v>
      </c>
      <c r="C611" s="1">
        <v>45626</v>
      </c>
      <c r="D611">
        <v>186128.67</v>
      </c>
      <c r="G611" t="s">
        <v>430</v>
      </c>
      <c r="H611">
        <v>0</v>
      </c>
      <c r="I611" s="1">
        <v>45504</v>
      </c>
      <c r="J611">
        <v>1530000</v>
      </c>
    </row>
    <row r="612" spans="1:10">
      <c r="A612" t="s">
        <v>429</v>
      </c>
      <c r="B612">
        <v>0</v>
      </c>
      <c r="C612" s="1">
        <v>45657</v>
      </c>
      <c r="D612">
        <v>195434.5</v>
      </c>
      <c r="G612" t="s">
        <v>430</v>
      </c>
      <c r="H612">
        <v>0</v>
      </c>
      <c r="I612" s="1">
        <v>45535</v>
      </c>
      <c r="J612">
        <v>1530000</v>
      </c>
    </row>
    <row r="613" spans="1:10">
      <c r="A613" t="s">
        <v>429</v>
      </c>
      <c r="B613">
        <v>0</v>
      </c>
      <c r="C613" s="1">
        <v>45688</v>
      </c>
      <c r="D613">
        <v>205207.28999999899</v>
      </c>
      <c r="G613" t="s">
        <v>430</v>
      </c>
      <c r="H613">
        <v>0</v>
      </c>
      <c r="I613" s="1">
        <v>45565</v>
      </c>
      <c r="J613">
        <v>1530000</v>
      </c>
    </row>
    <row r="614" spans="1:10">
      <c r="A614" t="s">
        <v>429</v>
      </c>
      <c r="B614">
        <v>0</v>
      </c>
      <c r="C614" s="1">
        <v>45716</v>
      </c>
      <c r="D614">
        <v>215468</v>
      </c>
      <c r="G614" t="s">
        <v>430</v>
      </c>
      <c r="H614">
        <v>0</v>
      </c>
      <c r="I614" s="1">
        <v>45596</v>
      </c>
      <c r="J614">
        <v>1530000</v>
      </c>
    </row>
    <row r="615" spans="1:10">
      <c r="A615" t="s">
        <v>429</v>
      </c>
      <c r="B615">
        <v>0</v>
      </c>
      <c r="C615" s="1">
        <v>45747</v>
      </c>
      <c r="D615">
        <v>226242</v>
      </c>
      <c r="G615" t="s">
        <v>430</v>
      </c>
      <c r="H615">
        <v>0</v>
      </c>
      <c r="I615" s="1">
        <v>45626</v>
      </c>
      <c r="J615">
        <v>1530000</v>
      </c>
    </row>
    <row r="616" spans="1:10">
      <c r="A616" t="s">
        <v>429</v>
      </c>
      <c r="B616">
        <v>0</v>
      </c>
      <c r="C616" s="1">
        <v>45777</v>
      </c>
      <c r="D616">
        <v>237553</v>
      </c>
      <c r="G616" t="s">
        <v>430</v>
      </c>
      <c r="H616">
        <v>0</v>
      </c>
      <c r="I616" s="1">
        <v>45657</v>
      </c>
      <c r="J616">
        <v>1530000</v>
      </c>
    </row>
    <row r="617" spans="1:10">
      <c r="A617" t="s">
        <v>429</v>
      </c>
      <c r="B617">
        <v>0</v>
      </c>
      <c r="C617" s="1">
        <v>45808</v>
      </c>
      <c r="D617">
        <v>249432</v>
      </c>
      <c r="G617" t="s">
        <v>430</v>
      </c>
      <c r="H617">
        <v>0</v>
      </c>
      <c r="I617" s="1">
        <v>45688</v>
      </c>
      <c r="J617">
        <v>1530000</v>
      </c>
    </row>
    <row r="618" spans="1:10">
      <c r="A618" t="s">
        <v>429</v>
      </c>
      <c r="B618">
        <v>0</v>
      </c>
      <c r="C618" s="1">
        <v>45838</v>
      </c>
      <c r="D618">
        <v>262902.28000000003</v>
      </c>
      <c r="G618" t="s">
        <v>430</v>
      </c>
      <c r="H618">
        <v>0</v>
      </c>
      <c r="I618" s="1">
        <v>45716</v>
      </c>
      <c r="J618">
        <v>1530000</v>
      </c>
    </row>
    <row r="619" spans="1:10">
      <c r="A619" t="s">
        <v>429</v>
      </c>
      <c r="B619">
        <v>0</v>
      </c>
      <c r="C619" s="1">
        <v>45869</v>
      </c>
      <c r="D619">
        <v>274997.38999999902</v>
      </c>
      <c r="G619" t="s">
        <v>430</v>
      </c>
      <c r="H619">
        <v>0</v>
      </c>
      <c r="I619" s="1">
        <v>45747</v>
      </c>
      <c r="J619">
        <v>1530000</v>
      </c>
    </row>
    <row r="620" spans="1:10">
      <c r="A620" t="s">
        <v>429</v>
      </c>
      <c r="B620">
        <v>0</v>
      </c>
      <c r="C620" s="1">
        <v>45900</v>
      </c>
      <c r="D620">
        <v>288747.27</v>
      </c>
      <c r="G620" t="s">
        <v>430</v>
      </c>
      <c r="H620">
        <v>0</v>
      </c>
      <c r="I620" s="1">
        <v>45777</v>
      </c>
      <c r="J620">
        <v>1530000</v>
      </c>
    </row>
    <row r="621" spans="1:10">
      <c r="A621" t="s">
        <v>429</v>
      </c>
      <c r="B621">
        <v>0</v>
      </c>
      <c r="C621" s="1">
        <v>45930</v>
      </c>
      <c r="D621">
        <v>303184.62</v>
      </c>
      <c r="G621" t="s">
        <v>430</v>
      </c>
      <c r="H621">
        <v>0</v>
      </c>
      <c r="I621" s="1">
        <v>45808</v>
      </c>
      <c r="J621">
        <v>1530000</v>
      </c>
    </row>
    <row r="622" spans="1:10">
      <c r="A622" t="s">
        <v>191</v>
      </c>
      <c r="B622">
        <v>0</v>
      </c>
      <c r="C622" s="1">
        <v>45291</v>
      </c>
      <c r="D622">
        <v>-102689.5</v>
      </c>
      <c r="G622" t="s">
        <v>430</v>
      </c>
      <c r="H622">
        <v>0</v>
      </c>
      <c r="I622" s="1">
        <v>45838</v>
      </c>
      <c r="J622">
        <v>1530000</v>
      </c>
    </row>
    <row r="623" spans="1:10">
      <c r="A623" t="s">
        <v>191</v>
      </c>
      <c r="B623">
        <v>0</v>
      </c>
      <c r="C623" s="1">
        <v>45322</v>
      </c>
      <c r="D623">
        <v>-51309</v>
      </c>
      <c r="G623" t="s">
        <v>430</v>
      </c>
      <c r="H623">
        <v>0</v>
      </c>
      <c r="I623" s="1">
        <v>45869</v>
      </c>
      <c r="J623">
        <v>1530000</v>
      </c>
    </row>
    <row r="624" spans="1:10">
      <c r="A624" t="s">
        <v>191</v>
      </c>
      <c r="B624">
        <v>0</v>
      </c>
      <c r="C624" s="1">
        <v>45351</v>
      </c>
      <c r="D624">
        <v>-107824</v>
      </c>
      <c r="G624" t="s">
        <v>430</v>
      </c>
      <c r="H624">
        <v>0</v>
      </c>
      <c r="I624" s="1">
        <v>45900</v>
      </c>
      <c r="J624">
        <v>1530000</v>
      </c>
    </row>
    <row r="625" spans="1:10">
      <c r="A625" t="s">
        <v>191</v>
      </c>
      <c r="B625">
        <v>0</v>
      </c>
      <c r="C625" s="1">
        <v>45382</v>
      </c>
      <c r="D625">
        <v>-53873.5</v>
      </c>
      <c r="G625" t="s">
        <v>430</v>
      </c>
      <c r="H625">
        <v>0</v>
      </c>
      <c r="I625" s="1">
        <v>45930</v>
      </c>
      <c r="J625">
        <v>1530000</v>
      </c>
    </row>
    <row r="626" spans="1:10">
      <c r="A626" t="s">
        <v>191</v>
      </c>
      <c r="B626">
        <v>0</v>
      </c>
      <c r="C626" s="1">
        <v>45412</v>
      </c>
      <c r="D626">
        <v>-113214.5</v>
      </c>
      <c r="G626" t="s">
        <v>61</v>
      </c>
      <c r="H626">
        <v>0</v>
      </c>
      <c r="I626" s="1">
        <v>45291</v>
      </c>
      <c r="J626">
        <v>1603677.5</v>
      </c>
    </row>
    <row r="627" spans="1:10">
      <c r="A627" t="s">
        <v>191</v>
      </c>
      <c r="B627">
        <v>0</v>
      </c>
      <c r="C627" s="1">
        <v>45443</v>
      </c>
      <c r="D627">
        <v>-56566.5</v>
      </c>
      <c r="G627" t="s">
        <v>61</v>
      </c>
      <c r="H627">
        <v>0</v>
      </c>
      <c r="I627" s="1">
        <v>45322</v>
      </c>
      <c r="J627">
        <v>1603677.5</v>
      </c>
    </row>
    <row r="628" spans="1:10">
      <c r="A628" t="s">
        <v>191</v>
      </c>
      <c r="B628">
        <v>0</v>
      </c>
      <c r="C628" s="1">
        <v>45473</v>
      </c>
      <c r="D628">
        <v>-118876</v>
      </c>
      <c r="G628" t="s">
        <v>61</v>
      </c>
      <c r="H628">
        <v>0</v>
      </c>
      <c r="I628" s="1">
        <v>45351</v>
      </c>
      <c r="J628">
        <v>1603677.5</v>
      </c>
    </row>
    <row r="629" spans="1:10">
      <c r="A629" t="s">
        <v>191</v>
      </c>
      <c r="B629">
        <v>0</v>
      </c>
      <c r="C629" s="1">
        <v>45504</v>
      </c>
      <c r="D629">
        <v>-124820</v>
      </c>
      <c r="G629" t="s">
        <v>61</v>
      </c>
      <c r="H629">
        <v>0</v>
      </c>
      <c r="I629" s="1">
        <v>45382</v>
      </c>
      <c r="J629">
        <v>1603677.5</v>
      </c>
    </row>
    <row r="630" spans="1:10">
      <c r="A630" t="s">
        <v>191</v>
      </c>
      <c r="B630">
        <v>0</v>
      </c>
      <c r="C630" s="1">
        <v>45535</v>
      </c>
      <c r="D630">
        <v>-124819</v>
      </c>
      <c r="G630" t="s">
        <v>61</v>
      </c>
      <c r="H630">
        <v>0</v>
      </c>
      <c r="I630" s="1">
        <v>45412</v>
      </c>
      <c r="J630">
        <v>1603677.5</v>
      </c>
    </row>
    <row r="631" spans="1:10">
      <c r="A631" t="s">
        <v>191</v>
      </c>
      <c r="B631">
        <v>0</v>
      </c>
      <c r="C631" s="1">
        <v>45565</v>
      </c>
      <c r="D631">
        <v>-131060</v>
      </c>
      <c r="G631" t="s">
        <v>61</v>
      </c>
      <c r="H631">
        <v>0</v>
      </c>
      <c r="I631" s="1">
        <v>45443</v>
      </c>
      <c r="J631">
        <v>1603677.5</v>
      </c>
    </row>
    <row r="632" spans="1:10">
      <c r="A632" t="s">
        <v>191</v>
      </c>
      <c r="B632">
        <v>0</v>
      </c>
      <c r="C632" s="1">
        <v>45596</v>
      </c>
      <c r="D632">
        <v>-131061</v>
      </c>
      <c r="G632" t="s">
        <v>61</v>
      </c>
      <c r="H632">
        <v>0</v>
      </c>
      <c r="I632" s="1">
        <v>45473</v>
      </c>
      <c r="J632">
        <v>1603677.5</v>
      </c>
    </row>
    <row r="633" spans="1:10">
      <c r="A633" t="s">
        <v>191</v>
      </c>
      <c r="B633">
        <v>0</v>
      </c>
      <c r="C633" s="1">
        <v>45626</v>
      </c>
      <c r="D633">
        <v>-137614</v>
      </c>
      <c r="G633" t="s">
        <v>61</v>
      </c>
      <c r="H633">
        <v>0</v>
      </c>
      <c r="I633" s="1">
        <v>45504</v>
      </c>
      <c r="J633">
        <v>1603677.5</v>
      </c>
    </row>
    <row r="634" spans="1:10">
      <c r="A634" t="s">
        <v>191</v>
      </c>
      <c r="B634">
        <v>0</v>
      </c>
      <c r="C634" s="1">
        <v>45657</v>
      </c>
      <c r="D634">
        <v>-144493.5</v>
      </c>
      <c r="G634" t="s">
        <v>61</v>
      </c>
      <c r="H634">
        <v>0</v>
      </c>
      <c r="I634" s="1">
        <v>45535</v>
      </c>
      <c r="J634">
        <v>1603677.5</v>
      </c>
    </row>
    <row r="635" spans="1:10">
      <c r="A635" t="s">
        <v>191</v>
      </c>
      <c r="B635">
        <v>0</v>
      </c>
      <c r="C635" s="1">
        <v>45688</v>
      </c>
      <c r="D635">
        <v>-151719.489999999</v>
      </c>
      <c r="G635" t="s">
        <v>61</v>
      </c>
      <c r="H635">
        <v>0</v>
      </c>
      <c r="I635" s="1">
        <v>45565</v>
      </c>
      <c r="J635">
        <v>1603677.5</v>
      </c>
    </row>
    <row r="636" spans="1:10">
      <c r="A636" t="s">
        <v>191</v>
      </c>
      <c r="B636">
        <v>0</v>
      </c>
      <c r="C636" s="1">
        <v>45716</v>
      </c>
      <c r="D636">
        <v>-159305</v>
      </c>
      <c r="G636" t="s">
        <v>61</v>
      </c>
      <c r="H636">
        <v>0</v>
      </c>
      <c r="I636" s="1">
        <v>45596</v>
      </c>
      <c r="J636">
        <v>1603677.5</v>
      </c>
    </row>
    <row r="637" spans="1:10">
      <c r="A637" t="s">
        <v>191</v>
      </c>
      <c r="B637">
        <v>0</v>
      </c>
      <c r="C637" s="1">
        <v>45747</v>
      </c>
      <c r="D637">
        <v>-167271</v>
      </c>
      <c r="G637" t="s">
        <v>61</v>
      </c>
      <c r="H637">
        <v>0</v>
      </c>
      <c r="I637" s="1">
        <v>45626</v>
      </c>
      <c r="J637">
        <v>1603677.5</v>
      </c>
    </row>
    <row r="638" spans="1:10">
      <c r="A638" t="s">
        <v>191</v>
      </c>
      <c r="B638">
        <v>0</v>
      </c>
      <c r="C638" s="1">
        <v>45777</v>
      </c>
      <c r="D638">
        <v>-175634</v>
      </c>
      <c r="G638" t="s">
        <v>61</v>
      </c>
      <c r="H638">
        <v>0</v>
      </c>
      <c r="I638" s="1">
        <v>45657</v>
      </c>
      <c r="J638">
        <v>1603677.5</v>
      </c>
    </row>
    <row r="639" spans="1:10">
      <c r="A639" t="s">
        <v>191</v>
      </c>
      <c r="B639">
        <v>0</v>
      </c>
      <c r="C639" s="1">
        <v>45808</v>
      </c>
      <c r="D639">
        <v>-184418</v>
      </c>
      <c r="G639" t="s">
        <v>61</v>
      </c>
      <c r="H639">
        <v>0</v>
      </c>
      <c r="I639" s="1">
        <v>45688</v>
      </c>
      <c r="J639">
        <v>1603677.5</v>
      </c>
    </row>
    <row r="640" spans="1:10">
      <c r="A640" t="s">
        <v>191</v>
      </c>
      <c r="B640">
        <v>0</v>
      </c>
      <c r="C640" s="1">
        <v>45838</v>
      </c>
      <c r="D640">
        <v>-186236.79</v>
      </c>
      <c r="G640" t="s">
        <v>61</v>
      </c>
      <c r="H640">
        <v>0</v>
      </c>
      <c r="I640" s="1">
        <v>45716</v>
      </c>
      <c r="J640">
        <v>1603677.5</v>
      </c>
    </row>
    <row r="641" spans="1:10">
      <c r="A641" t="s">
        <v>191</v>
      </c>
      <c r="B641">
        <v>0</v>
      </c>
      <c r="C641" s="1">
        <v>45869</v>
      </c>
      <c r="D641">
        <v>-202318.62999999899</v>
      </c>
      <c r="G641" t="s">
        <v>61</v>
      </c>
      <c r="H641">
        <v>0</v>
      </c>
      <c r="I641" s="1">
        <v>45747</v>
      </c>
      <c r="J641">
        <v>1603677.5</v>
      </c>
    </row>
    <row r="642" spans="1:10">
      <c r="A642" t="s">
        <v>191</v>
      </c>
      <c r="B642">
        <v>0</v>
      </c>
      <c r="C642" s="1">
        <v>45900</v>
      </c>
      <c r="D642">
        <v>-213484.57</v>
      </c>
      <c r="G642" t="s">
        <v>61</v>
      </c>
      <c r="H642">
        <v>0</v>
      </c>
      <c r="I642" s="1">
        <v>45777</v>
      </c>
      <c r="J642">
        <v>1603677.5</v>
      </c>
    </row>
    <row r="643" spans="1:10">
      <c r="A643" t="s">
        <v>191</v>
      </c>
      <c r="B643">
        <v>0</v>
      </c>
      <c r="C643" s="1">
        <v>45930</v>
      </c>
      <c r="D643">
        <v>-224158.79</v>
      </c>
      <c r="G643" t="s">
        <v>61</v>
      </c>
      <c r="H643">
        <v>0</v>
      </c>
      <c r="I643" s="1">
        <v>45808</v>
      </c>
      <c r="J643">
        <v>1603677.5</v>
      </c>
    </row>
    <row r="644" spans="1:10">
      <c r="A644" t="s">
        <v>194</v>
      </c>
      <c r="B644">
        <v>191</v>
      </c>
      <c r="C644" s="1">
        <v>45291</v>
      </c>
      <c r="D644">
        <v>3051</v>
      </c>
      <c r="G644" t="s">
        <v>61</v>
      </c>
      <c r="H644">
        <v>0</v>
      </c>
      <c r="I644" s="1">
        <v>45838</v>
      </c>
      <c r="J644">
        <v>1604677.5</v>
      </c>
    </row>
    <row r="645" spans="1:10">
      <c r="A645" t="s">
        <v>194</v>
      </c>
      <c r="B645">
        <v>191</v>
      </c>
      <c r="C645" s="1">
        <v>45322</v>
      </c>
      <c r="D645">
        <v>3051</v>
      </c>
      <c r="G645" t="s">
        <v>61</v>
      </c>
      <c r="H645">
        <v>0</v>
      </c>
      <c r="I645" s="1">
        <v>45869</v>
      </c>
      <c r="J645">
        <v>1604677.5</v>
      </c>
    </row>
    <row r="646" spans="1:10">
      <c r="A646" t="s">
        <v>194</v>
      </c>
      <c r="B646">
        <v>191</v>
      </c>
      <c r="C646" s="1">
        <v>45351</v>
      </c>
      <c r="D646">
        <v>3051</v>
      </c>
      <c r="G646" t="s">
        <v>61</v>
      </c>
      <c r="H646">
        <v>0</v>
      </c>
      <c r="I646" s="1">
        <v>45900</v>
      </c>
      <c r="J646">
        <v>1604677.5</v>
      </c>
    </row>
    <row r="647" spans="1:10">
      <c r="A647" t="s">
        <v>194</v>
      </c>
      <c r="B647">
        <v>191</v>
      </c>
      <c r="C647" s="1">
        <v>45382</v>
      </c>
      <c r="D647">
        <v>3051</v>
      </c>
      <c r="G647" t="s">
        <v>61</v>
      </c>
      <c r="H647">
        <v>0</v>
      </c>
      <c r="I647" s="1">
        <v>45930</v>
      </c>
      <c r="J647">
        <v>1604677.5</v>
      </c>
    </row>
    <row r="648" spans="1:10">
      <c r="A648" t="s">
        <v>194</v>
      </c>
      <c r="B648">
        <v>191</v>
      </c>
      <c r="C648" s="1">
        <v>45412</v>
      </c>
      <c r="D648">
        <v>3051</v>
      </c>
      <c r="G648" t="s">
        <v>226</v>
      </c>
      <c r="H648">
        <v>196</v>
      </c>
      <c r="I648" s="1">
        <v>45291</v>
      </c>
      <c r="J648">
        <v>500000</v>
      </c>
    </row>
    <row r="649" spans="1:10">
      <c r="A649" t="s">
        <v>194</v>
      </c>
      <c r="B649">
        <v>191</v>
      </c>
      <c r="C649" s="1">
        <v>45443</v>
      </c>
      <c r="D649">
        <v>3051</v>
      </c>
      <c r="G649" t="s">
        <v>226</v>
      </c>
      <c r="H649">
        <v>196</v>
      </c>
      <c r="I649" s="1">
        <v>45322</v>
      </c>
      <c r="J649">
        <v>500000</v>
      </c>
    </row>
    <row r="650" spans="1:10">
      <c r="A650" t="s">
        <v>194</v>
      </c>
      <c r="B650">
        <v>191</v>
      </c>
      <c r="C650" s="1">
        <v>45473</v>
      </c>
      <c r="D650">
        <v>3051</v>
      </c>
      <c r="G650" t="s">
        <v>226</v>
      </c>
      <c r="H650">
        <v>196</v>
      </c>
      <c r="I650" s="1">
        <v>45351</v>
      </c>
      <c r="J650">
        <v>500000</v>
      </c>
    </row>
    <row r="651" spans="1:10">
      <c r="A651" t="s">
        <v>194</v>
      </c>
      <c r="B651">
        <v>191</v>
      </c>
      <c r="C651" s="1">
        <v>45504</v>
      </c>
      <c r="D651">
        <v>3051</v>
      </c>
      <c r="G651" t="s">
        <v>226</v>
      </c>
      <c r="H651">
        <v>196</v>
      </c>
      <c r="I651" s="1">
        <v>45382</v>
      </c>
      <c r="J651">
        <v>500000</v>
      </c>
    </row>
    <row r="652" spans="1:10">
      <c r="A652" t="s">
        <v>194</v>
      </c>
      <c r="B652">
        <v>191</v>
      </c>
      <c r="C652" s="1">
        <v>45535</v>
      </c>
      <c r="D652">
        <v>3051</v>
      </c>
      <c r="G652" t="s">
        <v>226</v>
      </c>
      <c r="H652">
        <v>196</v>
      </c>
      <c r="I652" s="1">
        <v>45412</v>
      </c>
      <c r="J652">
        <v>500000</v>
      </c>
    </row>
    <row r="653" spans="1:10">
      <c r="A653" t="s">
        <v>194</v>
      </c>
      <c r="B653">
        <v>191</v>
      </c>
      <c r="C653" s="1">
        <v>45565</v>
      </c>
      <c r="D653">
        <v>3051</v>
      </c>
      <c r="G653" t="s">
        <v>226</v>
      </c>
      <c r="H653">
        <v>196</v>
      </c>
      <c r="I653" s="1">
        <v>45443</v>
      </c>
      <c r="J653">
        <v>500000</v>
      </c>
    </row>
    <row r="654" spans="1:10">
      <c r="A654" t="s">
        <v>194</v>
      </c>
      <c r="B654">
        <v>191</v>
      </c>
      <c r="C654" s="1">
        <v>45596</v>
      </c>
      <c r="D654">
        <v>3051</v>
      </c>
      <c r="G654" t="s">
        <v>226</v>
      </c>
      <c r="H654">
        <v>196</v>
      </c>
      <c r="I654" s="1">
        <v>45473</v>
      </c>
      <c r="J654">
        <v>500000</v>
      </c>
    </row>
    <row r="655" spans="1:10">
      <c r="A655" t="s">
        <v>194</v>
      </c>
      <c r="B655">
        <v>191</v>
      </c>
      <c r="C655" s="1">
        <v>45626</v>
      </c>
      <c r="D655">
        <v>3051</v>
      </c>
      <c r="G655" t="s">
        <v>226</v>
      </c>
      <c r="H655">
        <v>196</v>
      </c>
      <c r="I655" s="1">
        <v>45504</v>
      </c>
      <c r="J655">
        <v>500000</v>
      </c>
    </row>
    <row r="656" spans="1:10">
      <c r="A656" t="s">
        <v>194</v>
      </c>
      <c r="B656">
        <v>191</v>
      </c>
      <c r="C656" s="1">
        <v>45657</v>
      </c>
      <c r="D656">
        <v>3051</v>
      </c>
      <c r="G656" t="s">
        <v>226</v>
      </c>
      <c r="H656">
        <v>196</v>
      </c>
      <c r="I656" s="1">
        <v>45535</v>
      </c>
      <c r="J656">
        <v>500000</v>
      </c>
    </row>
    <row r="657" spans="1:10">
      <c r="A657" t="s">
        <v>194</v>
      </c>
      <c r="B657">
        <v>191</v>
      </c>
      <c r="C657" s="1">
        <v>45688</v>
      </c>
      <c r="D657">
        <v>3050.66</v>
      </c>
      <c r="G657" t="s">
        <v>226</v>
      </c>
      <c r="H657">
        <v>196</v>
      </c>
      <c r="I657" s="1">
        <v>45565</v>
      </c>
      <c r="J657">
        <v>500000</v>
      </c>
    </row>
    <row r="658" spans="1:10">
      <c r="A658" t="s">
        <v>194</v>
      </c>
      <c r="B658">
        <v>191</v>
      </c>
      <c r="C658" s="1">
        <v>45716</v>
      </c>
      <c r="D658">
        <v>3050.66</v>
      </c>
      <c r="G658" t="s">
        <v>226</v>
      </c>
      <c r="H658">
        <v>196</v>
      </c>
      <c r="I658" s="1">
        <v>45596</v>
      </c>
      <c r="J658">
        <v>500000</v>
      </c>
    </row>
    <row r="659" spans="1:10">
      <c r="A659" t="s">
        <v>194</v>
      </c>
      <c r="B659">
        <v>191</v>
      </c>
      <c r="C659" s="1">
        <v>45747</v>
      </c>
      <c r="D659">
        <v>3050.66</v>
      </c>
      <c r="G659" t="s">
        <v>226</v>
      </c>
      <c r="H659">
        <v>196</v>
      </c>
      <c r="I659" s="1">
        <v>45626</v>
      </c>
      <c r="J659">
        <v>500000</v>
      </c>
    </row>
    <row r="660" spans="1:10">
      <c r="A660" t="s">
        <v>194</v>
      </c>
      <c r="B660">
        <v>191</v>
      </c>
      <c r="C660" s="1">
        <v>45777</v>
      </c>
      <c r="D660">
        <v>3050.66</v>
      </c>
      <c r="G660" t="s">
        <v>226</v>
      </c>
      <c r="H660">
        <v>196</v>
      </c>
      <c r="I660" s="1">
        <v>45657</v>
      </c>
      <c r="J660">
        <v>500000</v>
      </c>
    </row>
    <row r="661" spans="1:10">
      <c r="A661" t="s">
        <v>194</v>
      </c>
      <c r="B661">
        <v>191</v>
      </c>
      <c r="C661" s="1">
        <v>45808</v>
      </c>
      <c r="D661">
        <v>3050.66</v>
      </c>
      <c r="G661" t="s">
        <v>226</v>
      </c>
      <c r="H661">
        <v>196</v>
      </c>
      <c r="I661" s="1">
        <v>45688</v>
      </c>
      <c r="J661">
        <v>500000</v>
      </c>
    </row>
    <row r="662" spans="1:10">
      <c r="A662" t="s">
        <v>194</v>
      </c>
      <c r="B662">
        <v>191</v>
      </c>
      <c r="C662" s="1">
        <v>45838</v>
      </c>
      <c r="D662">
        <v>3050.66</v>
      </c>
      <c r="G662" t="s">
        <v>226</v>
      </c>
      <c r="H662">
        <v>196</v>
      </c>
      <c r="I662" s="1">
        <v>45716</v>
      </c>
      <c r="J662">
        <v>500000</v>
      </c>
    </row>
    <row r="663" spans="1:10">
      <c r="A663" t="s">
        <v>194</v>
      </c>
      <c r="B663">
        <v>191</v>
      </c>
      <c r="C663" s="1">
        <v>45869</v>
      </c>
      <c r="D663">
        <v>3050.66</v>
      </c>
      <c r="G663" t="s">
        <v>226</v>
      </c>
      <c r="H663">
        <v>196</v>
      </c>
      <c r="I663" s="1">
        <v>45747</v>
      </c>
      <c r="J663">
        <v>500000</v>
      </c>
    </row>
    <row r="664" spans="1:10">
      <c r="A664" t="s">
        <v>194</v>
      </c>
      <c r="B664">
        <v>191</v>
      </c>
      <c r="C664" s="1">
        <v>45900</v>
      </c>
      <c r="D664">
        <v>3050.66</v>
      </c>
      <c r="G664" t="s">
        <v>226</v>
      </c>
      <c r="H664">
        <v>196</v>
      </c>
      <c r="I664" s="1">
        <v>45777</v>
      </c>
      <c r="J664">
        <v>500000</v>
      </c>
    </row>
    <row r="665" spans="1:10">
      <c r="A665" t="s">
        <v>194</v>
      </c>
      <c r="B665">
        <v>191</v>
      </c>
      <c r="C665" s="1">
        <v>45930</v>
      </c>
      <c r="D665">
        <v>3050.66</v>
      </c>
      <c r="G665" t="s">
        <v>226</v>
      </c>
      <c r="H665">
        <v>196</v>
      </c>
      <c r="I665" s="1">
        <v>45808</v>
      </c>
      <c r="J665">
        <v>500000</v>
      </c>
    </row>
    <row r="666" spans="1:10">
      <c r="A666" t="s">
        <v>195</v>
      </c>
      <c r="B666">
        <v>192</v>
      </c>
      <c r="C666" s="1">
        <v>45291</v>
      </c>
      <c r="D666">
        <v>18444.5</v>
      </c>
      <c r="G666" t="s">
        <v>226</v>
      </c>
      <c r="H666">
        <v>196</v>
      </c>
      <c r="I666" s="1">
        <v>45838</v>
      </c>
      <c r="J666">
        <v>500000</v>
      </c>
    </row>
    <row r="667" spans="1:10">
      <c r="A667" t="s">
        <v>195</v>
      </c>
      <c r="B667">
        <v>192</v>
      </c>
      <c r="C667" s="1">
        <v>45322</v>
      </c>
      <c r="D667">
        <v>18444.5</v>
      </c>
      <c r="G667" t="s">
        <v>226</v>
      </c>
      <c r="H667">
        <v>196</v>
      </c>
      <c r="I667" s="1">
        <v>45869</v>
      </c>
      <c r="J667">
        <v>500000</v>
      </c>
    </row>
    <row r="668" spans="1:10">
      <c r="A668" t="s">
        <v>195</v>
      </c>
      <c r="B668">
        <v>192</v>
      </c>
      <c r="C668" s="1">
        <v>45351</v>
      </c>
      <c r="D668">
        <v>18445</v>
      </c>
      <c r="G668" t="s">
        <v>226</v>
      </c>
      <c r="H668">
        <v>196</v>
      </c>
      <c r="I668" s="1">
        <v>45900</v>
      </c>
      <c r="J668">
        <v>500000</v>
      </c>
    </row>
    <row r="669" spans="1:10">
      <c r="A669" t="s">
        <v>195</v>
      </c>
      <c r="B669">
        <v>192</v>
      </c>
      <c r="C669" s="1">
        <v>45382</v>
      </c>
      <c r="D669">
        <v>18445</v>
      </c>
      <c r="G669" t="s">
        <v>226</v>
      </c>
      <c r="H669">
        <v>196</v>
      </c>
      <c r="I669" s="1">
        <v>45930</v>
      </c>
      <c r="J669">
        <v>500000</v>
      </c>
    </row>
    <row r="670" spans="1:10">
      <c r="A670" t="s">
        <v>195</v>
      </c>
      <c r="B670">
        <v>192</v>
      </c>
      <c r="C670" s="1">
        <v>45412</v>
      </c>
      <c r="D670">
        <v>18445</v>
      </c>
      <c r="G670" t="s">
        <v>228</v>
      </c>
      <c r="H670">
        <v>198</v>
      </c>
      <c r="I670" s="1">
        <v>45291</v>
      </c>
      <c r="J670">
        <v>3000000</v>
      </c>
    </row>
    <row r="671" spans="1:10">
      <c r="A671" t="s">
        <v>195</v>
      </c>
      <c r="B671">
        <v>192</v>
      </c>
      <c r="C671" s="1">
        <v>45443</v>
      </c>
      <c r="D671">
        <v>18445</v>
      </c>
      <c r="G671" t="s">
        <v>228</v>
      </c>
      <c r="H671">
        <v>198</v>
      </c>
      <c r="I671" s="1">
        <v>45322</v>
      </c>
      <c r="J671">
        <v>3000000</v>
      </c>
    </row>
    <row r="672" spans="1:10">
      <c r="A672" t="s">
        <v>195</v>
      </c>
      <c r="B672">
        <v>192</v>
      </c>
      <c r="C672" s="1">
        <v>45473</v>
      </c>
      <c r="D672">
        <v>18445</v>
      </c>
      <c r="G672" t="s">
        <v>228</v>
      </c>
      <c r="H672">
        <v>198</v>
      </c>
      <c r="I672" s="1">
        <v>45351</v>
      </c>
      <c r="J672">
        <v>3000000</v>
      </c>
    </row>
    <row r="673" spans="1:10">
      <c r="A673" t="s">
        <v>195</v>
      </c>
      <c r="B673">
        <v>192</v>
      </c>
      <c r="C673" s="1">
        <v>45504</v>
      </c>
      <c r="D673">
        <v>18445</v>
      </c>
      <c r="G673" t="s">
        <v>228</v>
      </c>
      <c r="H673">
        <v>198</v>
      </c>
      <c r="I673" s="1">
        <v>45382</v>
      </c>
      <c r="J673">
        <v>3000000</v>
      </c>
    </row>
    <row r="674" spans="1:10">
      <c r="A674" t="s">
        <v>195</v>
      </c>
      <c r="B674">
        <v>192</v>
      </c>
      <c r="C674" s="1">
        <v>45535</v>
      </c>
      <c r="D674">
        <v>18445</v>
      </c>
      <c r="G674" t="s">
        <v>228</v>
      </c>
      <c r="H674">
        <v>198</v>
      </c>
      <c r="I674" s="1">
        <v>45412</v>
      </c>
      <c r="J674">
        <v>3000000</v>
      </c>
    </row>
    <row r="675" spans="1:10">
      <c r="A675" t="s">
        <v>195</v>
      </c>
      <c r="B675">
        <v>192</v>
      </c>
      <c r="C675" s="1">
        <v>45565</v>
      </c>
      <c r="D675">
        <v>18445</v>
      </c>
      <c r="G675" t="s">
        <v>228</v>
      </c>
      <c r="H675">
        <v>198</v>
      </c>
      <c r="I675" s="1">
        <v>45443</v>
      </c>
      <c r="J675">
        <v>3000000</v>
      </c>
    </row>
    <row r="676" spans="1:10">
      <c r="A676" t="s">
        <v>195</v>
      </c>
      <c r="B676">
        <v>192</v>
      </c>
      <c r="C676" s="1">
        <v>45596</v>
      </c>
      <c r="D676">
        <v>18445</v>
      </c>
      <c r="G676" t="s">
        <v>228</v>
      </c>
      <c r="H676">
        <v>198</v>
      </c>
      <c r="I676" s="1">
        <v>45473</v>
      </c>
      <c r="J676">
        <v>3000000</v>
      </c>
    </row>
    <row r="677" spans="1:10">
      <c r="A677" t="s">
        <v>195</v>
      </c>
      <c r="B677">
        <v>192</v>
      </c>
      <c r="C677" s="1">
        <v>45626</v>
      </c>
      <c r="D677">
        <v>18445</v>
      </c>
      <c r="G677" t="s">
        <v>228</v>
      </c>
      <c r="H677">
        <v>198</v>
      </c>
      <c r="I677" s="1">
        <v>45504</v>
      </c>
      <c r="J677">
        <v>3000000</v>
      </c>
    </row>
    <row r="678" spans="1:10">
      <c r="A678" t="s">
        <v>195</v>
      </c>
      <c r="B678">
        <v>192</v>
      </c>
      <c r="C678" s="1">
        <v>45657</v>
      </c>
      <c r="D678">
        <v>18445</v>
      </c>
      <c r="G678" t="s">
        <v>228</v>
      </c>
      <c r="H678">
        <v>198</v>
      </c>
      <c r="I678" s="1">
        <v>45535</v>
      </c>
      <c r="J678">
        <v>3000000</v>
      </c>
    </row>
    <row r="679" spans="1:10">
      <c r="A679" t="s">
        <v>195</v>
      </c>
      <c r="B679">
        <v>192</v>
      </c>
      <c r="C679" s="1">
        <v>45688</v>
      </c>
      <c r="D679">
        <v>18444.759999999998</v>
      </c>
      <c r="G679" t="s">
        <v>228</v>
      </c>
      <c r="H679">
        <v>198</v>
      </c>
      <c r="I679" s="1">
        <v>45565</v>
      </c>
      <c r="J679">
        <v>3000000</v>
      </c>
    </row>
    <row r="680" spans="1:10">
      <c r="A680" t="s">
        <v>195</v>
      </c>
      <c r="B680">
        <v>192</v>
      </c>
      <c r="C680" s="1">
        <v>45716</v>
      </c>
      <c r="D680">
        <v>18445</v>
      </c>
      <c r="G680" t="s">
        <v>228</v>
      </c>
      <c r="H680">
        <v>198</v>
      </c>
      <c r="I680" s="1">
        <v>45596</v>
      </c>
      <c r="J680">
        <v>3000000</v>
      </c>
    </row>
    <row r="681" spans="1:10">
      <c r="A681" t="s">
        <v>195</v>
      </c>
      <c r="B681">
        <v>192</v>
      </c>
      <c r="C681" s="1">
        <v>45747</v>
      </c>
      <c r="D681">
        <v>18445</v>
      </c>
      <c r="G681" t="s">
        <v>228</v>
      </c>
      <c r="H681">
        <v>198</v>
      </c>
      <c r="I681" s="1">
        <v>45626</v>
      </c>
      <c r="J681">
        <v>3000000</v>
      </c>
    </row>
    <row r="682" spans="1:10">
      <c r="A682" t="s">
        <v>195</v>
      </c>
      <c r="B682">
        <v>192</v>
      </c>
      <c r="C682" s="1">
        <v>45777</v>
      </c>
      <c r="D682">
        <v>18445</v>
      </c>
      <c r="G682" t="s">
        <v>228</v>
      </c>
      <c r="H682">
        <v>198</v>
      </c>
      <c r="I682" s="1">
        <v>45657</v>
      </c>
      <c r="J682">
        <v>3000000</v>
      </c>
    </row>
    <row r="683" spans="1:10">
      <c r="A683" t="s">
        <v>195</v>
      </c>
      <c r="B683">
        <v>192</v>
      </c>
      <c r="C683" s="1">
        <v>45808</v>
      </c>
      <c r="D683">
        <v>18445</v>
      </c>
      <c r="G683" t="s">
        <v>228</v>
      </c>
      <c r="H683">
        <v>198</v>
      </c>
      <c r="I683" s="1">
        <v>45688</v>
      </c>
      <c r="J683">
        <v>3000000</v>
      </c>
    </row>
    <row r="684" spans="1:10">
      <c r="A684" t="s">
        <v>195</v>
      </c>
      <c r="B684">
        <v>192</v>
      </c>
      <c r="C684" s="1">
        <v>45838</v>
      </c>
      <c r="D684">
        <v>18444.759999999998</v>
      </c>
      <c r="G684" t="s">
        <v>228</v>
      </c>
      <c r="H684">
        <v>198</v>
      </c>
      <c r="I684" s="1">
        <v>45716</v>
      </c>
      <c r="J684">
        <v>3000000</v>
      </c>
    </row>
    <row r="685" spans="1:10">
      <c r="A685" t="s">
        <v>195</v>
      </c>
      <c r="B685">
        <v>192</v>
      </c>
      <c r="C685" s="1">
        <v>45869</v>
      </c>
      <c r="D685">
        <v>18444.759999999998</v>
      </c>
      <c r="G685" t="s">
        <v>228</v>
      </c>
      <c r="H685">
        <v>198</v>
      </c>
      <c r="I685" s="1">
        <v>45747</v>
      </c>
      <c r="J685">
        <v>3000000</v>
      </c>
    </row>
    <row r="686" spans="1:10">
      <c r="A686" t="s">
        <v>195</v>
      </c>
      <c r="B686">
        <v>192</v>
      </c>
      <c r="C686" s="1">
        <v>45900</v>
      </c>
      <c r="D686">
        <v>18444.759999999998</v>
      </c>
      <c r="G686" t="s">
        <v>228</v>
      </c>
      <c r="H686">
        <v>198</v>
      </c>
      <c r="I686" s="1">
        <v>45777</v>
      </c>
      <c r="J686">
        <v>3000000</v>
      </c>
    </row>
    <row r="687" spans="1:10">
      <c r="A687" t="s">
        <v>195</v>
      </c>
      <c r="B687">
        <v>192</v>
      </c>
      <c r="C687" s="1">
        <v>45930</v>
      </c>
      <c r="D687">
        <v>18444.759999999998</v>
      </c>
      <c r="G687" t="s">
        <v>228</v>
      </c>
      <c r="H687">
        <v>198</v>
      </c>
      <c r="I687" s="1">
        <v>45808</v>
      </c>
      <c r="J687">
        <v>3000000</v>
      </c>
    </row>
    <row r="688" spans="1:10">
      <c r="A688" t="s">
        <v>431</v>
      </c>
      <c r="B688">
        <v>0</v>
      </c>
      <c r="C688" s="1">
        <v>45291</v>
      </c>
      <c r="D688">
        <v>21495.5</v>
      </c>
      <c r="G688" t="s">
        <v>228</v>
      </c>
      <c r="H688">
        <v>198</v>
      </c>
      <c r="I688" s="1">
        <v>45838</v>
      </c>
      <c r="J688">
        <v>3000000</v>
      </c>
    </row>
    <row r="689" spans="1:10">
      <c r="A689" t="s">
        <v>431</v>
      </c>
      <c r="B689">
        <v>0</v>
      </c>
      <c r="C689" s="1">
        <v>45322</v>
      </c>
      <c r="D689">
        <v>21495.5</v>
      </c>
      <c r="G689" t="s">
        <v>228</v>
      </c>
      <c r="H689">
        <v>198</v>
      </c>
      <c r="I689" s="1">
        <v>45869</v>
      </c>
      <c r="J689">
        <v>3000000</v>
      </c>
    </row>
    <row r="690" spans="1:10">
      <c r="A690" t="s">
        <v>431</v>
      </c>
      <c r="B690">
        <v>0</v>
      </c>
      <c r="C690" s="1">
        <v>45351</v>
      </c>
      <c r="D690">
        <v>21496</v>
      </c>
      <c r="G690" t="s">
        <v>228</v>
      </c>
      <c r="H690">
        <v>198</v>
      </c>
      <c r="I690" s="1">
        <v>45900</v>
      </c>
      <c r="J690">
        <v>3000000</v>
      </c>
    </row>
    <row r="691" spans="1:10">
      <c r="A691" t="s">
        <v>431</v>
      </c>
      <c r="B691">
        <v>0</v>
      </c>
      <c r="C691" s="1">
        <v>45382</v>
      </c>
      <c r="D691">
        <v>21496</v>
      </c>
      <c r="G691" t="s">
        <v>228</v>
      </c>
      <c r="H691">
        <v>198</v>
      </c>
      <c r="I691" s="1">
        <v>45930</v>
      </c>
      <c r="J691">
        <v>3000000</v>
      </c>
    </row>
    <row r="692" spans="1:10">
      <c r="A692" t="s">
        <v>431</v>
      </c>
      <c r="B692">
        <v>0</v>
      </c>
      <c r="C692" s="1">
        <v>45412</v>
      </c>
      <c r="D692">
        <v>21496</v>
      </c>
      <c r="G692" t="s">
        <v>229</v>
      </c>
      <c r="H692">
        <v>4</v>
      </c>
      <c r="I692" s="1">
        <v>45322</v>
      </c>
      <c r="J692">
        <v>-659921.5</v>
      </c>
    </row>
    <row r="693" spans="1:10">
      <c r="A693" t="s">
        <v>431</v>
      </c>
      <c r="B693">
        <v>0</v>
      </c>
      <c r="C693" s="1">
        <v>45443</v>
      </c>
      <c r="D693">
        <v>21496</v>
      </c>
      <c r="G693" t="s">
        <v>229</v>
      </c>
      <c r="H693">
        <v>4</v>
      </c>
      <c r="I693" s="1">
        <v>45351</v>
      </c>
      <c r="J693">
        <v>-659921.5</v>
      </c>
    </row>
    <row r="694" spans="1:10">
      <c r="A694" t="s">
        <v>431</v>
      </c>
      <c r="B694">
        <v>0</v>
      </c>
      <c r="C694" s="1">
        <v>45473</v>
      </c>
      <c r="D694">
        <v>21496</v>
      </c>
      <c r="G694" t="s">
        <v>229</v>
      </c>
      <c r="H694">
        <v>4</v>
      </c>
      <c r="I694" s="1">
        <v>45382</v>
      </c>
      <c r="J694">
        <v>-659921.5</v>
      </c>
    </row>
    <row r="695" spans="1:10">
      <c r="A695" t="s">
        <v>431</v>
      </c>
      <c r="B695">
        <v>0</v>
      </c>
      <c r="C695" s="1">
        <v>45504</v>
      </c>
      <c r="D695">
        <v>21496</v>
      </c>
      <c r="G695" t="s">
        <v>229</v>
      </c>
      <c r="H695">
        <v>4</v>
      </c>
      <c r="I695" s="1">
        <v>45412</v>
      </c>
      <c r="J695">
        <v>-659921.5</v>
      </c>
    </row>
    <row r="696" spans="1:10">
      <c r="A696" t="s">
        <v>431</v>
      </c>
      <c r="B696">
        <v>0</v>
      </c>
      <c r="C696" s="1">
        <v>45535</v>
      </c>
      <c r="D696">
        <v>21496</v>
      </c>
      <c r="G696" t="s">
        <v>229</v>
      </c>
      <c r="H696">
        <v>4</v>
      </c>
      <c r="I696" s="1">
        <v>45443</v>
      </c>
      <c r="J696">
        <v>-659921.5</v>
      </c>
    </row>
    <row r="697" spans="1:10">
      <c r="A697" t="s">
        <v>431</v>
      </c>
      <c r="B697">
        <v>0</v>
      </c>
      <c r="C697" s="1">
        <v>45565</v>
      </c>
      <c r="D697">
        <v>21496</v>
      </c>
      <c r="G697" t="s">
        <v>229</v>
      </c>
      <c r="H697">
        <v>4</v>
      </c>
      <c r="I697" s="1">
        <v>45473</v>
      </c>
      <c r="J697">
        <v>-659921.5</v>
      </c>
    </row>
    <row r="698" spans="1:10">
      <c r="A698" t="s">
        <v>431</v>
      </c>
      <c r="B698">
        <v>0</v>
      </c>
      <c r="C698" s="1">
        <v>45596</v>
      </c>
      <c r="D698">
        <v>21496</v>
      </c>
      <c r="G698" t="s">
        <v>229</v>
      </c>
      <c r="H698">
        <v>4</v>
      </c>
      <c r="I698" s="1">
        <v>45504</v>
      </c>
      <c r="J698">
        <v>-659921.5</v>
      </c>
    </row>
    <row r="699" spans="1:10">
      <c r="A699" t="s">
        <v>431</v>
      </c>
      <c r="B699">
        <v>0</v>
      </c>
      <c r="C699" s="1">
        <v>45626</v>
      </c>
      <c r="D699">
        <v>21496</v>
      </c>
      <c r="G699" t="s">
        <v>229</v>
      </c>
      <c r="H699">
        <v>4</v>
      </c>
      <c r="I699" s="1">
        <v>45535</v>
      </c>
      <c r="J699">
        <v>-659921.5</v>
      </c>
    </row>
    <row r="700" spans="1:10">
      <c r="A700" t="s">
        <v>431</v>
      </c>
      <c r="B700">
        <v>0</v>
      </c>
      <c r="C700" s="1">
        <v>45657</v>
      </c>
      <c r="D700">
        <v>21496</v>
      </c>
      <c r="G700" t="s">
        <v>229</v>
      </c>
      <c r="H700">
        <v>4</v>
      </c>
      <c r="I700" s="1">
        <v>45565</v>
      </c>
      <c r="J700">
        <v>-659921.5</v>
      </c>
    </row>
    <row r="701" spans="1:10">
      <c r="A701" t="s">
        <v>431</v>
      </c>
      <c r="B701">
        <v>0</v>
      </c>
      <c r="C701" s="1">
        <v>45688</v>
      </c>
      <c r="D701">
        <v>21495.42</v>
      </c>
      <c r="G701" t="s">
        <v>229</v>
      </c>
      <c r="H701">
        <v>4</v>
      </c>
      <c r="I701" s="1">
        <v>45596</v>
      </c>
      <c r="J701">
        <v>-659921.5</v>
      </c>
    </row>
    <row r="702" spans="1:10">
      <c r="A702" t="s">
        <v>431</v>
      </c>
      <c r="B702">
        <v>0</v>
      </c>
      <c r="C702" s="1">
        <v>45716</v>
      </c>
      <c r="D702">
        <v>21495.66</v>
      </c>
      <c r="G702" t="s">
        <v>229</v>
      </c>
      <c r="H702">
        <v>4</v>
      </c>
      <c r="I702" s="1">
        <v>45626</v>
      </c>
      <c r="J702">
        <v>-659921.5</v>
      </c>
    </row>
    <row r="703" spans="1:10">
      <c r="A703" t="s">
        <v>431</v>
      </c>
      <c r="B703">
        <v>0</v>
      </c>
      <c r="C703" s="1">
        <v>45747</v>
      </c>
      <c r="D703">
        <v>21495.66</v>
      </c>
      <c r="G703" t="s">
        <v>229</v>
      </c>
      <c r="H703">
        <v>4</v>
      </c>
      <c r="I703" s="1">
        <v>45657</v>
      </c>
      <c r="J703">
        <v>-659921.5</v>
      </c>
    </row>
    <row r="704" spans="1:10">
      <c r="A704" t="s">
        <v>431</v>
      </c>
      <c r="B704">
        <v>0</v>
      </c>
      <c r="C704" s="1">
        <v>45777</v>
      </c>
      <c r="D704">
        <v>21495.66</v>
      </c>
      <c r="G704" t="s">
        <v>229</v>
      </c>
      <c r="H704">
        <v>4</v>
      </c>
      <c r="I704" s="1">
        <v>45688</v>
      </c>
      <c r="J704">
        <v>-2213404</v>
      </c>
    </row>
    <row r="705" spans="1:10">
      <c r="A705" t="s">
        <v>431</v>
      </c>
      <c r="B705">
        <v>0</v>
      </c>
      <c r="C705" s="1">
        <v>45808</v>
      </c>
      <c r="D705">
        <v>21495.66</v>
      </c>
      <c r="G705" t="s">
        <v>229</v>
      </c>
      <c r="H705">
        <v>4</v>
      </c>
      <c r="I705" s="1">
        <v>45716</v>
      </c>
      <c r="J705">
        <v>-2213404</v>
      </c>
    </row>
    <row r="706" spans="1:10">
      <c r="A706" t="s">
        <v>431</v>
      </c>
      <c r="B706">
        <v>0</v>
      </c>
      <c r="C706" s="1">
        <v>45838</v>
      </c>
      <c r="D706">
        <v>21495.42</v>
      </c>
      <c r="G706" t="s">
        <v>229</v>
      </c>
      <c r="H706">
        <v>4</v>
      </c>
      <c r="I706" s="1">
        <v>45747</v>
      </c>
      <c r="J706">
        <v>-2213404</v>
      </c>
    </row>
    <row r="707" spans="1:10">
      <c r="A707" t="s">
        <v>431</v>
      </c>
      <c r="B707">
        <v>0</v>
      </c>
      <c r="C707" s="1">
        <v>45869</v>
      </c>
      <c r="D707">
        <v>21495.42</v>
      </c>
      <c r="G707" t="s">
        <v>229</v>
      </c>
      <c r="H707">
        <v>4</v>
      </c>
      <c r="I707" s="1">
        <v>45777</v>
      </c>
      <c r="J707">
        <v>-2213404</v>
      </c>
    </row>
    <row r="708" spans="1:10">
      <c r="A708" t="s">
        <v>431</v>
      </c>
      <c r="B708">
        <v>0</v>
      </c>
      <c r="C708" s="1">
        <v>45900</v>
      </c>
      <c r="D708">
        <v>21495.42</v>
      </c>
      <c r="G708" t="s">
        <v>229</v>
      </c>
      <c r="H708">
        <v>4</v>
      </c>
      <c r="I708" s="1">
        <v>45808</v>
      </c>
      <c r="J708">
        <v>-2213404</v>
      </c>
    </row>
    <row r="709" spans="1:10">
      <c r="A709" t="s">
        <v>431</v>
      </c>
      <c r="B709">
        <v>0</v>
      </c>
      <c r="C709" s="1">
        <v>45930</v>
      </c>
      <c r="D709">
        <v>21495.42</v>
      </c>
      <c r="G709" t="s">
        <v>229</v>
      </c>
      <c r="H709">
        <v>4</v>
      </c>
      <c r="I709" s="1">
        <v>45838</v>
      </c>
      <c r="J709">
        <v>-2213404</v>
      </c>
    </row>
    <row r="710" spans="1:10">
      <c r="A710" t="s">
        <v>196</v>
      </c>
      <c r="B710">
        <v>0</v>
      </c>
      <c r="C710" s="1">
        <v>45291</v>
      </c>
      <c r="D710">
        <v>-21495.5</v>
      </c>
      <c r="G710" t="s">
        <v>229</v>
      </c>
      <c r="H710">
        <v>4</v>
      </c>
      <c r="I710" s="1">
        <v>45869</v>
      </c>
      <c r="J710">
        <v>-2213404</v>
      </c>
    </row>
    <row r="711" spans="1:10">
      <c r="A711" t="s">
        <v>196</v>
      </c>
      <c r="B711">
        <v>0</v>
      </c>
      <c r="C711" s="1">
        <v>45322</v>
      </c>
      <c r="D711">
        <v>-21495.5</v>
      </c>
      <c r="G711" t="s">
        <v>229</v>
      </c>
      <c r="H711">
        <v>4</v>
      </c>
      <c r="I711" s="1">
        <v>45900</v>
      </c>
      <c r="J711">
        <v>-2213404</v>
      </c>
    </row>
    <row r="712" spans="1:10">
      <c r="A712" t="s">
        <v>196</v>
      </c>
      <c r="B712">
        <v>0</v>
      </c>
      <c r="C712" s="1">
        <v>45351</v>
      </c>
      <c r="D712">
        <v>-21496</v>
      </c>
      <c r="G712" t="s">
        <v>229</v>
      </c>
      <c r="H712">
        <v>4</v>
      </c>
      <c r="I712" s="1">
        <v>45930</v>
      </c>
      <c r="J712">
        <v>-2213404</v>
      </c>
    </row>
    <row r="713" spans="1:10">
      <c r="A713" t="s">
        <v>196</v>
      </c>
      <c r="B713">
        <v>0</v>
      </c>
      <c r="C713" s="1">
        <v>45382</v>
      </c>
      <c r="D713">
        <v>-21496</v>
      </c>
      <c r="G713" t="s">
        <v>197</v>
      </c>
      <c r="H713">
        <v>999</v>
      </c>
      <c r="I713" s="1">
        <v>45291</v>
      </c>
      <c r="J713">
        <v>-659921.5</v>
      </c>
    </row>
    <row r="714" spans="1:10">
      <c r="A714" t="s">
        <v>196</v>
      </c>
      <c r="B714">
        <v>0</v>
      </c>
      <c r="C714" s="1">
        <v>45412</v>
      </c>
      <c r="D714">
        <v>-21496</v>
      </c>
      <c r="G714" t="s">
        <v>197</v>
      </c>
      <c r="H714">
        <v>999</v>
      </c>
      <c r="I714" s="1">
        <v>45322</v>
      </c>
      <c r="J714">
        <v>-72804.5</v>
      </c>
    </row>
    <row r="715" spans="1:10">
      <c r="A715" t="s">
        <v>196</v>
      </c>
      <c r="B715">
        <v>0</v>
      </c>
      <c r="C715" s="1">
        <v>45443</v>
      </c>
      <c r="D715">
        <v>-21496</v>
      </c>
      <c r="G715" t="s">
        <v>197</v>
      </c>
      <c r="H715">
        <v>999</v>
      </c>
      <c r="I715" s="1">
        <v>45351</v>
      </c>
      <c r="J715">
        <v>-202124.5</v>
      </c>
    </row>
    <row r="716" spans="1:10">
      <c r="A716" t="s">
        <v>196</v>
      </c>
      <c r="B716">
        <v>0</v>
      </c>
      <c r="C716" s="1">
        <v>45473</v>
      </c>
      <c r="D716">
        <v>-21496</v>
      </c>
      <c r="G716" t="s">
        <v>197</v>
      </c>
      <c r="H716">
        <v>999</v>
      </c>
      <c r="I716" s="1">
        <v>45382</v>
      </c>
      <c r="J716">
        <v>-277494</v>
      </c>
    </row>
    <row r="717" spans="1:10">
      <c r="A717" t="s">
        <v>196</v>
      </c>
      <c r="B717">
        <v>0</v>
      </c>
      <c r="C717" s="1">
        <v>45504</v>
      </c>
      <c r="D717">
        <v>-21496</v>
      </c>
      <c r="G717" t="s">
        <v>197</v>
      </c>
      <c r="H717">
        <v>999</v>
      </c>
      <c r="I717" s="1">
        <v>45412</v>
      </c>
      <c r="J717">
        <v>-412204.5</v>
      </c>
    </row>
    <row r="718" spans="1:10">
      <c r="A718" t="s">
        <v>196</v>
      </c>
      <c r="B718">
        <v>0</v>
      </c>
      <c r="C718" s="1">
        <v>45535</v>
      </c>
      <c r="D718">
        <v>-21496</v>
      </c>
      <c r="G718" t="s">
        <v>197</v>
      </c>
      <c r="H718">
        <v>999</v>
      </c>
      <c r="I718" s="1">
        <v>45443</v>
      </c>
      <c r="J718">
        <v>-490267</v>
      </c>
    </row>
    <row r="719" spans="1:10">
      <c r="A719" t="s">
        <v>196</v>
      </c>
      <c r="B719">
        <v>0</v>
      </c>
      <c r="C719" s="1">
        <v>45565</v>
      </c>
      <c r="D719">
        <v>-21496</v>
      </c>
      <c r="G719" t="s">
        <v>197</v>
      </c>
      <c r="H719">
        <v>999</v>
      </c>
      <c r="I719" s="1">
        <v>45473</v>
      </c>
      <c r="J719">
        <v>-630639</v>
      </c>
    </row>
    <row r="720" spans="1:10">
      <c r="A720" t="s">
        <v>196</v>
      </c>
      <c r="B720">
        <v>0</v>
      </c>
      <c r="C720" s="1">
        <v>45596</v>
      </c>
      <c r="D720">
        <v>-21496</v>
      </c>
      <c r="G720" t="s">
        <v>197</v>
      </c>
      <c r="H720">
        <v>999</v>
      </c>
      <c r="I720" s="1">
        <v>45504</v>
      </c>
      <c r="J720">
        <v>-776955</v>
      </c>
    </row>
    <row r="721" spans="1:10">
      <c r="A721" t="s">
        <v>196</v>
      </c>
      <c r="B721">
        <v>0</v>
      </c>
      <c r="C721" s="1">
        <v>45626</v>
      </c>
      <c r="D721">
        <v>-21496</v>
      </c>
      <c r="G721" t="s">
        <v>197</v>
      </c>
      <c r="H721">
        <v>999</v>
      </c>
      <c r="I721" s="1">
        <v>45535</v>
      </c>
      <c r="J721">
        <v>-923270</v>
      </c>
    </row>
    <row r="722" spans="1:10">
      <c r="A722" t="s">
        <v>196</v>
      </c>
      <c r="B722">
        <v>0</v>
      </c>
      <c r="C722" s="1">
        <v>45657</v>
      </c>
      <c r="D722">
        <v>-21496</v>
      </c>
      <c r="G722" t="s">
        <v>197</v>
      </c>
      <c r="H722">
        <v>999</v>
      </c>
      <c r="I722" s="1">
        <v>45565</v>
      </c>
      <c r="J722">
        <v>-1075826</v>
      </c>
    </row>
    <row r="723" spans="1:10">
      <c r="A723" t="s">
        <v>196</v>
      </c>
      <c r="B723">
        <v>0</v>
      </c>
      <c r="C723" s="1">
        <v>45688</v>
      </c>
      <c r="D723">
        <v>-21495.42</v>
      </c>
      <c r="G723" t="s">
        <v>197</v>
      </c>
      <c r="H723">
        <v>999</v>
      </c>
      <c r="I723" s="1">
        <v>45596</v>
      </c>
      <c r="J723">
        <v>-1228383</v>
      </c>
    </row>
    <row r="724" spans="1:10">
      <c r="A724" t="s">
        <v>196</v>
      </c>
      <c r="B724">
        <v>0</v>
      </c>
      <c r="C724" s="1">
        <v>45716</v>
      </c>
      <c r="D724">
        <v>-21495.66</v>
      </c>
      <c r="G724" t="s">
        <v>197</v>
      </c>
      <c r="H724">
        <v>999</v>
      </c>
      <c r="I724" s="1">
        <v>45626</v>
      </c>
      <c r="J724">
        <v>-1387493</v>
      </c>
    </row>
    <row r="725" spans="1:10">
      <c r="A725" t="s">
        <v>196</v>
      </c>
      <c r="B725">
        <v>0</v>
      </c>
      <c r="C725" s="1">
        <v>45747</v>
      </c>
      <c r="D725">
        <v>-21495.66</v>
      </c>
      <c r="G725" t="s">
        <v>197</v>
      </c>
      <c r="H725">
        <v>999</v>
      </c>
      <c r="I725" s="1">
        <v>45657</v>
      </c>
      <c r="J725">
        <v>-1553482.5</v>
      </c>
    </row>
    <row r="726" spans="1:10">
      <c r="A726" t="s">
        <v>196</v>
      </c>
      <c r="B726">
        <v>0</v>
      </c>
      <c r="C726" s="1">
        <v>45777</v>
      </c>
      <c r="D726">
        <v>-21495.66</v>
      </c>
      <c r="G726" t="s">
        <v>197</v>
      </c>
      <c r="H726">
        <v>999</v>
      </c>
      <c r="I726" s="1">
        <v>45688</v>
      </c>
      <c r="J726">
        <v>-173214.91</v>
      </c>
    </row>
    <row r="727" spans="1:10">
      <c r="A727" t="s">
        <v>196</v>
      </c>
      <c r="B727">
        <v>0</v>
      </c>
      <c r="C727" s="1">
        <v>45808</v>
      </c>
      <c r="D727">
        <v>-21495.66</v>
      </c>
      <c r="G727" t="s">
        <v>197</v>
      </c>
      <c r="H727">
        <v>999</v>
      </c>
      <c r="I727" s="1">
        <v>45716</v>
      </c>
      <c r="J727">
        <v>-354015.57</v>
      </c>
    </row>
    <row r="728" spans="1:10">
      <c r="A728" t="s">
        <v>196</v>
      </c>
      <c r="B728">
        <v>0</v>
      </c>
      <c r="C728" s="1">
        <v>45838</v>
      </c>
      <c r="D728">
        <v>-21495.42</v>
      </c>
      <c r="G728" t="s">
        <v>197</v>
      </c>
      <c r="H728">
        <v>999</v>
      </c>
      <c r="I728" s="1">
        <v>45747</v>
      </c>
      <c r="J728">
        <v>-542782.23</v>
      </c>
    </row>
    <row r="729" spans="1:10">
      <c r="A729" t="s">
        <v>196</v>
      </c>
      <c r="B729">
        <v>0</v>
      </c>
      <c r="C729" s="1">
        <v>45869</v>
      </c>
      <c r="D729">
        <v>-21495.42</v>
      </c>
      <c r="G729" t="s">
        <v>197</v>
      </c>
      <c r="H729">
        <v>999</v>
      </c>
      <c r="I729" s="1">
        <v>45777</v>
      </c>
      <c r="J729">
        <v>-739911.89</v>
      </c>
    </row>
    <row r="730" spans="1:10">
      <c r="A730" t="s">
        <v>196</v>
      </c>
      <c r="B730">
        <v>0</v>
      </c>
      <c r="C730" s="1">
        <v>45900</v>
      </c>
      <c r="D730">
        <v>-21495.42</v>
      </c>
      <c r="G730" t="s">
        <v>197</v>
      </c>
      <c r="H730">
        <v>999</v>
      </c>
      <c r="I730" s="1">
        <v>45808</v>
      </c>
      <c r="J730">
        <v>-945825.55</v>
      </c>
    </row>
    <row r="731" spans="1:10">
      <c r="A731" t="s">
        <v>196</v>
      </c>
      <c r="B731">
        <v>0</v>
      </c>
      <c r="C731" s="1">
        <v>45930</v>
      </c>
      <c r="D731">
        <v>-21495.42</v>
      </c>
      <c r="G731" t="s">
        <v>197</v>
      </c>
      <c r="H731">
        <v>999</v>
      </c>
      <c r="I731" s="1">
        <v>45838</v>
      </c>
      <c r="J731">
        <v>-1153557.76</v>
      </c>
    </row>
    <row r="732" spans="1:10">
      <c r="A732" t="s">
        <v>197</v>
      </c>
      <c r="B732">
        <v>0</v>
      </c>
      <c r="C732" s="1">
        <v>45291</v>
      </c>
      <c r="D732">
        <v>-124185</v>
      </c>
      <c r="G732" t="s">
        <v>197</v>
      </c>
      <c r="H732">
        <v>999</v>
      </c>
      <c r="I732" s="1">
        <v>45869</v>
      </c>
      <c r="J732">
        <v>-1377371.81</v>
      </c>
    </row>
    <row r="733" spans="1:10">
      <c r="A733" t="s">
        <v>197</v>
      </c>
      <c r="B733">
        <v>0</v>
      </c>
      <c r="C733" s="1">
        <v>45322</v>
      </c>
      <c r="D733">
        <v>-72804.5</v>
      </c>
      <c r="G733" t="s">
        <v>197</v>
      </c>
      <c r="H733">
        <v>999</v>
      </c>
      <c r="I733" s="1">
        <v>45900</v>
      </c>
      <c r="J733">
        <v>-1612351.8</v>
      </c>
    </row>
    <row r="734" spans="1:10">
      <c r="A734" t="s">
        <v>197</v>
      </c>
      <c r="B734">
        <v>0</v>
      </c>
      <c r="C734" s="1">
        <v>45351</v>
      </c>
      <c r="D734">
        <v>-129320</v>
      </c>
      <c r="G734" t="s">
        <v>197</v>
      </c>
      <c r="H734">
        <v>999</v>
      </c>
      <c r="I734" s="1">
        <v>45930</v>
      </c>
      <c r="J734">
        <v>-1858006.01</v>
      </c>
    </row>
    <row r="735" spans="1:10">
      <c r="A735" t="s">
        <v>197</v>
      </c>
      <c r="B735">
        <v>0</v>
      </c>
      <c r="C735" s="1">
        <v>45382</v>
      </c>
      <c r="D735">
        <v>-75369.5</v>
      </c>
      <c r="G735" t="s">
        <v>65</v>
      </c>
      <c r="H735">
        <v>0</v>
      </c>
      <c r="I735" s="1">
        <v>45291</v>
      </c>
      <c r="J735">
        <v>2840078.5</v>
      </c>
    </row>
    <row r="736" spans="1:10">
      <c r="A736" t="s">
        <v>197</v>
      </c>
      <c r="B736">
        <v>0</v>
      </c>
      <c r="C736" s="1">
        <v>45412</v>
      </c>
      <c r="D736">
        <v>-134710.5</v>
      </c>
      <c r="G736" t="s">
        <v>65</v>
      </c>
      <c r="H736">
        <v>0</v>
      </c>
      <c r="I736" s="1">
        <v>45322</v>
      </c>
      <c r="J736">
        <v>2767274</v>
      </c>
    </row>
    <row r="737" spans="1:10">
      <c r="A737" t="s">
        <v>197</v>
      </c>
      <c r="B737">
        <v>0</v>
      </c>
      <c r="C737" s="1">
        <v>45443</v>
      </c>
      <c r="D737">
        <v>-78062.5</v>
      </c>
      <c r="G737" t="s">
        <v>65</v>
      </c>
      <c r="H737">
        <v>0</v>
      </c>
      <c r="I737" s="1">
        <v>45351</v>
      </c>
      <c r="J737">
        <v>2637954</v>
      </c>
    </row>
    <row r="738" spans="1:10">
      <c r="A738" t="s">
        <v>197</v>
      </c>
      <c r="B738">
        <v>0</v>
      </c>
      <c r="C738" s="1">
        <v>45473</v>
      </c>
      <c r="D738">
        <v>-140372</v>
      </c>
      <c r="G738" t="s">
        <v>65</v>
      </c>
      <c r="H738">
        <v>0</v>
      </c>
      <c r="I738" s="1">
        <v>45382</v>
      </c>
      <c r="J738">
        <v>2562584.5</v>
      </c>
    </row>
    <row r="739" spans="1:10">
      <c r="A739" t="s">
        <v>197</v>
      </c>
      <c r="B739">
        <v>0</v>
      </c>
      <c r="C739" s="1">
        <v>45504</v>
      </c>
      <c r="D739">
        <v>-146316</v>
      </c>
      <c r="G739" t="s">
        <v>65</v>
      </c>
      <c r="H739">
        <v>0</v>
      </c>
      <c r="I739" s="1">
        <v>45412</v>
      </c>
      <c r="J739">
        <v>2427874</v>
      </c>
    </row>
    <row r="740" spans="1:10">
      <c r="A740" t="s">
        <v>197</v>
      </c>
      <c r="B740">
        <v>0</v>
      </c>
      <c r="C740" s="1">
        <v>45535</v>
      </c>
      <c r="D740">
        <v>-146315</v>
      </c>
      <c r="G740" t="s">
        <v>65</v>
      </c>
      <c r="H740">
        <v>0</v>
      </c>
      <c r="I740" s="1">
        <v>45443</v>
      </c>
      <c r="J740">
        <v>2349811.5</v>
      </c>
    </row>
    <row r="741" spans="1:10">
      <c r="A741" t="s">
        <v>197</v>
      </c>
      <c r="B741">
        <v>0</v>
      </c>
      <c r="C741" s="1">
        <v>45565</v>
      </c>
      <c r="D741">
        <v>-152556</v>
      </c>
      <c r="G741" t="s">
        <v>65</v>
      </c>
      <c r="H741">
        <v>0</v>
      </c>
      <c r="I741" s="1">
        <v>45473</v>
      </c>
      <c r="J741">
        <v>2209439.5</v>
      </c>
    </row>
    <row r="742" spans="1:10">
      <c r="A742" t="s">
        <v>197</v>
      </c>
      <c r="B742">
        <v>0</v>
      </c>
      <c r="C742" s="1">
        <v>45596</v>
      </c>
      <c r="D742">
        <v>-152557</v>
      </c>
      <c r="G742" t="s">
        <v>65</v>
      </c>
      <c r="H742">
        <v>0</v>
      </c>
      <c r="I742" s="1">
        <v>45504</v>
      </c>
      <c r="J742">
        <v>2063123.5</v>
      </c>
    </row>
    <row r="743" spans="1:10">
      <c r="A743" t="s">
        <v>197</v>
      </c>
      <c r="B743">
        <v>0</v>
      </c>
      <c r="C743" s="1">
        <v>45626</v>
      </c>
      <c r="D743">
        <v>-159110</v>
      </c>
      <c r="G743" t="s">
        <v>65</v>
      </c>
      <c r="H743">
        <v>0</v>
      </c>
      <c r="I743" s="1">
        <v>45535</v>
      </c>
      <c r="J743">
        <v>1916808.5</v>
      </c>
    </row>
    <row r="744" spans="1:10">
      <c r="A744" t="s">
        <v>197</v>
      </c>
      <c r="B744">
        <v>0</v>
      </c>
      <c r="C744" s="1">
        <v>45657</v>
      </c>
      <c r="D744">
        <v>-165989.5</v>
      </c>
      <c r="G744" t="s">
        <v>65</v>
      </c>
      <c r="H744">
        <v>0</v>
      </c>
      <c r="I744" s="1">
        <v>45565</v>
      </c>
      <c r="J744">
        <v>1764252.5</v>
      </c>
    </row>
    <row r="745" spans="1:10">
      <c r="A745" t="s">
        <v>197</v>
      </c>
      <c r="B745">
        <v>0</v>
      </c>
      <c r="C745" s="1">
        <v>45688</v>
      </c>
      <c r="D745">
        <v>-173214.90999999901</v>
      </c>
      <c r="G745" t="s">
        <v>65</v>
      </c>
      <c r="H745">
        <v>0</v>
      </c>
      <c r="I745" s="1">
        <v>45596</v>
      </c>
      <c r="J745">
        <v>1611695.5</v>
      </c>
    </row>
    <row r="746" spans="1:10">
      <c r="A746" t="s">
        <v>197</v>
      </c>
      <c r="B746">
        <v>0</v>
      </c>
      <c r="C746" s="1">
        <v>45716</v>
      </c>
      <c r="D746">
        <v>-180800.66</v>
      </c>
      <c r="G746" t="s">
        <v>65</v>
      </c>
      <c r="H746">
        <v>0</v>
      </c>
      <c r="I746" s="1">
        <v>45626</v>
      </c>
      <c r="J746">
        <v>1452585.5</v>
      </c>
    </row>
    <row r="747" spans="1:10">
      <c r="A747" t="s">
        <v>197</v>
      </c>
      <c r="B747">
        <v>0</v>
      </c>
      <c r="C747" s="1">
        <v>45747</v>
      </c>
      <c r="D747">
        <v>-188766.66</v>
      </c>
      <c r="G747" t="s">
        <v>65</v>
      </c>
      <c r="H747">
        <v>0</v>
      </c>
      <c r="I747" s="1">
        <v>45657</v>
      </c>
      <c r="J747">
        <v>1286596</v>
      </c>
    </row>
    <row r="748" spans="1:10">
      <c r="A748" t="s">
        <v>197</v>
      </c>
      <c r="B748">
        <v>0</v>
      </c>
      <c r="C748" s="1">
        <v>45777</v>
      </c>
      <c r="D748">
        <v>-197129.66</v>
      </c>
      <c r="G748" t="s">
        <v>65</v>
      </c>
      <c r="H748">
        <v>0</v>
      </c>
      <c r="I748" s="1">
        <v>45688</v>
      </c>
      <c r="J748">
        <v>1113381.0900000001</v>
      </c>
    </row>
    <row r="749" spans="1:10">
      <c r="A749" t="s">
        <v>197</v>
      </c>
      <c r="B749">
        <v>0</v>
      </c>
      <c r="C749" s="1">
        <v>45808</v>
      </c>
      <c r="D749">
        <v>-205913.66</v>
      </c>
      <c r="G749" t="s">
        <v>65</v>
      </c>
      <c r="H749">
        <v>0</v>
      </c>
      <c r="I749" s="1">
        <v>45716</v>
      </c>
      <c r="J749">
        <v>932580.43</v>
      </c>
    </row>
    <row r="750" spans="1:10">
      <c r="A750" t="s">
        <v>197</v>
      </c>
      <c r="B750">
        <v>0</v>
      </c>
      <c r="C750" s="1">
        <v>45838</v>
      </c>
      <c r="D750">
        <v>-207732.21</v>
      </c>
      <c r="G750" t="s">
        <v>65</v>
      </c>
      <c r="H750">
        <v>0</v>
      </c>
      <c r="I750" s="1">
        <v>45747</v>
      </c>
      <c r="J750">
        <v>743813.77</v>
      </c>
    </row>
    <row r="751" spans="1:10">
      <c r="A751" t="s">
        <v>197</v>
      </c>
      <c r="B751">
        <v>0</v>
      </c>
      <c r="C751" s="1">
        <v>45869</v>
      </c>
      <c r="D751">
        <v>-223814.049999999</v>
      </c>
      <c r="G751" t="s">
        <v>65</v>
      </c>
      <c r="H751">
        <v>0</v>
      </c>
      <c r="I751" s="1">
        <v>45777</v>
      </c>
      <c r="J751">
        <v>546684.11</v>
      </c>
    </row>
    <row r="752" spans="1:10">
      <c r="A752" t="s">
        <v>197</v>
      </c>
      <c r="B752">
        <v>0</v>
      </c>
      <c r="C752" s="1">
        <v>45900</v>
      </c>
      <c r="D752">
        <v>-234979.99</v>
      </c>
      <c r="G752" t="s">
        <v>65</v>
      </c>
      <c r="H752">
        <v>0</v>
      </c>
      <c r="I752" s="1">
        <v>45808</v>
      </c>
      <c r="J752">
        <v>340770.45</v>
      </c>
    </row>
    <row r="753" spans="1:10">
      <c r="A753" t="s">
        <v>197</v>
      </c>
      <c r="B753">
        <v>0</v>
      </c>
      <c r="C753" s="1">
        <v>45930</v>
      </c>
      <c r="D753">
        <v>-245654.21</v>
      </c>
      <c r="G753" t="s">
        <v>65</v>
      </c>
      <c r="H753">
        <v>0</v>
      </c>
      <c r="I753" s="1">
        <v>45838</v>
      </c>
      <c r="J753">
        <v>133038.24</v>
      </c>
    </row>
    <row r="754" spans="1:10">
      <c r="C754" s="1"/>
      <c r="G754" t="s">
        <v>65</v>
      </c>
      <c r="H754">
        <v>0</v>
      </c>
      <c r="I754" s="1">
        <v>45869</v>
      </c>
      <c r="J754">
        <v>-90775.81</v>
      </c>
    </row>
    <row r="755" spans="1:10">
      <c r="C755" s="1"/>
      <c r="G755" t="s">
        <v>65</v>
      </c>
      <c r="H755">
        <v>0</v>
      </c>
      <c r="I755" s="1">
        <v>45900</v>
      </c>
      <c r="J755">
        <v>-325755.8</v>
      </c>
    </row>
    <row r="756" spans="1:10">
      <c r="C756" s="1"/>
      <c r="G756" t="s">
        <v>65</v>
      </c>
      <c r="H756">
        <v>0</v>
      </c>
      <c r="I756" s="1">
        <v>45930</v>
      </c>
      <c r="J756">
        <v>-571410.01</v>
      </c>
    </row>
    <row r="757" spans="1:10">
      <c r="C757" s="1"/>
      <c r="G757" t="s">
        <v>432</v>
      </c>
      <c r="H757">
        <v>0</v>
      </c>
      <c r="I757" s="1">
        <v>45291</v>
      </c>
      <c r="J757">
        <v>4443756</v>
      </c>
    </row>
    <row r="758" spans="1:10">
      <c r="C758" s="1"/>
      <c r="G758" t="s">
        <v>432</v>
      </c>
      <c r="H758">
        <v>0</v>
      </c>
      <c r="I758" s="1">
        <v>45322</v>
      </c>
      <c r="J758">
        <v>4370951.5</v>
      </c>
    </row>
    <row r="759" spans="1:10">
      <c r="C759" s="1"/>
      <c r="G759" t="s">
        <v>432</v>
      </c>
      <c r="H759">
        <v>0</v>
      </c>
      <c r="I759" s="1">
        <v>45351</v>
      </c>
      <c r="J759">
        <v>4241631.5</v>
      </c>
    </row>
    <row r="760" spans="1:10">
      <c r="C760" s="1"/>
      <c r="G760" t="s">
        <v>432</v>
      </c>
      <c r="H760">
        <v>0</v>
      </c>
      <c r="I760" s="1">
        <v>45382</v>
      </c>
      <c r="J760">
        <v>4166262</v>
      </c>
    </row>
    <row r="761" spans="1:10">
      <c r="C761" s="1"/>
      <c r="G761" t="s">
        <v>432</v>
      </c>
      <c r="H761">
        <v>0</v>
      </c>
      <c r="I761" s="1">
        <v>45412</v>
      </c>
      <c r="J761">
        <v>4031551.5</v>
      </c>
    </row>
    <row r="762" spans="1:10">
      <c r="C762" s="1"/>
      <c r="G762" t="s">
        <v>432</v>
      </c>
      <c r="H762">
        <v>0</v>
      </c>
      <c r="I762" s="1">
        <v>45443</v>
      </c>
      <c r="J762">
        <v>3953489</v>
      </c>
    </row>
    <row r="763" spans="1:10">
      <c r="C763" s="1"/>
      <c r="G763" t="s">
        <v>432</v>
      </c>
      <c r="H763">
        <v>0</v>
      </c>
      <c r="I763" s="1">
        <v>45473</v>
      </c>
      <c r="J763">
        <v>3813117</v>
      </c>
    </row>
    <row r="764" spans="1:10">
      <c r="C764" s="1"/>
      <c r="G764" t="s">
        <v>432</v>
      </c>
      <c r="H764">
        <v>0</v>
      </c>
      <c r="I764" s="1">
        <v>45504</v>
      </c>
      <c r="J764">
        <v>3666801</v>
      </c>
    </row>
    <row r="765" spans="1:10">
      <c r="C765" s="1"/>
      <c r="G765" t="s">
        <v>432</v>
      </c>
      <c r="H765">
        <v>0</v>
      </c>
      <c r="I765" s="1">
        <v>45535</v>
      </c>
      <c r="J765">
        <v>3520486</v>
      </c>
    </row>
    <row r="766" spans="1:10">
      <c r="C766" s="1"/>
      <c r="G766" t="s">
        <v>432</v>
      </c>
      <c r="H766">
        <v>0</v>
      </c>
      <c r="I766" s="1">
        <v>45565</v>
      </c>
      <c r="J766">
        <v>3367930</v>
      </c>
    </row>
    <row r="767" spans="1:10">
      <c r="C767" s="1"/>
      <c r="G767" t="s">
        <v>432</v>
      </c>
      <c r="H767">
        <v>0</v>
      </c>
      <c r="I767" s="1">
        <v>45596</v>
      </c>
      <c r="J767">
        <v>3215373</v>
      </c>
    </row>
    <row r="768" spans="1:10">
      <c r="C768" s="1"/>
      <c r="G768" t="s">
        <v>432</v>
      </c>
      <c r="H768">
        <v>0</v>
      </c>
      <c r="I768" s="1">
        <v>45626</v>
      </c>
      <c r="J768">
        <v>3056263</v>
      </c>
    </row>
    <row r="769" spans="3:10">
      <c r="C769" s="1"/>
      <c r="G769" t="s">
        <v>432</v>
      </c>
      <c r="H769">
        <v>0</v>
      </c>
      <c r="I769" s="1">
        <v>45657</v>
      </c>
      <c r="J769">
        <v>2890273.5</v>
      </c>
    </row>
    <row r="770" spans="3:10">
      <c r="C770" s="1"/>
      <c r="G770" t="s">
        <v>432</v>
      </c>
      <c r="H770">
        <v>0</v>
      </c>
      <c r="I770" s="1">
        <v>45688</v>
      </c>
      <c r="J770">
        <v>2717058.59</v>
      </c>
    </row>
    <row r="771" spans="3:10">
      <c r="C771" s="1"/>
      <c r="G771" t="s">
        <v>432</v>
      </c>
      <c r="H771">
        <v>0</v>
      </c>
      <c r="I771" s="1">
        <v>45716</v>
      </c>
      <c r="J771">
        <v>2536257.9299999899</v>
      </c>
    </row>
    <row r="772" spans="3:10">
      <c r="C772" s="1"/>
      <c r="G772" t="s">
        <v>432</v>
      </c>
      <c r="H772">
        <v>0</v>
      </c>
      <c r="I772" s="1">
        <v>45747</v>
      </c>
      <c r="J772">
        <v>2347491.27</v>
      </c>
    </row>
    <row r="773" spans="3:10">
      <c r="C773" s="1"/>
      <c r="G773" t="s">
        <v>432</v>
      </c>
      <c r="H773">
        <v>0</v>
      </c>
      <c r="I773" s="1">
        <v>45777</v>
      </c>
      <c r="J773">
        <v>2150361.61</v>
      </c>
    </row>
    <row r="774" spans="3:10">
      <c r="C774" s="1"/>
      <c r="G774" t="s">
        <v>432</v>
      </c>
      <c r="H774">
        <v>0</v>
      </c>
      <c r="I774" s="1">
        <v>45808</v>
      </c>
      <c r="J774">
        <v>1944447.95</v>
      </c>
    </row>
    <row r="775" spans="3:10">
      <c r="C775" s="1"/>
      <c r="G775" t="s">
        <v>432</v>
      </c>
      <c r="H775">
        <v>0</v>
      </c>
      <c r="I775" s="1">
        <v>45838</v>
      </c>
      <c r="J775">
        <v>1737715.74</v>
      </c>
    </row>
    <row r="776" spans="3:10">
      <c r="C776" s="1"/>
      <c r="G776" t="s">
        <v>432</v>
      </c>
      <c r="H776">
        <v>0</v>
      </c>
      <c r="I776" s="1">
        <v>45869</v>
      </c>
      <c r="J776">
        <v>1513901.69</v>
      </c>
    </row>
    <row r="777" spans="3:10">
      <c r="C777" s="1"/>
      <c r="G777" t="s">
        <v>432</v>
      </c>
      <c r="H777">
        <v>0</v>
      </c>
      <c r="I777" s="1">
        <v>45900</v>
      </c>
      <c r="J777">
        <v>1278921.7</v>
      </c>
    </row>
    <row r="778" spans="3:10">
      <c r="C778" s="1"/>
      <c r="G778" t="s">
        <v>432</v>
      </c>
      <c r="H778">
        <v>0</v>
      </c>
      <c r="I778" s="1">
        <v>45930</v>
      </c>
      <c r="J778">
        <v>1033267.49</v>
      </c>
    </row>
    <row r="779" spans="3:10">
      <c r="C779" s="1"/>
      <c r="I779" s="1"/>
    </row>
    <row r="780" spans="3:10">
      <c r="C780" s="1"/>
      <c r="I780" s="1"/>
    </row>
    <row r="781" spans="3:10">
      <c r="C781" s="1"/>
      <c r="I781" s="1"/>
    </row>
    <row r="782" spans="3:10">
      <c r="C782" s="1"/>
      <c r="I782" s="1"/>
    </row>
    <row r="783" spans="3:10">
      <c r="C783" s="1"/>
      <c r="I783" s="1"/>
    </row>
    <row r="784" spans="3:10">
      <c r="C784" s="1"/>
      <c r="I784" s="1"/>
    </row>
    <row r="785" spans="3:9">
      <c r="C785" s="1"/>
      <c r="I785" s="1"/>
    </row>
    <row r="786" spans="3:9">
      <c r="C786" s="1"/>
      <c r="I786" s="1"/>
    </row>
    <row r="787" spans="3:9">
      <c r="C787" s="1"/>
      <c r="I787" s="1"/>
    </row>
    <row r="788" spans="3:9">
      <c r="C788" s="1"/>
      <c r="I788" s="1"/>
    </row>
    <row r="789" spans="3:9">
      <c r="C789" s="1"/>
      <c r="I789" s="1"/>
    </row>
    <row r="790" spans="3:9">
      <c r="C790" s="1"/>
      <c r="I790" s="1"/>
    </row>
    <row r="791" spans="3:9">
      <c r="C791" s="1"/>
      <c r="I791" s="1"/>
    </row>
    <row r="792" spans="3:9">
      <c r="C792" s="1"/>
      <c r="I792" s="1"/>
    </row>
    <row r="793" spans="3:9">
      <c r="C793" s="1"/>
      <c r="I793" s="1"/>
    </row>
    <row r="794" spans="3:9">
      <c r="C794" s="1"/>
      <c r="I794" s="1"/>
    </row>
    <row r="795" spans="3:9">
      <c r="C795" s="1"/>
      <c r="I795" s="1"/>
    </row>
    <row r="796" spans="3:9">
      <c r="C796" s="1"/>
      <c r="I796" s="1"/>
    </row>
    <row r="797" spans="3:9">
      <c r="C797" s="1"/>
      <c r="I797" s="1"/>
    </row>
    <row r="798" spans="3:9">
      <c r="C798" s="1"/>
      <c r="I798" s="1"/>
    </row>
    <row r="799" spans="3:9">
      <c r="C799" s="1"/>
      <c r="I799" s="1"/>
    </row>
    <row r="800" spans="3:9">
      <c r="C800" s="1"/>
      <c r="I800" s="1"/>
    </row>
    <row r="801" spans="3:9">
      <c r="C801" s="1"/>
      <c r="I801" s="1"/>
    </row>
    <row r="802" spans="3:9">
      <c r="C802" s="1"/>
      <c r="I802" s="1"/>
    </row>
    <row r="803" spans="3:9">
      <c r="C803" s="1"/>
      <c r="I803" s="1"/>
    </row>
    <row r="804" spans="3:9">
      <c r="C804" s="1"/>
      <c r="I804" s="1"/>
    </row>
    <row r="805" spans="3:9">
      <c r="C805" s="1"/>
      <c r="I805" s="1"/>
    </row>
    <row r="806" spans="3:9">
      <c r="C806" s="1"/>
      <c r="I806" s="1"/>
    </row>
    <row r="807" spans="3:9">
      <c r="C807" s="1"/>
      <c r="I807" s="1"/>
    </row>
    <row r="808" spans="3:9">
      <c r="C808" s="1"/>
      <c r="I808" s="1"/>
    </row>
    <row r="809" spans="3:9">
      <c r="C809" s="1"/>
      <c r="I809" s="1"/>
    </row>
    <row r="810" spans="3:9">
      <c r="C810" s="1"/>
      <c r="I810" s="1"/>
    </row>
    <row r="811" spans="3:9">
      <c r="C811" s="1"/>
      <c r="I811" s="1"/>
    </row>
    <row r="812" spans="3:9">
      <c r="C812" s="1"/>
      <c r="I812" s="1"/>
    </row>
    <row r="813" spans="3:9">
      <c r="C813" s="1"/>
      <c r="I813" s="1"/>
    </row>
    <row r="814" spans="3:9">
      <c r="C814" s="1"/>
      <c r="I814" s="1"/>
    </row>
    <row r="815" spans="3:9">
      <c r="C815" s="1"/>
      <c r="I815" s="1"/>
    </row>
    <row r="816" spans="3:9">
      <c r="C816" s="1"/>
      <c r="I816" s="1"/>
    </row>
    <row r="817" spans="3:9">
      <c r="C817" s="1"/>
      <c r="I817" s="1"/>
    </row>
    <row r="818" spans="3:9">
      <c r="C818" s="1"/>
      <c r="I818" s="1"/>
    </row>
    <row r="819" spans="3:9">
      <c r="C819" s="1"/>
      <c r="I819" s="1"/>
    </row>
    <row r="820" spans="3:9">
      <c r="C820" s="1"/>
      <c r="I820" s="1"/>
    </row>
    <row r="821" spans="3:9">
      <c r="C821" s="1"/>
      <c r="I821" s="1"/>
    </row>
    <row r="822" spans="3:9">
      <c r="C822" s="1"/>
      <c r="I822" s="1"/>
    </row>
    <row r="823" spans="3:9">
      <c r="C823" s="1"/>
      <c r="I823" s="1"/>
    </row>
    <row r="824" spans="3:9">
      <c r="C824" s="1"/>
      <c r="I824" s="1"/>
    </row>
    <row r="825" spans="3:9">
      <c r="C825" s="1"/>
      <c r="I825" s="1"/>
    </row>
    <row r="826" spans="3:9">
      <c r="C826" s="1"/>
      <c r="I826" s="1"/>
    </row>
    <row r="827" spans="3:9">
      <c r="C827" s="1"/>
      <c r="I827" s="1"/>
    </row>
    <row r="828" spans="3:9">
      <c r="C828" s="1"/>
      <c r="I828" s="1"/>
    </row>
    <row r="829" spans="3:9">
      <c r="C829" s="1"/>
      <c r="I829" s="1"/>
    </row>
    <row r="830" spans="3:9">
      <c r="C830" s="1"/>
      <c r="I830" s="1"/>
    </row>
    <row r="831" spans="3:9">
      <c r="C831" s="1"/>
      <c r="I831" s="1"/>
    </row>
    <row r="832" spans="3:9">
      <c r="C832" s="1"/>
      <c r="I832" s="1"/>
    </row>
    <row r="833" spans="3:9">
      <c r="C833" s="1"/>
      <c r="I833" s="1"/>
    </row>
    <row r="834" spans="3:9">
      <c r="C834" s="1"/>
      <c r="I834" s="1"/>
    </row>
    <row r="835" spans="3:9">
      <c r="C835" s="1"/>
      <c r="I835" s="1"/>
    </row>
    <row r="836" spans="3:9">
      <c r="C836" s="1"/>
      <c r="I836" s="1"/>
    </row>
    <row r="837" spans="3:9">
      <c r="C837" s="1"/>
      <c r="I837" s="1"/>
    </row>
    <row r="838" spans="3:9">
      <c r="C838" s="1"/>
      <c r="I838" s="1"/>
    </row>
    <row r="839" spans="3:9">
      <c r="C839" s="1"/>
      <c r="I839" s="1"/>
    </row>
    <row r="840" spans="3:9">
      <c r="C840" s="1"/>
      <c r="I840" s="1"/>
    </row>
    <row r="841" spans="3:9">
      <c r="C841" s="1"/>
      <c r="I841" s="1"/>
    </row>
    <row r="842" spans="3:9">
      <c r="C842" s="1"/>
      <c r="I842" s="1"/>
    </row>
    <row r="843" spans="3:9">
      <c r="C843" s="1"/>
      <c r="I843" s="1"/>
    </row>
    <row r="844" spans="3:9">
      <c r="C844" s="1"/>
      <c r="I844" s="1"/>
    </row>
    <row r="845" spans="3:9">
      <c r="C845" s="1"/>
      <c r="I845" s="1"/>
    </row>
    <row r="846" spans="3:9">
      <c r="C846" s="1"/>
      <c r="I846" s="1"/>
    </row>
    <row r="847" spans="3:9">
      <c r="C847" s="1"/>
      <c r="I847" s="1"/>
    </row>
    <row r="848" spans="3:9">
      <c r="C848" s="1"/>
      <c r="I848" s="1"/>
    </row>
    <row r="849" spans="3:9">
      <c r="C849" s="1"/>
      <c r="I849" s="1"/>
    </row>
    <row r="850" spans="3:9">
      <c r="C850" s="1"/>
      <c r="I850" s="1"/>
    </row>
    <row r="851" spans="3:9">
      <c r="C851" s="1"/>
      <c r="I851" s="1"/>
    </row>
    <row r="852" spans="3:9">
      <c r="C852" s="1"/>
      <c r="I852" s="1"/>
    </row>
    <row r="853" spans="3:9">
      <c r="C853" s="1"/>
      <c r="I853" s="1"/>
    </row>
    <row r="854" spans="3:9">
      <c r="C854" s="1"/>
      <c r="I854" s="1"/>
    </row>
    <row r="855" spans="3:9">
      <c r="C855" s="1"/>
      <c r="I855" s="1"/>
    </row>
    <row r="856" spans="3:9">
      <c r="C856" s="1"/>
      <c r="I856" s="1"/>
    </row>
    <row r="857" spans="3:9">
      <c r="C857" s="1"/>
      <c r="I857" s="1"/>
    </row>
    <row r="858" spans="3:9">
      <c r="C858" s="1"/>
      <c r="I858" s="1"/>
    </row>
    <row r="859" spans="3:9">
      <c r="C859" s="1"/>
      <c r="I859" s="1"/>
    </row>
    <row r="860" spans="3:9">
      <c r="C860" s="1"/>
      <c r="I860" s="1"/>
    </row>
    <row r="861" spans="3:9">
      <c r="C861" s="1"/>
      <c r="I861" s="1"/>
    </row>
    <row r="862" spans="3:9">
      <c r="C862" s="1"/>
      <c r="I862" s="1"/>
    </row>
    <row r="863" spans="3:9">
      <c r="C863" s="1"/>
      <c r="I863" s="1"/>
    </row>
    <row r="864" spans="3:9">
      <c r="C864" s="1"/>
      <c r="I864" s="1"/>
    </row>
    <row r="865" spans="3:9">
      <c r="C865" s="1"/>
      <c r="I865" s="1"/>
    </row>
    <row r="866" spans="3:9">
      <c r="C866" s="1"/>
      <c r="I866" s="1"/>
    </row>
    <row r="867" spans="3:9">
      <c r="C867" s="1"/>
      <c r="I867" s="1"/>
    </row>
    <row r="868" spans="3:9">
      <c r="C868" s="1"/>
      <c r="I868" s="1"/>
    </row>
    <row r="869" spans="3:9">
      <c r="C869" s="1"/>
      <c r="I869" s="1"/>
    </row>
    <row r="870" spans="3:9">
      <c r="C870" s="1"/>
      <c r="I870" s="1"/>
    </row>
    <row r="871" spans="3:9">
      <c r="C871" s="1"/>
      <c r="I871" s="1"/>
    </row>
    <row r="872" spans="3:9">
      <c r="C872" s="1"/>
      <c r="I872" s="1"/>
    </row>
    <row r="873" spans="3:9">
      <c r="C873" s="1"/>
      <c r="I873" s="1"/>
    </row>
    <row r="874" spans="3:9">
      <c r="C874" s="1"/>
      <c r="I874" s="1"/>
    </row>
    <row r="875" spans="3:9">
      <c r="C875" s="1"/>
      <c r="I875" s="1"/>
    </row>
    <row r="876" spans="3:9">
      <c r="C876" s="1"/>
      <c r="I876" s="1"/>
    </row>
    <row r="877" spans="3:9">
      <c r="C877" s="1"/>
      <c r="I877" s="1"/>
    </row>
    <row r="878" spans="3:9">
      <c r="C878" s="1"/>
      <c r="I878" s="1"/>
    </row>
    <row r="879" spans="3:9">
      <c r="C879" s="1"/>
      <c r="I879" s="1"/>
    </row>
    <row r="880" spans="3:9">
      <c r="C880" s="1"/>
      <c r="I880" s="1"/>
    </row>
    <row r="881" spans="3:9">
      <c r="C881" s="1"/>
      <c r="I881" s="1"/>
    </row>
    <row r="882" spans="3:9">
      <c r="C882" s="1"/>
      <c r="I882" s="1"/>
    </row>
    <row r="883" spans="3:9">
      <c r="C883" s="1"/>
      <c r="I883" s="1"/>
    </row>
    <row r="884" spans="3:9">
      <c r="C884" s="1"/>
      <c r="I884" s="1"/>
    </row>
    <row r="885" spans="3:9">
      <c r="C885" s="1"/>
      <c r="I885" s="1"/>
    </row>
    <row r="886" spans="3:9">
      <c r="C886" s="1"/>
      <c r="I886" s="1"/>
    </row>
    <row r="887" spans="3:9">
      <c r="C887" s="1"/>
      <c r="I887" s="1"/>
    </row>
    <row r="888" spans="3:9">
      <c r="C888" s="1"/>
      <c r="I888" s="1"/>
    </row>
    <row r="889" spans="3:9">
      <c r="C889" s="1"/>
      <c r="I889" s="1"/>
    </row>
    <row r="890" spans="3:9">
      <c r="C890" s="1"/>
      <c r="I890" s="1"/>
    </row>
    <row r="891" spans="3:9">
      <c r="C891" s="1"/>
      <c r="I891" s="1"/>
    </row>
    <row r="892" spans="3:9">
      <c r="C892" s="1"/>
      <c r="I892" s="1"/>
    </row>
    <row r="893" spans="3:9">
      <c r="C893" s="1"/>
      <c r="I893" s="1"/>
    </row>
    <row r="894" spans="3:9">
      <c r="C894" s="1"/>
      <c r="I894" s="1"/>
    </row>
    <row r="895" spans="3:9">
      <c r="C895" s="1"/>
      <c r="I895" s="1"/>
    </row>
    <row r="896" spans="3:9">
      <c r="C896" s="1"/>
      <c r="I896" s="1"/>
    </row>
    <row r="897" spans="3:9">
      <c r="C897" s="1"/>
      <c r="I897" s="1"/>
    </row>
    <row r="898" spans="3:9">
      <c r="C898" s="1"/>
      <c r="I898" s="1"/>
    </row>
    <row r="899" spans="3:9">
      <c r="C899" s="1"/>
      <c r="I899" s="1"/>
    </row>
    <row r="900" spans="3:9">
      <c r="C900" s="1"/>
      <c r="I900" s="1"/>
    </row>
    <row r="901" spans="3:9">
      <c r="C901" s="1"/>
      <c r="I901" s="1"/>
    </row>
    <row r="902" spans="3:9">
      <c r="C902" s="1"/>
      <c r="I902" s="1"/>
    </row>
    <row r="903" spans="3:9">
      <c r="C903" s="1"/>
      <c r="I903" s="1"/>
    </row>
    <row r="904" spans="3:9">
      <c r="C904" s="1"/>
      <c r="I904" s="1"/>
    </row>
    <row r="905" spans="3:9">
      <c r="C905" s="1"/>
      <c r="I905" s="1"/>
    </row>
    <row r="906" spans="3:9">
      <c r="C906" s="1"/>
      <c r="I906" s="1"/>
    </row>
    <row r="907" spans="3:9">
      <c r="C907" s="1"/>
      <c r="I907" s="1"/>
    </row>
    <row r="908" spans="3:9">
      <c r="C908" s="1"/>
      <c r="I908" s="1"/>
    </row>
    <row r="909" spans="3:9">
      <c r="C909" s="1"/>
      <c r="I909" s="1"/>
    </row>
    <row r="910" spans="3:9">
      <c r="C910" s="1"/>
      <c r="I910" s="1"/>
    </row>
    <row r="911" spans="3:9">
      <c r="C911" s="1"/>
      <c r="I911" s="1"/>
    </row>
    <row r="912" spans="3:9">
      <c r="C912" s="1"/>
      <c r="I912" s="1"/>
    </row>
    <row r="913" spans="3:9">
      <c r="C913" s="1"/>
      <c r="I913" s="1"/>
    </row>
    <row r="914" spans="3:9">
      <c r="C914" s="1"/>
      <c r="I914" s="1"/>
    </row>
    <row r="915" spans="3:9">
      <c r="C915" s="1"/>
      <c r="I915" s="1"/>
    </row>
    <row r="916" spans="3:9">
      <c r="C916" s="1"/>
      <c r="I916" s="1"/>
    </row>
    <row r="917" spans="3:9">
      <c r="C917" s="1"/>
      <c r="I917" s="1"/>
    </row>
    <row r="918" spans="3:9">
      <c r="C918" s="1"/>
      <c r="I918" s="1"/>
    </row>
    <row r="919" spans="3:9">
      <c r="C919" s="1"/>
      <c r="I919" s="1"/>
    </row>
    <row r="920" spans="3:9">
      <c r="C920" s="1"/>
      <c r="I920" s="1"/>
    </row>
    <row r="921" spans="3:9">
      <c r="C921" s="1"/>
      <c r="I921" s="1"/>
    </row>
    <row r="922" spans="3:9">
      <c r="C922" s="1"/>
      <c r="I922" s="1"/>
    </row>
    <row r="923" spans="3:9">
      <c r="C923" s="1"/>
      <c r="I923" s="1"/>
    </row>
    <row r="924" spans="3:9">
      <c r="C924" s="1"/>
      <c r="I924" s="1"/>
    </row>
    <row r="925" spans="3:9">
      <c r="C925" s="1"/>
      <c r="I925" s="1"/>
    </row>
    <row r="926" spans="3:9">
      <c r="C926" s="1"/>
      <c r="I926" s="1"/>
    </row>
    <row r="927" spans="3:9">
      <c r="C927" s="1"/>
      <c r="I927" s="1"/>
    </row>
    <row r="928" spans="3:9">
      <c r="C928" s="1"/>
      <c r="I928" s="1"/>
    </row>
    <row r="929" spans="3:9">
      <c r="C929" s="1"/>
      <c r="I929" s="1"/>
    </row>
    <row r="930" spans="3:9">
      <c r="C930" s="1"/>
      <c r="I930" s="1"/>
    </row>
    <row r="931" spans="3:9">
      <c r="C931" s="1"/>
      <c r="I931" s="1"/>
    </row>
    <row r="932" spans="3:9">
      <c r="C932" s="1"/>
      <c r="I932" s="1"/>
    </row>
    <row r="933" spans="3:9">
      <c r="C933" s="1"/>
      <c r="I933" s="1"/>
    </row>
    <row r="934" spans="3:9">
      <c r="C934" s="1"/>
      <c r="I934" s="1"/>
    </row>
    <row r="935" spans="3:9">
      <c r="C935" s="1"/>
      <c r="I935" s="1"/>
    </row>
    <row r="936" spans="3:9">
      <c r="C936" s="1"/>
      <c r="I936" s="1"/>
    </row>
    <row r="937" spans="3:9">
      <c r="C937" s="1"/>
      <c r="I937" s="1"/>
    </row>
    <row r="938" spans="3:9">
      <c r="C938" s="1"/>
      <c r="I938" s="1"/>
    </row>
    <row r="939" spans="3:9">
      <c r="C939" s="1"/>
      <c r="I939" s="1"/>
    </row>
    <row r="940" spans="3:9">
      <c r="C940" s="1"/>
      <c r="I940" s="1"/>
    </row>
    <row r="941" spans="3:9">
      <c r="C941" s="1"/>
      <c r="I941" s="1"/>
    </row>
    <row r="942" spans="3:9">
      <c r="C942" s="1"/>
      <c r="I942" s="1"/>
    </row>
    <row r="943" spans="3:9">
      <c r="C943" s="1"/>
      <c r="I943" s="1"/>
    </row>
    <row r="944" spans="3:9">
      <c r="C944" s="1"/>
      <c r="I944" s="1"/>
    </row>
    <row r="945" spans="3:9">
      <c r="C945" s="1"/>
      <c r="I945" s="1"/>
    </row>
    <row r="946" spans="3:9">
      <c r="C946" s="1"/>
      <c r="I946" s="1"/>
    </row>
    <row r="947" spans="3:9">
      <c r="C947" s="1"/>
      <c r="I947" s="1"/>
    </row>
    <row r="948" spans="3:9">
      <c r="C948" s="1"/>
      <c r="I948" s="1"/>
    </row>
    <row r="949" spans="3:9">
      <c r="C949" s="1"/>
      <c r="I949" s="1"/>
    </row>
    <row r="950" spans="3:9">
      <c r="C950" s="1"/>
      <c r="I950" s="1"/>
    </row>
    <row r="951" spans="3:9">
      <c r="C951" s="1"/>
      <c r="I951" s="1"/>
    </row>
    <row r="952" spans="3:9">
      <c r="C952" s="1"/>
      <c r="I952" s="1"/>
    </row>
    <row r="953" spans="3:9">
      <c r="C953" s="1"/>
      <c r="I953" s="1"/>
    </row>
    <row r="954" spans="3:9">
      <c r="C954" s="1"/>
      <c r="I954" s="1"/>
    </row>
    <row r="955" spans="3:9">
      <c r="C955" s="1"/>
      <c r="I955" s="1"/>
    </row>
    <row r="956" spans="3:9">
      <c r="C956" s="1"/>
      <c r="I956" s="1"/>
    </row>
    <row r="957" spans="3:9">
      <c r="C957" s="1"/>
      <c r="I957" s="1"/>
    </row>
    <row r="958" spans="3:9">
      <c r="C958" s="1"/>
      <c r="I958" s="1"/>
    </row>
    <row r="959" spans="3:9">
      <c r="C959" s="1"/>
      <c r="I959" s="1"/>
    </row>
    <row r="960" spans="3:9">
      <c r="C960" s="1"/>
      <c r="I960" s="1"/>
    </row>
    <row r="961" spans="3:9">
      <c r="C961" s="1"/>
      <c r="I961" s="1"/>
    </row>
    <row r="962" spans="3:9">
      <c r="C962" s="1"/>
      <c r="I962" s="1"/>
    </row>
    <row r="963" spans="3:9">
      <c r="C963" s="1"/>
      <c r="I963" s="1"/>
    </row>
    <row r="964" spans="3:9">
      <c r="C964" s="1"/>
      <c r="I964" s="1"/>
    </row>
    <row r="965" spans="3:9">
      <c r="C965" s="1"/>
      <c r="I965" s="1"/>
    </row>
    <row r="966" spans="3:9">
      <c r="C966" s="1"/>
      <c r="I966" s="1"/>
    </row>
    <row r="967" spans="3:9">
      <c r="C967" s="1"/>
      <c r="I967" s="1"/>
    </row>
    <row r="968" spans="3:9">
      <c r="C968" s="1"/>
      <c r="I968" s="1"/>
    </row>
    <row r="969" spans="3:9">
      <c r="C969" s="1"/>
      <c r="I969" s="1"/>
    </row>
    <row r="970" spans="3:9">
      <c r="C970" s="1"/>
      <c r="I970" s="1"/>
    </row>
    <row r="971" spans="3:9">
      <c r="C971" s="1"/>
      <c r="I971" s="1"/>
    </row>
    <row r="972" spans="3:9">
      <c r="C972" s="1"/>
      <c r="I972" s="1"/>
    </row>
    <row r="973" spans="3:9">
      <c r="C973" s="1"/>
      <c r="I973" s="1"/>
    </row>
    <row r="974" spans="3:9">
      <c r="C974" s="1"/>
      <c r="I974" s="1"/>
    </row>
    <row r="975" spans="3:9">
      <c r="I975" s="1"/>
    </row>
    <row r="976" spans="3:9">
      <c r="I976" s="1"/>
    </row>
    <row r="977" spans="9:9">
      <c r="I977" s="1"/>
    </row>
    <row r="978" spans="9:9">
      <c r="I978" s="1"/>
    </row>
    <row r="979" spans="9:9">
      <c r="I979" s="1"/>
    </row>
    <row r="980" spans="9:9">
      <c r="I980" s="1"/>
    </row>
    <row r="981" spans="9:9">
      <c r="I981" s="1"/>
    </row>
    <row r="982" spans="9:9">
      <c r="I982" s="1"/>
    </row>
    <row r="983" spans="9:9">
      <c r="I983" s="1"/>
    </row>
    <row r="984" spans="9:9">
      <c r="I984" s="1"/>
    </row>
    <row r="985" spans="9:9">
      <c r="I985" s="1"/>
    </row>
    <row r="986" spans="9:9">
      <c r="I986" s="1"/>
    </row>
    <row r="987" spans="9:9">
      <c r="I987" s="1"/>
    </row>
    <row r="988" spans="9:9">
      <c r="I988" s="1"/>
    </row>
    <row r="989" spans="9:9">
      <c r="I989" s="1"/>
    </row>
    <row r="990" spans="9:9">
      <c r="I990" s="1"/>
    </row>
    <row r="991" spans="9:9">
      <c r="I991" s="1"/>
    </row>
    <row r="992" spans="9:9">
      <c r="I992" s="1"/>
    </row>
    <row r="993" spans="9:9">
      <c r="I993" s="1"/>
    </row>
    <row r="994" spans="9:9">
      <c r="I994" s="1"/>
    </row>
    <row r="995" spans="9:9">
      <c r="I995" s="1"/>
    </row>
    <row r="996" spans="9:9">
      <c r="I996" s="1"/>
    </row>
    <row r="997" spans="9:9">
      <c r="I997" s="1"/>
    </row>
    <row r="998" spans="9:9">
      <c r="I998" s="1"/>
    </row>
    <row r="999" spans="9:9">
      <c r="I999" s="1"/>
    </row>
    <row r="1000" spans="9:9">
      <c r="I1000" s="1"/>
    </row>
    <row r="1001" spans="9:9">
      <c r="I1001" s="1"/>
    </row>
    <row r="1002" spans="9:9">
      <c r="I1002" s="1"/>
    </row>
    <row r="1003" spans="9:9">
      <c r="I1003" s="1"/>
    </row>
    <row r="1004" spans="9:9">
      <c r="I1004" s="1"/>
    </row>
    <row r="1005" spans="9:9">
      <c r="I1005" s="1"/>
    </row>
    <row r="1006" spans="9:9">
      <c r="I1006" s="1"/>
    </row>
    <row r="1007" spans="9:9">
      <c r="I1007" s="1"/>
    </row>
    <row r="1008" spans="9:9">
      <c r="I1008" s="1"/>
    </row>
    <row r="1009" spans="9:9">
      <c r="I1009" s="1"/>
    </row>
    <row r="1010" spans="9:9">
      <c r="I1010" s="1"/>
    </row>
    <row r="1011" spans="9:9">
      <c r="I1011" s="1"/>
    </row>
    <row r="1012" spans="9:9">
      <c r="I1012" s="1"/>
    </row>
    <row r="1013" spans="9:9">
      <c r="I1013" s="1"/>
    </row>
    <row r="1014" spans="9:9">
      <c r="I1014" s="1"/>
    </row>
    <row r="1015" spans="9:9">
      <c r="I1015" s="1"/>
    </row>
    <row r="1016" spans="9:9">
      <c r="I1016" s="1"/>
    </row>
    <row r="1017" spans="9:9">
      <c r="I1017" s="1"/>
    </row>
    <row r="1018" spans="9:9">
      <c r="I1018" s="1"/>
    </row>
    <row r="1019" spans="9:9">
      <c r="I1019" s="1"/>
    </row>
    <row r="1020" spans="9:9">
      <c r="I1020" s="1"/>
    </row>
    <row r="1021" spans="9:9">
      <c r="I1021" s="1"/>
    </row>
    <row r="1022" spans="9:9">
      <c r="I1022" s="1"/>
    </row>
    <row r="1023" spans="9:9">
      <c r="I1023" s="1"/>
    </row>
    <row r="1024" spans="9:9">
      <c r="I1024" s="1"/>
    </row>
    <row r="1025" spans="9:9">
      <c r="I1025" s="1"/>
    </row>
    <row r="1026" spans="9:9">
      <c r="I1026" s="1"/>
    </row>
    <row r="1027" spans="9:9">
      <c r="I1027" s="1"/>
    </row>
    <row r="1028" spans="9:9">
      <c r="I1028" s="1"/>
    </row>
    <row r="1029" spans="9:9">
      <c r="I1029" s="1"/>
    </row>
    <row r="1030" spans="9:9">
      <c r="I1030" s="1"/>
    </row>
    <row r="1031" spans="9:9">
      <c r="I1031" s="1"/>
    </row>
    <row r="1032" spans="9:9">
      <c r="I1032" s="1"/>
    </row>
    <row r="1033" spans="9:9">
      <c r="I1033" s="1"/>
    </row>
    <row r="1034" spans="9:9">
      <c r="I1034" s="1"/>
    </row>
    <row r="1035" spans="9:9">
      <c r="I1035" s="1"/>
    </row>
    <row r="1036" spans="9:9">
      <c r="I1036" s="1"/>
    </row>
    <row r="1037" spans="9:9">
      <c r="I1037" s="1"/>
    </row>
    <row r="1038" spans="9:9">
      <c r="I1038" s="1"/>
    </row>
    <row r="1039" spans="9:9">
      <c r="I1039" s="1"/>
    </row>
    <row r="1040" spans="9:9">
      <c r="I1040" s="1"/>
    </row>
    <row r="1041" spans="9:9">
      <c r="I1041" s="1"/>
    </row>
    <row r="1042" spans="9:9">
      <c r="I1042" s="1"/>
    </row>
    <row r="1043" spans="9:9">
      <c r="I1043" s="1"/>
    </row>
    <row r="1044" spans="9:9">
      <c r="I1044" s="1"/>
    </row>
    <row r="1045" spans="9:9">
      <c r="I1045" s="1"/>
    </row>
    <row r="1046" spans="9:9">
      <c r="I1046" s="1"/>
    </row>
    <row r="1047" spans="9:9">
      <c r="I1047" s="1"/>
    </row>
    <row r="1048" spans="9:9">
      <c r="I1048" s="1"/>
    </row>
    <row r="1049" spans="9:9">
      <c r="I1049" s="1"/>
    </row>
    <row r="1050" spans="9:9">
      <c r="I1050" s="1"/>
    </row>
    <row r="1051" spans="9:9">
      <c r="I1051" s="1"/>
    </row>
    <row r="1052" spans="9:9">
      <c r="I1052" s="1"/>
    </row>
    <row r="1053" spans="9:9">
      <c r="I1053" s="1"/>
    </row>
    <row r="1054" spans="9:9">
      <c r="I1054" s="1"/>
    </row>
    <row r="1055" spans="9:9">
      <c r="I1055" s="1"/>
    </row>
    <row r="1056" spans="9:9">
      <c r="I1056" s="1"/>
    </row>
    <row r="1057" spans="9:9">
      <c r="I1057" s="1"/>
    </row>
    <row r="1058" spans="9:9">
      <c r="I1058" s="1"/>
    </row>
    <row r="1059" spans="9:9">
      <c r="I1059" s="1"/>
    </row>
    <row r="1060" spans="9:9">
      <c r="I1060" s="1"/>
    </row>
    <row r="1061" spans="9:9">
      <c r="I1061" s="1"/>
    </row>
    <row r="1062" spans="9:9">
      <c r="I1062" s="1"/>
    </row>
    <row r="1063" spans="9:9">
      <c r="I1063" s="1"/>
    </row>
    <row r="1064" spans="9:9">
      <c r="I1064" s="1"/>
    </row>
    <row r="1065" spans="9:9">
      <c r="I1065" s="1"/>
    </row>
    <row r="1066" spans="9:9">
      <c r="I1066" s="1"/>
    </row>
    <row r="1067" spans="9:9">
      <c r="I1067" s="1"/>
    </row>
    <row r="1068" spans="9:9">
      <c r="I1068" s="1"/>
    </row>
    <row r="1069" spans="9:9">
      <c r="I1069" s="1"/>
    </row>
    <row r="1070" spans="9:9">
      <c r="I1070" s="1"/>
    </row>
    <row r="1071" spans="9:9">
      <c r="I1071" s="1"/>
    </row>
    <row r="1072" spans="9:9">
      <c r="I1072" s="1"/>
    </row>
    <row r="1073" spans="9:9">
      <c r="I1073" s="1"/>
    </row>
    <row r="1074" spans="9:9">
      <c r="I1074" s="1"/>
    </row>
    <row r="1075" spans="9:9">
      <c r="I1075" s="1"/>
    </row>
    <row r="1076" spans="9:9">
      <c r="I1076" s="1"/>
    </row>
    <row r="1077" spans="9:9">
      <c r="I1077" s="1"/>
    </row>
    <row r="1078" spans="9:9">
      <c r="I1078" s="1"/>
    </row>
    <row r="1079" spans="9:9">
      <c r="I1079" s="1"/>
    </row>
    <row r="1080" spans="9:9">
      <c r="I1080" s="1"/>
    </row>
    <row r="1081" spans="9:9">
      <c r="I1081" s="1"/>
    </row>
    <row r="1082" spans="9:9">
      <c r="I1082" s="1"/>
    </row>
    <row r="1083" spans="9:9">
      <c r="I1083" s="1"/>
    </row>
    <row r="1084" spans="9:9">
      <c r="I1084" s="1"/>
    </row>
    <row r="1085" spans="9:9">
      <c r="I1085" s="1"/>
    </row>
    <row r="1086" spans="9:9">
      <c r="I1086" s="1"/>
    </row>
    <row r="1087" spans="9:9">
      <c r="I1087" s="1"/>
    </row>
    <row r="1088" spans="9:9">
      <c r="I1088" s="1"/>
    </row>
    <row r="1089" spans="9:9">
      <c r="I1089" s="1"/>
    </row>
    <row r="1090" spans="9:9">
      <c r="I1090" s="1"/>
    </row>
    <row r="1091" spans="9:9">
      <c r="I1091" s="1"/>
    </row>
    <row r="1092" spans="9:9">
      <c r="I1092" s="1"/>
    </row>
    <row r="1093" spans="9:9">
      <c r="I1093" s="1"/>
    </row>
    <row r="1094" spans="9:9">
      <c r="I1094" s="1"/>
    </row>
    <row r="1095" spans="9:9">
      <c r="I1095" s="1"/>
    </row>
    <row r="1096" spans="9:9">
      <c r="I1096" s="1"/>
    </row>
    <row r="1097" spans="9:9">
      <c r="I1097" s="1"/>
    </row>
    <row r="1098" spans="9:9">
      <c r="I1098" s="1"/>
    </row>
    <row r="1099" spans="9:9">
      <c r="I1099" s="1"/>
    </row>
    <row r="1100" spans="9:9">
      <c r="I1100" s="1"/>
    </row>
    <row r="1101" spans="9:9">
      <c r="I1101" s="1"/>
    </row>
    <row r="1102" spans="9:9">
      <c r="I1102" s="1"/>
    </row>
    <row r="1103" spans="9:9">
      <c r="I1103" s="1"/>
    </row>
    <row r="1104" spans="9:9">
      <c r="I1104" s="1"/>
    </row>
    <row r="1105" spans="9:9">
      <c r="I1105" s="1"/>
    </row>
    <row r="1106" spans="9:9">
      <c r="I1106" s="1"/>
    </row>
    <row r="1107" spans="9:9">
      <c r="I1107" s="1"/>
    </row>
    <row r="1108" spans="9:9">
      <c r="I1108" s="1"/>
    </row>
    <row r="1109" spans="9:9">
      <c r="I1109" s="1"/>
    </row>
    <row r="1110" spans="9:9">
      <c r="I1110" s="1"/>
    </row>
    <row r="1111" spans="9:9">
      <c r="I1111" s="1"/>
    </row>
    <row r="1112" spans="9:9">
      <c r="I1112" s="1"/>
    </row>
    <row r="1113" spans="9:9">
      <c r="I1113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A94B-7DBC-4229-91D7-ED275E34A77E}">
  <sheetPr>
    <tabColor rgb="FF6B7280"/>
  </sheetPr>
  <dimension ref="A1:F6"/>
  <sheetViews>
    <sheetView workbookViewId="0">
      <selection activeCell="E2" sqref="E2"/>
    </sheetView>
  </sheetViews>
  <sheetFormatPr defaultColWidth="8.85546875" defaultRowHeight="15"/>
  <cols>
    <col min="1" max="1" width="9.140625" customWidth="1"/>
    <col min="2" max="2" width="15.42578125" customWidth="1"/>
    <col min="3" max="4" width="36.42578125" customWidth="1"/>
    <col min="5" max="5" width="54.42578125" customWidth="1"/>
    <col min="6" max="6" width="36.42578125" customWidth="1"/>
  </cols>
  <sheetData>
    <row r="1" spans="1:6">
      <c r="A1" s="145" t="s">
        <v>0</v>
      </c>
      <c r="B1" s="145" t="s">
        <v>1</v>
      </c>
      <c r="C1" s="145" t="s">
        <v>2</v>
      </c>
      <c r="D1" s="145" t="s">
        <v>3</v>
      </c>
      <c r="E1" s="145" t="s">
        <v>4</v>
      </c>
      <c r="F1" s="145" t="s">
        <v>5</v>
      </c>
    </row>
    <row r="2" spans="1:6" ht="120">
      <c r="A2" s="146">
        <v>1</v>
      </c>
      <c r="B2" s="147">
        <v>46075</v>
      </c>
      <c r="C2" s="146" t="s">
        <v>537</v>
      </c>
      <c r="D2" s="146" t="s">
        <v>6</v>
      </c>
      <c r="E2" s="146" t="s">
        <v>538</v>
      </c>
      <c r="F2" s="146" t="s">
        <v>7</v>
      </c>
    </row>
    <row r="3" spans="1:6">
      <c r="A3">
        <v>2</v>
      </c>
      <c r="B3" s="1">
        <v>46075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3</v>
      </c>
      <c r="B4" s="1">
        <v>46075</v>
      </c>
      <c r="C4" t="s">
        <v>12</v>
      </c>
      <c r="D4" t="s">
        <v>13</v>
      </c>
      <c r="E4" t="s">
        <v>14</v>
      </c>
      <c r="F4" t="s">
        <v>15</v>
      </c>
    </row>
    <row r="5" spans="1:6">
      <c r="A5">
        <v>4</v>
      </c>
      <c r="B5" s="1">
        <v>46075</v>
      </c>
      <c r="C5" t="s">
        <v>16</v>
      </c>
      <c r="D5" t="s">
        <v>17</v>
      </c>
      <c r="E5" t="s">
        <v>18</v>
      </c>
      <c r="F5" t="s">
        <v>19</v>
      </c>
    </row>
    <row r="6" spans="1:6">
      <c r="A6">
        <v>5</v>
      </c>
      <c r="B6" s="1">
        <v>46075</v>
      </c>
      <c r="C6" t="s">
        <v>20</v>
      </c>
      <c r="D6" t="s">
        <v>21</v>
      </c>
      <c r="E6" t="s">
        <v>22</v>
      </c>
      <c r="F6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9ED381C8E3F41A6851103DEE18D8D" ma:contentTypeVersion="17" ma:contentTypeDescription="Create a new document." ma:contentTypeScope="" ma:versionID="f6fb2b4aba2109c59a576fbfd8a31941">
  <xsd:schema xmlns:xsd="http://www.w3.org/2001/XMLSchema" xmlns:xs="http://www.w3.org/2001/XMLSchema" xmlns:p="http://schemas.microsoft.com/office/2006/metadata/properties" xmlns:ns2="57a959a8-3524-4303-ab40-92f61679f4ad" xmlns:ns3="bef8e9ec-72c1-4976-a946-2742b58e9d18" targetNamespace="http://schemas.microsoft.com/office/2006/metadata/properties" ma:root="true" ma:fieldsID="af880f048841b54bf37d3a8311cfb96e" ns2:_="" ns3:_="">
    <xsd:import namespace="57a959a8-3524-4303-ab40-92f61679f4ad"/>
    <xsd:import namespace="bef8e9ec-72c1-4976-a946-2742b58e9d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959a8-3524-4303-ab40-92f61679f4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3b66976-321a-4919-84fd-bfc113fa9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8e9ec-72c1-4976-a946-2742b58e9d1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224d2ab-2b27-4d43-9ea3-039b4fcb8889}" ma:internalName="TaxCatchAll" ma:showField="CatchAllData" ma:web="bef8e9ec-72c1-4976-a946-2742b58e9d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f8e9ec-72c1-4976-a946-2742b58e9d18" xsi:nil="true"/>
    <lcf76f155ced4ddcb4097134ff3c332f xmlns="57a959a8-3524-4303-ab40-92f61679f4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99521C-CB5D-4EA7-9DB7-F8DDEDC86F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EC4161-A382-424E-AB7C-82F08FA3C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959a8-3524-4303-ab40-92f61679f4ad"/>
    <ds:schemaRef ds:uri="bef8e9ec-72c1-4976-a946-2742b58e9d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572A19-84A4-4CA0-A0BE-760FB6CD0997}">
  <ds:schemaRefs>
    <ds:schemaRef ds:uri="bef8e9ec-72c1-4976-a946-2742b58e9d18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7a959a8-3524-4303-ab40-92f61679f4a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56</vt:i4>
      </vt:variant>
    </vt:vector>
  </HeadingPairs>
  <TitlesOfParts>
    <vt:vector size="67" baseType="lpstr">
      <vt:lpstr>Financial Statements</vt:lpstr>
      <vt:lpstr>AR Command Center</vt:lpstr>
      <vt:lpstr>KPI Dashboard</vt:lpstr>
      <vt:lpstr>AR Data</vt:lpstr>
      <vt:lpstr>Financial Summary</vt:lpstr>
      <vt:lpstr>Drivers</vt:lpstr>
      <vt:lpstr>Data Summary</vt:lpstr>
      <vt:lpstr>Error Check</vt:lpstr>
      <vt:lpstr>Lists</vt:lpstr>
      <vt:lpstr>PBC Tables</vt:lpstr>
      <vt:lpstr>AI Log</vt:lpstr>
      <vt:lpstr>BSAcctIDs</vt:lpstr>
      <vt:lpstr>BSAccts</vt:lpstr>
      <vt:lpstr>BSAcctType</vt:lpstr>
      <vt:lpstr>BSDriverAssumptions</vt:lpstr>
      <vt:lpstr>BSDrivers</vt:lpstr>
      <vt:lpstr>BSSections</vt:lpstr>
      <vt:lpstr>BSSectionsCF</vt:lpstr>
      <vt:lpstr>BSSummarys</vt:lpstr>
      <vt:lpstr>BSSummarysCF</vt:lpstr>
      <vt:lpstr>dataGLBS</vt:lpstr>
      <vt:lpstr>dataGLBSAcctIDs</vt:lpstr>
      <vt:lpstr>dataGLBSAccts</vt:lpstr>
      <vt:lpstr>dataGLBSCF</vt:lpstr>
      <vt:lpstr>dataGLBSSections</vt:lpstr>
      <vt:lpstr>dataGLBSSummarys</vt:lpstr>
      <vt:lpstr>dataGLBSSummarysCF</vt:lpstr>
      <vt:lpstr>dataGLPL</vt:lpstr>
      <vt:lpstr>dataGLPLAcctIDs</vt:lpstr>
      <vt:lpstr>dataGLPLAccts</vt:lpstr>
      <vt:lpstr>dataGLPLSections</vt:lpstr>
      <vt:lpstr>dataGLPLSummarys</vt:lpstr>
      <vt:lpstr>dataSummaryBS</vt:lpstr>
      <vt:lpstr>dataSummaryBSAcctIDs</vt:lpstr>
      <vt:lpstr>dataSummaryBSAccts</vt:lpstr>
      <vt:lpstr>dataSummaryBSCF</vt:lpstr>
      <vt:lpstr>dataSummaryBSSections</vt:lpstr>
      <vt:lpstr>dataSummaryBSSummarys</vt:lpstr>
      <vt:lpstr>dataSummaryPL</vt:lpstr>
      <vt:lpstr>dataSummaryPLAcctIDs</vt:lpstr>
      <vt:lpstr>dataSummaryPLAccts</vt:lpstr>
      <vt:lpstr>dataSummaryPLSections</vt:lpstr>
      <vt:lpstr>dataSummaryPLSummarys</vt:lpstr>
      <vt:lpstr>Drivers_accountId</vt:lpstr>
      <vt:lpstr>Drivers_accountName</vt:lpstr>
      <vt:lpstr>Drivers_cashFlowSection</vt:lpstr>
      <vt:lpstr>Drivers_Driver</vt:lpstr>
      <vt:lpstr>Drivers_driverAccountType</vt:lpstr>
      <vt:lpstr>Drivers_DriverAssumption</vt:lpstr>
      <vt:lpstr>Drivers_driversSection</vt:lpstr>
      <vt:lpstr>Drivers_summaryGrouping</vt:lpstr>
      <vt:lpstr>DriversOwnersEquity</vt:lpstr>
      <vt:lpstr>endDates</vt:lpstr>
      <vt:lpstr>endDatesCF</vt:lpstr>
      <vt:lpstr>Error_Check</vt:lpstr>
      <vt:lpstr>'Data Summary'!Error_Range</vt:lpstr>
      <vt:lpstr>Drivers!Error_Range</vt:lpstr>
      <vt:lpstr>PLAcctIDs</vt:lpstr>
      <vt:lpstr>PLAccts</vt:lpstr>
      <vt:lpstr>PLAcctType</vt:lpstr>
      <vt:lpstr>PLDriverAssumptions</vt:lpstr>
      <vt:lpstr>PLDrivers</vt:lpstr>
      <vt:lpstr>PLSections</vt:lpstr>
      <vt:lpstr>PLSummarys</vt:lpstr>
      <vt:lpstr>PLSummarysCF</vt:lpstr>
      <vt:lpstr>startDates</vt:lpstr>
      <vt:lpstr>startDatesCF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Aharonoff</dc:creator>
  <cp:keywords/>
  <dc:description/>
  <cp:lastModifiedBy>Family Favreau</cp:lastModifiedBy>
  <cp:revision/>
  <dcterms:created xsi:type="dcterms:W3CDTF">2025-10-29T20:12:42Z</dcterms:created>
  <dcterms:modified xsi:type="dcterms:W3CDTF">2026-06-05T15:43:28Z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w_app_version">
    <vt:i4>2</vt:i4>
  </property>
  <property fmtid="{D5CDD505-2E9C-101B-9397-08002B2CF9AE}" pid="3" name="ContentTypeId">
    <vt:lpwstr>0x0101008089ED381C8E3F41A6851103DEE18D8D</vt:lpwstr>
  </property>
  <property fmtid="{D5CDD505-2E9C-101B-9397-08002B2CF9AE}" pid="4" name="MediaServiceImageTags">
    <vt:lpwstr/>
  </property>
  <property fmtid="{D5CDD505-2E9C-101B-9397-08002B2CF9AE}" pid="5" name="mw_class_enabled_config">
    <vt:lpwstr>{"enabled":false,"validateClassData":true,"isLocked":true,"firstUsedDate":"2026-02-22T21:24:09.249Z"}</vt:lpwstr>
  </property>
</Properties>
</file>